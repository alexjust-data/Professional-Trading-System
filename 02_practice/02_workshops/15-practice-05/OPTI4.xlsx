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ICHA"/>
    <sheet r:id="rId2" sheetId="2" name="INS"/>
    <sheet r:id="rId3" sheetId="3" name="OOS"/>
    <sheet r:id="rId4" sheetId="4" name="ALL_DATA"/>
  </sheets>
  <calcPr fullCalcOnLoad="1"/>
</workbook>
</file>

<file path=xl/sharedStrings.xml><?xml version="1.0" encoding="utf-8"?>
<sst xmlns="http://schemas.openxmlformats.org/spreadsheetml/2006/main" count="215" uniqueCount="86">
  <si>
    <t>M EJORES</t>
  </si>
  <si>
    <t>Net Profit</t>
  </si>
  <si>
    <t>Gross Profit</t>
  </si>
  <si>
    <t>Gross Loss</t>
  </si>
  <si>
    <t>Total Trades</t>
  </si>
  <si>
    <t>% Profitable</t>
  </si>
  <si>
    <t>Winning Trades</t>
  </si>
  <si>
    <t>Losing Trades</t>
  </si>
  <si>
    <t>Max Intraday Drawdown</t>
  </si>
  <si>
    <t>UPI</t>
  </si>
  <si>
    <t>SORTINO AJUSTADO</t>
  </si>
  <si>
    <t>RECOVERY</t>
  </si>
  <si>
    <t>Filtro_ATR (CURSO - Sistema ruptura acciones)</t>
  </si>
  <si>
    <t>Prc_Trail (CURSO - Sistema ruptura acciones)</t>
  </si>
  <si>
    <t>ROB</t>
  </si>
  <si>
    <t>VAR NET PROFIT</t>
  </si>
  <si>
    <t>VAR UPI2</t>
  </si>
  <si>
    <t>VAR SORTINO</t>
  </si>
  <si>
    <t>VAR RECOVERY</t>
  </si>
  <si>
    <t>VAR ROB</t>
  </si>
  <si>
    <t>SUMA</t>
  </si>
  <si>
    <t>SUMA SIN ROB</t>
  </si>
  <si>
    <t>01º</t>
  </si>
  <si>
    <t>02º</t>
  </si>
  <si>
    <t>03º</t>
  </si>
  <si>
    <t>04º</t>
  </si>
  <si>
    <t>05º</t>
  </si>
  <si>
    <t>06º</t>
  </si>
  <si>
    <t>07º</t>
  </si>
  <si>
    <t>08º</t>
  </si>
  <si>
    <t>09º</t>
  </si>
  <si>
    <t>10º</t>
  </si>
  <si>
    <t>Media</t>
  </si>
  <si>
    <t>Error típico</t>
  </si>
  <si>
    <t>Mediana</t>
  </si>
  <si>
    <t>Moda</t>
  </si>
  <si>
    <t>#N/A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</si>
  <si>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</si>
  <si>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</si>
  <si>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</si>
  <si>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</si>
  <si>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</si>
  <si>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</si>
  <si>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</si>
  <si>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Nivel de confianza(95.0%)</t>
  </si>
  <si>
    <t>OPTIMIZACIÓN GENÉTICA</t>
  </si>
  <si>
    <t>rango</t>
  </si>
  <si>
    <t>incremento</t>
  </si>
  <si>
    <t>SíMBOLO: NASDAQ100</t>
  </si>
  <si>
    <t>Per_Canal</t>
  </si>
  <si>
    <t>Desde 29/nov/2006 a 09/feb/2024</t>
  </si>
  <si>
    <t xml:space="preserve">Price_Up </t>
  </si>
  <si>
    <t>Close</t>
  </si>
  <si>
    <t>PERIODO OOS: 11/dic/2018 a 09/feb/2024</t>
  </si>
  <si>
    <t>Price_Dw</t>
  </si>
  <si>
    <t>PERIODO INS: 29/nov/2006 a 31/dic/2018</t>
  </si>
  <si>
    <t>Bar_Filtro</t>
  </si>
  <si>
    <t>17 AÑOS</t>
  </si>
  <si>
    <t>OperoCortos</t>
  </si>
  <si>
    <t>false</t>
  </si>
  <si>
    <t>FITNESS: SORTINO AJUSTADO y UPI</t>
  </si>
  <si>
    <t>Filtro_ATR</t>
  </si>
  <si>
    <t>Salgo_Media</t>
  </si>
  <si>
    <t>Prc_Stop</t>
  </si>
  <si>
    <t>COMISION: 5$ por trade</t>
  </si>
  <si>
    <t>Prc_Profit</t>
  </si>
  <si>
    <t>SLIPPAGE: 0.02</t>
  </si>
  <si>
    <t>Prc_Trail</t>
  </si>
  <si>
    <t>MAX BARS: 25</t>
  </si>
  <si>
    <t>Bar_Exit</t>
  </si>
  <si>
    <t>Start_Equity</t>
  </si>
  <si>
    <t>MMVar_Start</t>
  </si>
  <si>
    <t>MMVar_Profits</t>
  </si>
  <si>
    <t>Min_Size</t>
  </si>
  <si>
    <t>Max_Size</t>
  </si>
  <si>
    <t>RoundTo</t>
  </si>
  <si>
    <t>Opti Filtro_ATR + Prc_Trail</t>
  </si>
  <si>
    <t>COMBINACIONES</t>
  </si>
  <si>
    <t>INICIO OPERATIVA</t>
  </si>
  <si>
    <t>Días</t>
  </si>
  <si>
    <t>FIIN INS</t>
  </si>
  <si>
    <t>INS</t>
  </si>
  <si>
    <t>FIN OPERATIVA</t>
  </si>
  <si>
    <t>OOS</t>
  </si>
  <si>
    <t>CÁLCULO ROB</t>
  </si>
  <si>
    <t>Los inputs tienen que estar ordenados. Hacemos el cálculo del NetProfit por día en INS y OOS y dividimos en ALLDATA para obtener el valor de ROB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</si>
</sst>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5">
    <numFmt numFmtId="164" formatCode="$#,##0_);($#,##0)"/>
    <numFmt numFmtId="165" formatCode="#,##0.0"/>
    <numFmt numFmtId="166" formatCode="#,##0.000"/>
    <numFmt numFmtId="167" formatCode="#,##0.00%"/>
    <numFmt numFmtId="168" formatCode="$#,##0.0_);($#,##0.0)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Myriad Pro"/>
      <family val="2"/>
    </font>
    <font>
      <sz val="11"/>
      <color theme="1"/>
      <name val="Calibri"/>
      <family val="2"/>
    </font>
    <font>
      <b/>
      <sz val="11"/>
      <color rgb="FF000000"/>
      <name val="Myriad Pro"/>
      <family val="2"/>
    </font>
  </fonts>
  <fills count="12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8064a2"/>
      </patternFill>
    </fill>
    <fill>
      <patternFill patternType="solid">
        <fgColor rgb="FFf79646"/>
      </patternFill>
    </fill>
    <fill>
      <patternFill patternType="solid">
        <fgColor rgb="FF9bbb59"/>
      </patternFill>
    </fill>
    <fill>
      <patternFill patternType="solid">
        <fgColor rgb="FFffff00"/>
      </patternFill>
    </fill>
    <fill>
      <patternFill patternType="solid">
        <fgColor rgb="FFeeece1"/>
      </patternFill>
    </fill>
    <fill>
      <patternFill patternType="solid">
        <fgColor rgb="FFffc3d5"/>
      </patternFill>
    </fill>
    <fill>
      <patternFill patternType="solid">
        <fgColor rgb="FF00b0f0"/>
      </patternFill>
    </fill>
    <fill>
      <patternFill patternType="solid">
        <fgColor rgb="FFb9efff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164" applyNumberFormat="1" borderId="2" applyBorder="1" fontId="1" applyFont="1" fillId="2" applyFill="1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165" applyNumberFormat="1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166" applyNumberFormat="1" borderId="2" applyBorder="1" fontId="1" applyFont="1" fillId="3" applyFill="1" applyAlignment="1">
      <alignment horizontal="center" wrapText="1"/>
    </xf>
    <xf xfId="0" numFmtId="166" applyNumberFormat="1" borderId="2" applyBorder="1" fontId="1" applyFont="1" fillId="4" applyFill="1" applyAlignment="1">
      <alignment horizontal="center" wrapText="1"/>
    </xf>
    <xf xfId="0" numFmtId="4" applyNumberFormat="1" borderId="2" applyBorder="1" fontId="1" applyFont="1" fillId="5" applyFill="1" applyAlignment="1">
      <alignment horizontal="center" wrapText="1"/>
    </xf>
    <xf xfId="0" numFmtId="167" applyNumberFormat="1" borderId="1" applyBorder="1" fontId="1" applyFont="1" fillId="0" applyAlignment="1">
      <alignment horizontal="center" wrapText="1"/>
    </xf>
    <xf xfId="0" numFmtId="0" borderId="2" applyBorder="1" fontId="2" applyFont="1" fillId="6" applyFill="1" applyAlignment="1">
      <alignment horizontal="center"/>
    </xf>
    <xf xfId="0" numFmtId="7" applyNumberFormat="1" borderId="2" applyBorder="1" fontId="2" applyFont="1" fillId="2" applyFill="1" applyAlignment="1">
      <alignment horizontal="center"/>
    </xf>
    <xf xfId="0" numFmtId="3" applyNumberFormat="1" borderId="2" applyBorder="1" fontId="2" applyFont="1" fillId="2" applyFill="1" applyAlignment="1">
      <alignment horizontal="center"/>
    </xf>
    <xf xfId="0" numFmtId="4" applyNumberFormat="1" borderId="2" applyBorder="1" fontId="2" applyFont="1" fillId="2" applyFill="1" applyAlignment="1">
      <alignment horizontal="center"/>
    </xf>
    <xf xfId="0" numFmtId="1" applyNumberFormat="1" borderId="2" applyBorder="1" fontId="2" applyFont="1" fillId="2" applyFill="1" applyAlignment="1">
      <alignment horizontal="center"/>
    </xf>
    <xf xfId="0" numFmtId="7" applyNumberFormat="1" borderId="2" applyBorder="1" fontId="2" applyFont="1" fillId="3" applyFill="1" applyAlignment="1">
      <alignment horizontal="center"/>
    </xf>
    <xf xfId="0" numFmtId="166" applyNumberFormat="1" borderId="2" applyBorder="1" fontId="2" applyFont="1" fillId="3" applyFill="1" applyAlignment="1">
      <alignment horizontal="center"/>
    </xf>
    <xf xfId="0" numFmtId="4" applyNumberFormat="1" borderId="2" applyBorder="1" fontId="2" applyFont="1" fillId="3" applyFill="1" applyAlignment="1">
      <alignment horizontal="center"/>
    </xf>
    <xf xfId="0" numFmtId="165" applyNumberFormat="1" borderId="2" applyBorder="1" fontId="2" applyFont="1" fillId="3" applyFill="1" applyAlignment="1">
      <alignment horizontal="center"/>
    </xf>
    <xf xfId="0" numFmtId="167" applyNumberFormat="1" borderId="2" applyBorder="1" fontId="2" applyFont="1" fillId="3" applyFill="1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7" applyNumberFormat="1" borderId="2" applyBorder="1" fontId="2" applyFont="1" fillId="6" applyFill="1" applyAlignment="1">
      <alignment horizontal="center"/>
    </xf>
    <xf xfId="0" numFmtId="3" applyNumberFormat="1" borderId="2" applyBorder="1" fontId="2" applyFont="1" fillId="6" applyFill="1" applyAlignment="1">
      <alignment horizontal="center"/>
    </xf>
    <xf xfId="0" numFmtId="4" applyNumberFormat="1" borderId="2" applyBorder="1" fontId="2" applyFont="1" fillId="6" applyFill="1" applyAlignment="1">
      <alignment horizontal="center"/>
    </xf>
    <xf xfId="0" numFmtId="1" applyNumberFormat="1" borderId="2" applyBorder="1" fontId="2" applyFont="1" fillId="6" applyFill="1" applyAlignment="1">
      <alignment horizontal="center"/>
    </xf>
    <xf xfId="0" numFmtId="166" applyNumberFormat="1" borderId="2" applyBorder="1" fontId="2" applyFont="1" fillId="6" applyFill="1" applyAlignment="1">
      <alignment horizontal="center"/>
    </xf>
    <xf xfId="0" numFmtId="165" applyNumberFormat="1" borderId="2" applyBorder="1" fontId="2" applyFont="1" fillId="6" applyFill="1" applyAlignment="1">
      <alignment horizontal="center"/>
    </xf>
    <xf xfId="0" numFmtId="167" applyNumberFormat="1" borderId="2" applyBorder="1" fontId="2" applyFont="1" fillId="6" applyFill="1" applyAlignment="1">
      <alignment horizontal="center"/>
    </xf>
    <xf xfId="0" numFmtId="7" applyNumberFormat="1" borderId="2" applyBorder="1" fontId="2" applyFont="1" fillId="4" applyFill="1" applyAlignment="1">
      <alignment horizontal="center"/>
    </xf>
    <xf xfId="0" numFmtId="3" applyNumberFormat="1" borderId="2" applyBorder="1" fontId="2" applyFont="1" fillId="4" applyFill="1" applyAlignment="1">
      <alignment horizontal="center"/>
    </xf>
    <xf xfId="0" numFmtId="4" applyNumberFormat="1" borderId="2" applyBorder="1" fontId="2" applyFont="1" fillId="4" applyFill="1" applyAlignment="1">
      <alignment horizontal="center"/>
    </xf>
    <xf xfId="0" numFmtId="1" applyNumberFormat="1" borderId="2" applyBorder="1" fontId="2" applyFont="1" fillId="4" applyFill="1" applyAlignment="1">
      <alignment horizontal="center"/>
    </xf>
    <xf xfId="0" numFmtId="166" applyNumberFormat="1" borderId="2" applyBorder="1" fontId="2" applyFont="1" fillId="4" applyFill="1" applyAlignment="1">
      <alignment horizontal="center"/>
    </xf>
    <xf xfId="0" numFmtId="165" applyNumberFormat="1" borderId="2" applyBorder="1" fontId="2" applyFont="1" fillId="4" applyFill="1" applyAlignment="1">
      <alignment horizontal="center"/>
    </xf>
    <xf xfId="0" numFmtId="167" applyNumberFormat="1" borderId="2" applyBorder="1" fontId="2" applyFont="1" fillId="4" applyFill="1" applyAlignment="1">
      <alignment horizontal="center"/>
    </xf>
    <xf xfId="0" numFmtId="7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166" applyNumberFormat="1" borderId="1" applyBorder="1" fontId="2" applyFont="1" fillId="0" applyAlignment="1">
      <alignment horizontal="center"/>
    </xf>
    <xf xfId="0" numFmtId="165" applyNumberFormat="1" borderId="1" applyBorder="1" fontId="2" applyFont="1" fillId="0" applyAlignment="1">
      <alignment horizontal="center"/>
    </xf>
    <xf xfId="0" numFmtId="167" applyNumberFormat="1" borderId="1" applyBorder="1" fontId="2" applyFont="1" fillId="0" applyAlignment="1">
      <alignment horizontal="center"/>
    </xf>
    <xf xfId="0" numFmtId="7" applyNumberFormat="1" borderId="2" applyBorder="1" fontId="2" applyFont="1" fillId="5" applyFill="1" applyAlignment="1">
      <alignment horizontal="center"/>
    </xf>
    <xf xfId="0" numFmtId="3" applyNumberFormat="1" borderId="2" applyBorder="1" fontId="2" applyFont="1" fillId="5" applyFill="1" applyAlignment="1">
      <alignment horizontal="center"/>
    </xf>
    <xf xfId="0" numFmtId="4" applyNumberFormat="1" borderId="2" applyBorder="1" fontId="2" applyFont="1" fillId="5" applyFill="1" applyAlignment="1">
      <alignment horizontal="center"/>
    </xf>
    <xf xfId="0" numFmtId="1" applyNumberFormat="1" borderId="2" applyBorder="1" fontId="2" applyFont="1" fillId="5" applyFill="1" applyAlignment="1">
      <alignment horizontal="center"/>
    </xf>
    <xf xfId="0" numFmtId="166" applyNumberFormat="1" borderId="2" applyBorder="1" fontId="2" applyFont="1" fillId="5" applyFill="1" applyAlignment="1">
      <alignment horizontal="center"/>
    </xf>
    <xf xfId="0" numFmtId="165" applyNumberFormat="1" borderId="2" applyBorder="1" fontId="2" applyFont="1" fillId="5" applyFill="1" applyAlignment="1">
      <alignment horizontal="center"/>
    </xf>
    <xf xfId="0" numFmtId="167" applyNumberFormat="1" borderId="2" applyBorder="1" fontId="2" applyFont="1" fillId="5" applyFill="1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65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166" applyNumberFormat="1" borderId="0" fontId="0" fillId="0" applyAlignment="1">
      <alignment horizontal="center"/>
    </xf>
    <xf xfId="0" numFmtId="167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168" applyNumberFormat="1" borderId="1" applyBorder="1" fontId="2" applyFont="1" fillId="0" applyAlignment="1">
      <alignment horizontal="center"/>
    </xf>
    <xf xfId="0" numFmtId="164" applyNumberFormat="1" borderId="2" applyBorder="1" fontId="3" applyFont="1" fillId="2" applyFill="1" applyAlignment="1">
      <alignment horizontal="center"/>
    </xf>
    <xf xfId="0" numFmtId="166" applyNumberFormat="1" borderId="2" applyBorder="1" fontId="3" applyFont="1" fillId="3" applyFill="1" applyAlignment="1">
      <alignment horizontal="center"/>
    </xf>
    <xf xfId="0" numFmtId="166" applyNumberFormat="1" borderId="2" applyBorder="1" fontId="3" applyFont="1" fillId="4" applyFill="1" applyAlignment="1">
      <alignment horizontal="center"/>
    </xf>
    <xf xfId="0" numFmtId="4" applyNumberFormat="1" borderId="2" applyBorder="1" fontId="3" applyFont="1" fillId="5" applyFill="1" applyAlignment="1">
      <alignment horizontal="center"/>
    </xf>
    <xf xfId="0" numFmtId="167" applyNumberFormat="1" borderId="2" applyBorder="1" fontId="3" applyFont="1" fillId="7" applyFill="1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65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166" applyNumberFormat="1" borderId="0" fontId="0" fillId="0" applyAlignment="1">
      <alignment horizontal="center"/>
    </xf>
    <xf xfId="0" numFmtId="167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center"/>
    </xf>
    <xf xfId="0" numFmtId="1" applyNumberFormat="1" borderId="2" applyBorder="1" fontId="2" applyFont="1" fillId="3" applyFill="1" applyAlignment="1">
      <alignment horizontal="center"/>
    </xf>
    <xf xfId="0" numFmtId="0" borderId="2" applyBorder="1" fontId="3" applyFont="1" fillId="7" applyFill="1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8" applyFill="1" applyAlignment="1">
      <alignment horizontal="left"/>
    </xf>
    <xf xfId="0" numFmtId="3" applyNumberFormat="1" borderId="2" applyBorder="1" fontId="2" applyFont="1" fillId="8" applyFill="1" applyAlignment="1">
      <alignment horizontal="center"/>
    </xf>
    <xf xfId="0" numFmtId="0" borderId="1" applyBorder="1" fontId="2" applyFont="1" fillId="0" applyAlignment="1">
      <alignment horizontal="left"/>
    </xf>
    <xf xfId="0" numFmtId="0" borderId="2" applyBorder="1" fontId="3" applyFont="1" fillId="9" applyFill="1" applyAlignment="1">
      <alignment horizontal="left"/>
    </xf>
    <xf xfId="0" numFmtId="0" borderId="2" applyBorder="1" fontId="2" applyFont="1" fillId="10" applyFill="1" applyAlignment="1">
      <alignment horizontal="left"/>
    </xf>
    <xf xfId="0" numFmtId="165" applyNumberFormat="1" borderId="2" applyBorder="1" fontId="2" applyFont="1" fillId="8" applyFill="1" applyAlignment="1">
      <alignment horizontal="center"/>
    </xf>
    <xf xfId="0" numFmtId="4" applyNumberFormat="1" borderId="2" applyBorder="1" fontId="2" applyFont="1" fillId="8" applyFill="1" applyAlignment="1">
      <alignment horizontal="center"/>
    </xf>
    <xf xfId="0" numFmtId="0" borderId="2" applyBorder="1" fontId="2" applyFont="1" fillId="6" applyFill="1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2" applyBorder="1" fontId="3" applyFont="1" fillId="11" applyFill="1" applyAlignment="1">
      <alignment horizontal="center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ables/table1.xml><?xml version="1.0" encoding="utf-8"?>
<table xmlns="http://schemas.openxmlformats.org/spreadsheetml/2006/main" ref="A1:V61" displayName="OPTI4_SORTINO_ALL_DATA" name="OPTI4_SORTINO_ALL_DATA" id="1" totalsRowShown="0">
  <autoFilter ref="A1:V61"/>
  <tableColumns count="22">
    <tableColumn name="M EJORES" id="1"/>
    <tableColumn name="Net Profit" id="2"/>
    <tableColumn name="Gross Profit" id="3"/>
    <tableColumn name="Gross Loss" id="4"/>
    <tableColumn name="Total Trades" id="5"/>
    <tableColumn name="% Profitable" id="6"/>
    <tableColumn name="Winning Trades" id="7"/>
    <tableColumn name="Losing Trades" id="8"/>
    <tableColumn name="Max Intraday Drawdown" id="9"/>
    <tableColumn name="UPI" id="10"/>
    <tableColumn name="SORTINO AJUSTADO" id="11"/>
    <tableColumn name="RECOVERY" id="12"/>
    <tableColumn name="Filtro_ATR (CURSO - Sistema ruptura acciones)" id="13"/>
    <tableColumn name="Prc_Trail (CURSO - Sistema ruptura acciones)" id="14"/>
    <tableColumn name="ROB" id="15"/>
    <tableColumn name="VAR NET PROFIT" id="16"/>
    <tableColumn name="VAR UPI2" id="17"/>
    <tableColumn name="VAR SORTINO" id="18"/>
    <tableColumn name="VAR RECOVERY" id="19"/>
    <tableColumn name="VAR ROB" id="20"/>
    <tableColumn name="SUMA" id="21"/>
    <tableColumn name="SUMA SIN ROB" id="22"/>
  </tableColumns>
  <tableStyleInfo name="TableStyleLight1" showColumnStripes="0" showRowStripes="0" showLastColumn="0" showFirstColumn="0"/>
</table>
</file>

<file path=xl/tables/table2.xml><?xml version="1.0" encoding="utf-8"?>
<table xmlns="http://schemas.openxmlformats.org/spreadsheetml/2006/main" ref="A64:O75" displayName="Tabla6" name="Tabla6" id="2" headerRowCount="0" totalsRowShown="0">
  <tableColumns count="15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  <tableColumn name="Columna10" id="10"/>
    <tableColumn name="Columna11" id="11"/>
    <tableColumn name="Columna12" id="12"/>
    <tableColumn name="Columna13" id="13"/>
    <tableColumn name="Columna14" id="14"/>
    <tableColumn name="Columna15" id="15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V61" displayName="OPTI4_UPI_OOS" name="OPTI4_UPI_OOS" id="3" totalsRowShown="0">
  <autoFilter ref="A1:V61"/>
  <tableColumns count="22">
    <tableColumn name="M EJORES" id="1"/>
    <tableColumn name="Net Profit" id="2"/>
    <tableColumn name="Gross Profit" id="3"/>
    <tableColumn name="Gross Loss" id="4"/>
    <tableColumn name="Total Trades" id="5"/>
    <tableColumn name="% Profitable" id="6"/>
    <tableColumn name="Winning Trades" id="7"/>
    <tableColumn name="Losing Trades" id="8"/>
    <tableColumn name="Max Intraday Drawdown" id="9"/>
    <tableColumn name="UPI" id="10"/>
    <tableColumn name="SORTINO AJUSTADO" id="11"/>
    <tableColumn name="RECOVERY" id="12"/>
    <tableColumn name="Filtro_ATR (CURSO - Sistema ruptura acciones)" id="13"/>
    <tableColumn name="Prc_Trail (CURSO - Sistema ruptura acciones)" id="14"/>
    <tableColumn name="ROB" id="15"/>
    <tableColumn name="VAR NET PROFIT" id="16"/>
    <tableColumn name="VAR UPI2" id="17"/>
    <tableColumn name="VAR SORTINO" id="18"/>
    <tableColumn name="VAR RECOVERY" id="19"/>
    <tableColumn name="VAR ROB" id="20"/>
    <tableColumn name="SUMA" id="21"/>
    <tableColumn name="SUMA SIN ROB" id="22"/>
  </tableColumns>
  <tableStyleInfo name="TableStyleLight1" showColumnStripes="0" showRowStripes="0" showLastColumn="0" showFirstColumn="0"/>
</table>
</file>

<file path=xl/tables/table4.xml><?xml version="1.0" encoding="utf-8"?>
<table xmlns="http://schemas.openxmlformats.org/spreadsheetml/2006/main" ref="A64:O75" displayName="Tabla5" name="Tabla5" id="4" headerRowCount="0" totalsRowShown="0">
  <tableColumns count="15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  <tableColumn name="Columna10" id="10"/>
    <tableColumn name="Columna11" id="11"/>
    <tableColumn name="Columna12" id="12"/>
    <tableColumn name="Columna13" id="13"/>
    <tableColumn name="Columna14" id="14"/>
    <tableColumn name="Columna15" id="15"/>
  </tableColumns>
  <tableStyleInfo name="TableStyleLight1" showColumnStripes="0" showRowStripes="1" showLastColumn="0" showFirstColumn="0"/>
</table>
</file>

<file path=xl/tables/table5.xml><?xml version="1.0" encoding="utf-8"?>
<table xmlns="http://schemas.openxmlformats.org/spreadsheetml/2006/main" ref="A1:V61" displayName="OPTI4_UPI_INS" name="OPTI4_UPI_INS" id="5" totalsRowShown="0">
  <autoFilter ref="A1:V61"/>
  <tableColumns count="22">
    <tableColumn name="M EJORES" id="1"/>
    <tableColumn name="Net Profit" id="2"/>
    <tableColumn name="Gross Profit" id="3"/>
    <tableColumn name="Gross Loss" id="4"/>
    <tableColumn name="Total Trades" id="5"/>
    <tableColumn name="% Profitable" id="6"/>
    <tableColumn name="Winning Trades" id="7"/>
    <tableColumn name="Losing Trades" id="8"/>
    <tableColumn name="Max Intraday Drawdown" id="9"/>
    <tableColumn name="UPI" id="10"/>
    <tableColumn name="SORTINO AJUSTADO" id="11"/>
    <tableColumn name="RECOVERY" id="12"/>
    <tableColumn name="Filtro_ATR (CURSO - Sistema ruptura acciones)" id="13"/>
    <tableColumn name="Prc_Trail (CURSO - Sistema ruptura acciones)" id="14"/>
    <tableColumn name="ROB" id="15"/>
    <tableColumn name="VAR NET PROFIT" id="16"/>
    <tableColumn name="VAR UPI2" id="17"/>
    <tableColumn name="VAR SORTINO" id="18"/>
    <tableColumn name="VAR RECOVERY" id="19"/>
    <tableColumn name="VAR ROB" id="20"/>
    <tableColumn name="SUMA" id="21"/>
    <tableColumn name="SUMA SIN ROB" id="22"/>
  </tableColumns>
  <tableStyleInfo name="TableStyleLight1" showColumnStripes="0" showRowStripes="0" showLastColumn="0" showFirstColumn="0"/>
</table>
</file>

<file path=xl/tables/table6.xml><?xml version="1.0" encoding="utf-8"?>
<table xmlns="http://schemas.openxmlformats.org/spreadsheetml/2006/main" ref="A64:O75" displayName="Tabla4" name="Tabla4" id="6" headerRowCount="0" totalsRowShown="0">
  <tableColumns count="15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  <tableColumn name="Columna10" id="10"/>
    <tableColumn name="Columna11" id="11"/>
    <tableColumn name="Columna12" id="12"/>
    <tableColumn name="Columna13" id="13"/>
    <tableColumn name="Columna14" id="14"/>
    <tableColumn name="Columna15" id="1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007A9F"/>
      </a:accent1>
      <a:accent2>
        <a:srgbClr val="D0003E"/>
      </a:accent2>
      <a:accent3>
        <a:srgbClr val="9BBB59"/>
      </a:accent3>
      <a:accent4>
        <a:srgbClr val="8064A2"/>
      </a:accent4>
      <a:accent5>
        <a:srgbClr val="4F81BD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5.xml" Type="http://schemas.openxmlformats.org/officeDocument/2006/relationships/table" Id="rId1"/><Relationship Target="../tables/table6.xml" Type="http://schemas.openxmlformats.org/officeDocument/2006/relationships/table" Id="rId2"/></Relationships>
</file>

<file path=xl/worksheets/_rels/sheet3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Relationship Target="../tables/table4.xml" Type="http://schemas.openxmlformats.org/officeDocument/2006/relationships/table" Id="rId2"/></Relationships>
</file>

<file path=xl/worksheets/_rels/sheet4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Relationship Target="../tables/table2.xml" Type="http://schemas.openxmlformats.org/officeDocument/2006/relationships/table" Id="rId2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1"/>
  <sheetViews>
    <sheetView workbookViewId="0" tabSelected="1"/>
  </sheetViews>
  <sheetFormatPr defaultRowHeight="15" x14ac:dyDescent="0.25"/>
  <cols>
    <col min="1" max="1" style="92" width="35.57642857142857" customWidth="1" bestFit="1"/>
    <col min="2" max="2" style="93" width="10.576428571428572" customWidth="1" bestFit="1"/>
    <col min="3" max="3" style="92" width="14.576428571428572" customWidth="1" bestFit="1"/>
    <col min="4" max="4" style="94" width="6.862142857142857" customWidth="1" bestFit="1"/>
    <col min="5" max="5" style="71" width="6.862142857142857" customWidth="1" bestFit="1"/>
    <col min="6" max="6" style="94" width="10.147857142857141" customWidth="1" bestFit="1"/>
    <col min="7" max="7" style="94" width="5.719285714285714" customWidth="1" bestFit="1"/>
  </cols>
  <sheetData>
    <row x14ac:dyDescent="0.25" r="1" customHeight="1" ht="18.75">
      <c r="A1" s="74" t="s">
        <v>45</v>
      </c>
      <c r="B1" s="75"/>
      <c r="C1" s="76"/>
      <c r="D1" s="37" t="s">
        <v>46</v>
      </c>
      <c r="E1" s="38" t="s">
        <v>46</v>
      </c>
      <c r="F1" s="37" t="s">
        <v>47</v>
      </c>
      <c r="G1" s="37" t="s">
        <v>46</v>
      </c>
    </row>
    <row x14ac:dyDescent="0.25" r="2" customHeight="1" ht="18.75">
      <c r="A2" s="77" t="s">
        <v>48</v>
      </c>
      <c r="B2" s="75"/>
      <c r="C2" s="78" t="s">
        <v>49</v>
      </c>
      <c r="D2" s="79">
        <v>20</v>
      </c>
      <c r="E2" s="79">
        <v>20</v>
      </c>
      <c r="F2" s="79">
        <v>1</v>
      </c>
      <c r="G2" s="79">
        <f>1+(E2-D2)/F2</f>
      </c>
    </row>
    <row x14ac:dyDescent="0.25" r="3" customHeight="1" ht="18.75">
      <c r="A3" s="80" t="s">
        <v>50</v>
      </c>
      <c r="B3" s="75"/>
      <c r="C3" s="80" t="s">
        <v>51</v>
      </c>
      <c r="D3" s="37" t="s">
        <v>52</v>
      </c>
      <c r="E3" s="38" t="s">
        <v>52</v>
      </c>
      <c r="F3" s="37"/>
      <c r="G3" s="37"/>
    </row>
    <row x14ac:dyDescent="0.25" r="4" customHeight="1" ht="18.75">
      <c r="A4" s="81" t="s">
        <v>53</v>
      </c>
      <c r="B4" s="75"/>
      <c r="C4" s="80" t="s">
        <v>54</v>
      </c>
      <c r="D4" s="37" t="s">
        <v>52</v>
      </c>
      <c r="E4" s="38" t="s">
        <v>52</v>
      </c>
      <c r="F4" s="37"/>
      <c r="G4" s="37"/>
    </row>
    <row x14ac:dyDescent="0.25" r="5" customHeight="1" ht="18.75">
      <c r="A5" s="82" t="s">
        <v>55</v>
      </c>
      <c r="B5" s="75"/>
      <c r="C5" s="80" t="s">
        <v>56</v>
      </c>
      <c r="D5" s="37">
        <v>0</v>
      </c>
      <c r="E5" s="37">
        <v>0</v>
      </c>
      <c r="F5" s="37">
        <v>1</v>
      </c>
      <c r="G5" s="37">
        <f>1+(E5-D5)/F5</f>
      </c>
    </row>
    <row x14ac:dyDescent="0.25" r="6" customHeight="1" ht="18.75">
      <c r="A6" s="77" t="s">
        <v>57</v>
      </c>
      <c r="B6" s="75"/>
      <c r="C6" s="80" t="s">
        <v>58</v>
      </c>
      <c r="D6" s="37" t="s">
        <v>59</v>
      </c>
      <c r="E6" s="38" t="s">
        <v>59</v>
      </c>
      <c r="F6" s="37"/>
      <c r="G6" s="37"/>
    </row>
    <row x14ac:dyDescent="0.25" r="7" customHeight="1" ht="18.75">
      <c r="A7" s="80" t="s">
        <v>60</v>
      </c>
      <c r="B7" s="75"/>
      <c r="C7" s="78" t="s">
        <v>61</v>
      </c>
      <c r="D7" s="83">
        <v>0</v>
      </c>
      <c r="E7" s="83">
        <v>1.5</v>
      </c>
      <c r="F7" s="84">
        <v>0.5</v>
      </c>
      <c r="G7" s="79">
        <f>1+(E7-D7)/F7</f>
      </c>
    </row>
    <row x14ac:dyDescent="0.25" r="8" customHeight="1" ht="18.75">
      <c r="A8" s="80"/>
      <c r="B8" s="75"/>
      <c r="C8" s="80"/>
      <c r="D8" s="37"/>
      <c r="E8" s="41"/>
      <c r="F8" s="38">
        <v>0.1</v>
      </c>
      <c r="G8" s="37">
        <f>1+(E8-D8)/F8</f>
      </c>
    </row>
    <row x14ac:dyDescent="0.25" r="9" customHeight="1" ht="18.75">
      <c r="A9" s="80"/>
      <c r="B9" s="75"/>
      <c r="C9" s="80" t="s">
        <v>62</v>
      </c>
      <c r="D9" s="37" t="s">
        <v>59</v>
      </c>
      <c r="E9" s="38" t="s">
        <v>59</v>
      </c>
      <c r="F9" s="37"/>
      <c r="G9" s="37"/>
    </row>
    <row x14ac:dyDescent="0.25" r="10" customHeight="1" ht="18.75">
      <c r="A10" s="80"/>
      <c r="B10" s="75"/>
      <c r="C10" s="80" t="s">
        <v>63</v>
      </c>
      <c r="D10" s="37">
        <v>0</v>
      </c>
      <c r="E10" s="37">
        <v>0</v>
      </c>
      <c r="F10" s="37">
        <v>1</v>
      </c>
      <c r="G10" s="37">
        <f>1+(E10-D10)/F10</f>
      </c>
    </row>
    <row x14ac:dyDescent="0.25" r="11" customHeight="1" ht="18.75">
      <c r="A11" s="85" t="s">
        <v>64</v>
      </c>
      <c r="B11" s="75"/>
      <c r="C11" s="80" t="s">
        <v>65</v>
      </c>
      <c r="D11" s="37">
        <v>0</v>
      </c>
      <c r="E11" s="37">
        <v>0</v>
      </c>
      <c r="F11" s="37">
        <v>1</v>
      </c>
      <c r="G11" s="37">
        <f>1+(E11-D11)/F11</f>
      </c>
    </row>
    <row x14ac:dyDescent="0.25" r="12" customHeight="1" ht="18.75">
      <c r="A12" s="85" t="s">
        <v>66</v>
      </c>
      <c r="B12" s="75"/>
      <c r="C12" s="78" t="s">
        <v>67</v>
      </c>
      <c r="D12" s="84">
        <v>0.1</v>
      </c>
      <c r="E12" s="84">
        <v>0.24</v>
      </c>
      <c r="F12" s="84">
        <v>0.01</v>
      </c>
      <c r="G12" s="79">
        <f>1+(E12-D12)/F12</f>
      </c>
    </row>
    <row x14ac:dyDescent="0.25" r="13" customHeight="1" ht="18.75">
      <c r="A13" s="85" t="s">
        <v>68</v>
      </c>
      <c r="B13" s="75"/>
      <c r="C13" s="80" t="s">
        <v>69</v>
      </c>
      <c r="D13" s="37">
        <v>0</v>
      </c>
      <c r="E13" s="37">
        <v>0</v>
      </c>
      <c r="F13" s="37">
        <v>1</v>
      </c>
      <c r="G13" s="37">
        <f>1+(E13-D13)/F13</f>
      </c>
    </row>
    <row x14ac:dyDescent="0.25" r="14" customHeight="1" ht="18.75">
      <c r="A14" s="80"/>
      <c r="B14" s="75"/>
      <c r="C14" s="80"/>
      <c r="D14" s="37"/>
      <c r="E14" s="38"/>
      <c r="F14" s="37">
        <v>1</v>
      </c>
      <c r="G14" s="37">
        <f>1+(E14-D14)/F14</f>
      </c>
    </row>
    <row x14ac:dyDescent="0.25" r="15" customHeight="1" ht="18.75">
      <c r="A15" s="86"/>
      <c r="B15" s="75"/>
      <c r="C15" s="80" t="s">
        <v>70</v>
      </c>
      <c r="D15" s="37">
        <v>100000</v>
      </c>
      <c r="E15" s="37">
        <v>100000</v>
      </c>
      <c r="F15" s="37">
        <v>2</v>
      </c>
      <c r="G15" s="37">
        <f>1+(E15-D15)/F15</f>
      </c>
    </row>
    <row x14ac:dyDescent="0.25" r="16" customHeight="1" ht="18.75">
      <c r="A16" s="86"/>
      <c r="B16" s="75"/>
      <c r="C16" s="80" t="s">
        <v>71</v>
      </c>
      <c r="D16" s="37">
        <v>100</v>
      </c>
      <c r="E16" s="37">
        <v>100</v>
      </c>
      <c r="F16" s="37">
        <v>3</v>
      </c>
      <c r="G16" s="37">
        <f>1+(E16-D16)/F16</f>
      </c>
    </row>
    <row x14ac:dyDescent="0.25" r="17" customHeight="1" ht="18.75">
      <c r="A17" s="86"/>
      <c r="B17" s="75"/>
      <c r="C17" s="80" t="s">
        <v>72</v>
      </c>
      <c r="D17" s="37">
        <v>100</v>
      </c>
      <c r="E17" s="37">
        <v>100</v>
      </c>
      <c r="F17" s="37">
        <v>4</v>
      </c>
      <c r="G17" s="37">
        <f>1+(E17-D17)/F17</f>
      </c>
    </row>
    <row x14ac:dyDescent="0.25" r="18" customHeight="1" ht="18.75">
      <c r="A18" s="80"/>
      <c r="B18" s="75"/>
      <c r="C18" s="80" t="s">
        <v>73</v>
      </c>
      <c r="D18" s="37">
        <v>1</v>
      </c>
      <c r="E18" s="37">
        <v>1</v>
      </c>
      <c r="F18" s="37">
        <v>5</v>
      </c>
      <c r="G18" s="37">
        <f>1+(E18-D18)/F18</f>
      </c>
    </row>
    <row x14ac:dyDescent="0.25" r="19" customHeight="1" ht="18.75">
      <c r="A19" s="80"/>
      <c r="B19" s="75"/>
      <c r="C19" s="80" t="s">
        <v>74</v>
      </c>
      <c r="D19" s="37">
        <v>100000</v>
      </c>
      <c r="E19" s="37">
        <v>100000</v>
      </c>
      <c r="F19" s="37">
        <v>6</v>
      </c>
      <c r="G19" s="37">
        <f>1+(E19-D19)/F19</f>
      </c>
    </row>
    <row x14ac:dyDescent="0.25" r="20" customHeight="1" ht="18.75">
      <c r="A20" s="80"/>
      <c r="B20" s="75"/>
      <c r="C20" s="80" t="s">
        <v>75</v>
      </c>
      <c r="D20" s="37">
        <v>1</v>
      </c>
      <c r="E20" s="37">
        <v>1</v>
      </c>
      <c r="F20" s="37">
        <v>7</v>
      </c>
      <c r="G20" s="37">
        <f>1+(E20-D20)/F20</f>
      </c>
    </row>
    <row x14ac:dyDescent="0.25" r="21" customHeight="1" ht="18.75">
      <c r="A21" s="80"/>
      <c r="B21" s="75"/>
      <c r="C21" s="80"/>
      <c r="D21" s="37"/>
      <c r="E21" s="38"/>
      <c r="F21" s="37"/>
      <c r="G21" s="87"/>
    </row>
    <row x14ac:dyDescent="0.25" r="22" customHeight="1" ht="18.75">
      <c r="A22" s="88" t="s">
        <v>76</v>
      </c>
      <c r="B22" s="75"/>
      <c r="C22" s="80"/>
      <c r="D22" s="37"/>
      <c r="E22" s="38"/>
      <c r="F22" s="37"/>
      <c r="G22" s="87"/>
    </row>
    <row x14ac:dyDescent="0.25" r="23" customHeight="1" ht="18.75">
      <c r="A23" s="77"/>
      <c r="B23" s="75"/>
      <c r="C23" s="80"/>
      <c r="D23" s="37"/>
      <c r="E23" s="38"/>
      <c r="F23" s="37"/>
      <c r="G23" s="87"/>
    </row>
    <row x14ac:dyDescent="0.25" r="24" customHeight="1" ht="18.75">
      <c r="A24" s="77"/>
      <c r="B24" s="89"/>
      <c r="C24" s="80" t="s">
        <v>77</v>
      </c>
      <c r="D24" s="37"/>
      <c r="E24" s="37"/>
      <c r="F24" s="38"/>
      <c r="G24" s="37">
        <f>PRODUCT(G2:G23)</f>
      </c>
    </row>
    <row x14ac:dyDescent="0.25" r="25" customHeight="1" ht="18.75">
      <c r="A25" s="77"/>
      <c r="B25" s="89"/>
      <c r="C25" s="80"/>
      <c r="D25" s="37"/>
      <c r="E25" s="38"/>
      <c r="F25" s="37"/>
      <c r="G25" s="87"/>
    </row>
    <row x14ac:dyDescent="0.25" r="26" customHeight="1" ht="18.75">
      <c r="A26" s="77" t="s">
        <v>78</v>
      </c>
      <c r="B26" s="75">
        <v>39083</v>
      </c>
      <c r="C26" s="77"/>
      <c r="D26" s="90" t="s">
        <v>79</v>
      </c>
      <c r="E26" s="56"/>
      <c r="F26" s="90"/>
      <c r="G26" s="90"/>
    </row>
    <row x14ac:dyDescent="0.25" r="27" customHeight="1" ht="18.75">
      <c r="A27" s="77" t="s">
        <v>80</v>
      </c>
      <c r="B27" s="75">
        <v>43465</v>
      </c>
      <c r="C27" s="80" t="s">
        <v>81</v>
      </c>
      <c r="D27" s="87">
        <f>B27-B26</f>
      </c>
      <c r="E27" s="91">
        <f>D27/D29</f>
      </c>
      <c r="F27" s="90"/>
      <c r="G27" s="90"/>
    </row>
    <row x14ac:dyDescent="0.25" r="28" customHeight="1" ht="18.75">
      <c r="A28" s="77" t="s">
        <v>82</v>
      </c>
      <c r="B28" s="75">
        <v>45331</v>
      </c>
      <c r="C28" s="80" t="s">
        <v>83</v>
      </c>
      <c r="D28" s="87">
        <f>B28-B27</f>
      </c>
      <c r="E28" s="91">
        <f>D28/D29</f>
      </c>
      <c r="F28" s="90"/>
      <c r="G28" s="90"/>
    </row>
    <row x14ac:dyDescent="0.25" r="29" customHeight="1" ht="18.75">
      <c r="A29" s="77"/>
      <c r="B29" s="89"/>
      <c r="C29" s="77"/>
      <c r="D29" s="87">
        <f>B28-B26</f>
      </c>
      <c r="E29" s="56"/>
      <c r="F29" s="90"/>
      <c r="G29" s="90"/>
    </row>
    <row x14ac:dyDescent="0.25" r="30" customHeight="1" ht="18.75">
      <c r="A30" s="77" t="s">
        <v>84</v>
      </c>
      <c r="B30" s="89"/>
      <c r="C30" s="77"/>
      <c r="D30" s="90"/>
      <c r="E30" s="56"/>
      <c r="F30" s="90"/>
      <c r="G30" s="90"/>
    </row>
    <row x14ac:dyDescent="0.25" r="31" customHeight="1" ht="18.75">
      <c r="A31" s="77" t="s">
        <v>85</v>
      </c>
      <c r="B31" s="89"/>
      <c r="C31" s="77"/>
      <c r="D31" s="90"/>
      <c r="E31" s="56"/>
      <c r="F31" s="90"/>
      <c r="G31" s="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75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65" width="21.290714285714284" customWidth="1" bestFit="1"/>
    <col min="2" max="2" style="66" width="15.005" customWidth="1" bestFit="1"/>
    <col min="3" max="3" style="66" width="15.005" customWidth="1" bestFit="1"/>
    <col min="4" max="4" style="66" width="15.005" customWidth="1" bestFit="1"/>
    <col min="5" max="5" style="67" width="7.862142857142857" customWidth="1" bestFit="1"/>
    <col min="6" max="6" style="68" width="7.576428571428571" customWidth="1" bestFit="1"/>
    <col min="7" max="7" style="67" width="8.43357142857143" customWidth="1" bestFit="1"/>
    <col min="8" max="8" style="67" width="8.290714285714287" customWidth="1" bestFit="1"/>
    <col min="9" max="9" style="66" width="14.005" customWidth="1" bestFit="1"/>
    <col min="10" max="10" style="69" width="6.147857142857143" customWidth="1" bestFit="1"/>
    <col min="11" max="11" style="69" width="9.43357142857143" customWidth="1" bestFit="1"/>
    <col min="12" max="12" style="68" width="7.2907142857142855" customWidth="1" bestFit="1"/>
    <col min="13" max="13" style="67" width="17.433571428571426" customWidth="1" bestFit="1"/>
    <col min="14" max="14" style="67" width="17.433571428571426" customWidth="1" bestFit="1"/>
    <col min="15" max="15" style="70" width="17.433571428571426" customWidth="1" bestFit="1"/>
    <col min="16" max="16" style="71" width="13.576428571428572" customWidth="1" bestFit="1"/>
    <col min="17" max="17" style="71" width="13.576428571428572" customWidth="1" bestFit="1"/>
    <col min="18" max="18" style="71" width="13.576428571428572" customWidth="1" bestFit="1"/>
    <col min="19" max="19" style="71" width="13.576428571428572" customWidth="1" bestFit="1"/>
    <col min="20" max="20" style="71" width="13.576428571428572" customWidth="1" bestFit="1"/>
    <col min="21" max="21" style="71" width="13.576428571428572" customWidth="1" bestFit="1"/>
    <col min="22" max="22" style="71" width="13.576428571428572" customWidth="1" bestFit="1"/>
  </cols>
  <sheetData>
    <row x14ac:dyDescent="0.25" r="1" customHeight="1" ht="67.5" customFormat="1" s="1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4" t="s">
        <v>8</v>
      </c>
      <c r="J1" s="7" t="s">
        <v>9</v>
      </c>
      <c r="K1" s="8" t="s">
        <v>10</v>
      </c>
      <c r="L1" s="9" t="s">
        <v>11</v>
      </c>
      <c r="M1" s="5" t="s">
        <v>12</v>
      </c>
      <c r="N1" s="5" t="s">
        <v>13</v>
      </c>
      <c r="O1" s="10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x14ac:dyDescent="0.25" r="2" customHeight="1" ht="18.75">
      <c r="A2" s="11" t="s">
        <v>22</v>
      </c>
      <c r="B2" s="16">
        <v>322109.79</v>
      </c>
      <c r="C2" s="16">
        <v>435696.05</v>
      </c>
      <c r="D2" s="16">
        <v>-113586.26</v>
      </c>
      <c r="E2" s="72">
        <v>483</v>
      </c>
      <c r="F2" s="18">
        <v>49.0683229813665</v>
      </c>
      <c r="G2" s="73">
        <v>237</v>
      </c>
      <c r="H2" s="73">
        <v>246</v>
      </c>
      <c r="I2" s="16">
        <v>-103042.65</v>
      </c>
      <c r="J2" s="17">
        <v>0.153060492251769</v>
      </c>
      <c r="K2" s="17">
        <v>0.292215115596551</v>
      </c>
      <c r="L2" s="18">
        <f>-OPTI4_UPI_INS[[#This Row], [Net Profit]]/OPTI4_UPI_INS[[#This Row], [Max Intraday Drawdown]]</f>
      </c>
      <c r="M2" s="19">
        <v>0.5</v>
      </c>
      <c r="N2" s="18">
        <v>0.2</v>
      </c>
      <c r="O2" s="20">
        <v>0.2568365799357989</v>
      </c>
      <c r="P2" s="21">
        <f>(OPTI4_UPI_INS[[#This Row], [Net Profit]]-B$74)/ABS(B$74)</f>
      </c>
      <c r="Q2" s="21">
        <f>(OPTI4_UPI_INS[[#This Row], [UPI]]-J$74)/ABS(J$74)</f>
      </c>
      <c r="R2" s="21">
        <f>(OPTI4_UPI_INS[[#This Row], [SORTINO AJUSTADO]]-K$74)/ABS(K$74)</f>
      </c>
      <c r="S2" s="21">
        <f>(OPTI4_UPI_INS[[#This Row], [RECOVERY]]-L$74)/ABS(L$74)</f>
      </c>
      <c r="T2" s="21">
        <f>(OPTI4_UPI_INS[[#This Row], [ROB]]-O$74)/ABS(O$74)</f>
      </c>
      <c r="U2" s="21">
        <f>SUM(OPTI4_UPI_INS[[#This Row], [VAR NET PROFIT]:[VAR ROB]])</f>
      </c>
      <c r="V2" s="21">
        <f>OPTI4_UPI_INS[[#This Row], [SUMA]]-OPTI4_UPI_INS[[#This Row], [VAR ROB]]</f>
      </c>
    </row>
    <row x14ac:dyDescent="0.25" r="3" customHeight="1" ht="18.75">
      <c r="A3" s="11" t="s">
        <v>23</v>
      </c>
      <c r="B3" s="12">
        <v>589588.39</v>
      </c>
      <c r="C3" s="12">
        <v>857728.33</v>
      </c>
      <c r="D3" s="12">
        <v>-268139.94</v>
      </c>
      <c r="E3" s="13">
        <v>762</v>
      </c>
      <c r="F3" s="14">
        <v>43.3070866141732</v>
      </c>
      <c r="G3" s="15">
        <v>330</v>
      </c>
      <c r="H3" s="15">
        <v>432</v>
      </c>
      <c r="I3" s="29">
        <v>-315018.44</v>
      </c>
      <c r="J3" s="33">
        <v>0.122449417446725</v>
      </c>
      <c r="K3" s="33">
        <v>0.307728597971896</v>
      </c>
      <c r="L3" s="31">
        <f>-OPTI4_UPI_INS[[#This Row], [Net Profit]]/OPTI4_UPI_INS[[#This Row], [Max Intraday Drawdown]]</f>
      </c>
      <c r="M3" s="34">
        <v>1</v>
      </c>
      <c r="N3" s="31">
        <v>0.24</v>
      </c>
      <c r="O3" s="35">
        <v>0.22022668791040578</v>
      </c>
      <c r="P3" s="21">
        <f>(OPTI4_UPI_INS[[#This Row], [Net Profit]]-B$74)/ABS(B$74)</f>
      </c>
      <c r="Q3" s="21">
        <f>(OPTI4_UPI_INS[[#This Row], [UPI]]-J$74)/ABS(J$74)</f>
      </c>
      <c r="R3" s="21">
        <f>(OPTI4_UPI_INS[[#This Row], [SORTINO AJUSTADO]]-K$74)/ABS(K$74)</f>
      </c>
      <c r="S3" s="21">
        <f>(OPTI4_UPI_INS[[#This Row], [RECOVERY]]-L$74)/ABS(L$74)</f>
      </c>
      <c r="T3" s="21">
        <f>(OPTI4_UPI_INS[[#This Row], [ROB]]-O$74)/ABS(O$74)</f>
      </c>
      <c r="U3" s="21">
        <f>SUM(OPTI4_UPI_INS[[#This Row], [VAR NET PROFIT]:[VAR ROB]])</f>
      </c>
      <c r="V3" s="21">
        <f>OPTI4_UPI_INS[[#This Row], [SUMA]]-OPTI4_UPI_INS[[#This Row], [VAR ROB]]</f>
      </c>
    </row>
    <row x14ac:dyDescent="0.25" r="4" customHeight="1" ht="18.75">
      <c r="A4" s="11" t="s">
        <v>24</v>
      </c>
      <c r="B4" s="22">
        <v>560618.42</v>
      </c>
      <c r="C4" s="22">
        <v>851225.1</v>
      </c>
      <c r="D4" s="22">
        <v>-290606.68</v>
      </c>
      <c r="E4" s="23">
        <v>891</v>
      </c>
      <c r="F4" s="24">
        <v>42.5364758698092</v>
      </c>
      <c r="G4" s="25">
        <v>379</v>
      </c>
      <c r="H4" s="25">
        <v>512</v>
      </c>
      <c r="I4" s="22">
        <v>-261982.91</v>
      </c>
      <c r="J4" s="26">
        <v>0.118358506235663</v>
      </c>
      <c r="K4" s="26">
        <v>0.303508873064112</v>
      </c>
      <c r="L4" s="24">
        <f>-OPTI4_UPI_INS[[#This Row], [Net Profit]]/OPTI4_UPI_INS[[#This Row], [Max Intraday Drawdown]]</f>
      </c>
      <c r="M4" s="27">
        <v>1</v>
      </c>
      <c r="N4" s="24">
        <v>0.22</v>
      </c>
      <c r="O4" s="28">
        <v>0.22676013055247946</v>
      </c>
      <c r="P4" s="21">
        <f>(OPTI4_UPI_INS[[#This Row], [Net Profit]]-B$74)/ABS(B$74)</f>
      </c>
      <c r="Q4" s="21">
        <f>(OPTI4_UPI_INS[[#This Row], [UPI]]-J$74)/ABS(J$74)</f>
      </c>
      <c r="R4" s="21">
        <f>(OPTI4_UPI_INS[[#This Row], [SORTINO AJUSTADO]]-K$74)/ABS(K$74)</f>
      </c>
      <c r="S4" s="21">
        <f>(OPTI4_UPI_INS[[#This Row], [RECOVERY]]-L$74)/ABS(L$74)</f>
      </c>
      <c r="T4" s="21">
        <f>(OPTI4_UPI_INS[[#This Row], [ROB]]-O$74)/ABS(O$74)</f>
      </c>
      <c r="U4" s="21">
        <f>SUM(OPTI4_UPI_INS[[#This Row], [VAR NET PROFIT]:[VAR ROB]])</f>
      </c>
      <c r="V4" s="21">
        <f>OPTI4_UPI_INS[[#This Row], [SUMA]]-OPTI4_UPI_INS[[#This Row], [VAR ROB]]</f>
      </c>
    </row>
    <row x14ac:dyDescent="0.25" r="5" customHeight="1" ht="18.75">
      <c r="A5" s="11" t="s">
        <v>25</v>
      </c>
      <c r="B5" s="22">
        <v>249262.72</v>
      </c>
      <c r="C5" s="22">
        <v>357589.38</v>
      </c>
      <c r="D5" s="22">
        <v>-108326.66</v>
      </c>
      <c r="E5" s="23">
        <v>552</v>
      </c>
      <c r="F5" s="24">
        <v>48.1884057971015</v>
      </c>
      <c r="G5" s="25">
        <v>266</v>
      </c>
      <c r="H5" s="25">
        <v>286</v>
      </c>
      <c r="I5" s="22">
        <v>-69416.6899999997</v>
      </c>
      <c r="J5" s="26">
        <v>0.137910553279198</v>
      </c>
      <c r="K5" s="26">
        <v>0.288442687554853</v>
      </c>
      <c r="L5" s="24">
        <f>-OPTI4_UPI_INS[[#This Row], [Net Profit]]/OPTI4_UPI_INS[[#This Row], [Max Intraday Drawdown]]</f>
      </c>
      <c r="M5" s="27">
        <v>0.5</v>
      </c>
      <c r="N5" s="24">
        <v>0.18</v>
      </c>
      <c r="O5" s="28">
        <v>0.33632118430705504</v>
      </c>
      <c r="P5" s="21">
        <f>(OPTI4_UPI_INS[[#This Row], [Net Profit]]-B$74)/ABS(B$74)</f>
      </c>
      <c r="Q5" s="21">
        <f>(OPTI4_UPI_INS[[#This Row], [UPI]]-J$74)/ABS(J$74)</f>
      </c>
      <c r="R5" s="21">
        <f>(OPTI4_UPI_INS[[#This Row], [SORTINO AJUSTADO]]-K$74)/ABS(K$74)</f>
      </c>
      <c r="S5" s="21">
        <f>(OPTI4_UPI_INS[[#This Row], [RECOVERY]]-L$74)/ABS(L$74)</f>
      </c>
      <c r="T5" s="21">
        <f>(OPTI4_UPI_INS[[#This Row], [ROB]]-O$74)/ABS(O$74)</f>
      </c>
      <c r="U5" s="21">
        <f>SUM(OPTI4_UPI_INS[[#This Row], [VAR NET PROFIT]:[VAR ROB]])</f>
      </c>
      <c r="V5" s="21">
        <f>OPTI4_UPI_INS[[#This Row], [SUMA]]-OPTI4_UPI_INS[[#This Row], [VAR ROB]]</f>
      </c>
    </row>
    <row x14ac:dyDescent="0.25" r="6" customHeight="1" ht="18.75">
      <c r="A6" s="11" t="s">
        <v>26</v>
      </c>
      <c r="B6" s="22">
        <v>280474.86</v>
      </c>
      <c r="C6" s="22">
        <v>388289.35</v>
      </c>
      <c r="D6" s="22">
        <v>-107814.49</v>
      </c>
      <c r="E6" s="23">
        <v>513</v>
      </c>
      <c r="F6" s="24">
        <v>49.317738791423</v>
      </c>
      <c r="G6" s="25">
        <v>253</v>
      </c>
      <c r="H6" s="25">
        <v>260</v>
      </c>
      <c r="I6" s="22">
        <v>-83742.1399999997</v>
      </c>
      <c r="J6" s="26">
        <v>0.138337159083686</v>
      </c>
      <c r="K6" s="26">
        <v>0.287764622304659</v>
      </c>
      <c r="L6" s="24">
        <f>-OPTI4_UPI_INS[[#This Row], [Net Profit]]/OPTI4_UPI_INS[[#This Row], [Max Intraday Drawdown]]</f>
      </c>
      <c r="M6" s="27">
        <v>0.5</v>
      </c>
      <c r="N6" s="24">
        <v>0.19</v>
      </c>
      <c r="O6" s="28">
        <v>0.28646012112708824</v>
      </c>
      <c r="P6" s="21">
        <f>(OPTI4_UPI_INS[[#This Row], [Net Profit]]-B$74)/ABS(B$74)</f>
      </c>
      <c r="Q6" s="21">
        <f>(OPTI4_UPI_INS[[#This Row], [UPI]]-J$74)/ABS(J$74)</f>
      </c>
      <c r="R6" s="21">
        <f>(OPTI4_UPI_INS[[#This Row], [SORTINO AJUSTADO]]-K$74)/ABS(K$74)</f>
      </c>
      <c r="S6" s="21">
        <f>(OPTI4_UPI_INS[[#This Row], [RECOVERY]]-L$74)/ABS(L$74)</f>
      </c>
      <c r="T6" s="21">
        <f>(OPTI4_UPI_INS[[#This Row], [ROB]]-O$74)/ABS(O$74)</f>
      </c>
      <c r="U6" s="21">
        <f>SUM(OPTI4_UPI_INS[[#This Row], [VAR NET PROFIT]:[VAR ROB]])</f>
      </c>
      <c r="V6" s="21">
        <f>OPTI4_UPI_INS[[#This Row], [SUMA]]-OPTI4_UPI_INS[[#This Row], [VAR ROB]]</f>
      </c>
    </row>
    <row x14ac:dyDescent="0.25" r="7" customHeight="1" ht="18.75">
      <c r="A7" s="11" t="s">
        <v>27</v>
      </c>
      <c r="B7" s="22">
        <v>332644.67</v>
      </c>
      <c r="C7" s="22">
        <v>446115.43</v>
      </c>
      <c r="D7" s="22">
        <v>-113470.76</v>
      </c>
      <c r="E7" s="23">
        <v>447</v>
      </c>
      <c r="F7" s="24">
        <v>49.4407158836689</v>
      </c>
      <c r="G7" s="25">
        <v>221</v>
      </c>
      <c r="H7" s="25">
        <v>226</v>
      </c>
      <c r="I7" s="22">
        <v>-119739.43</v>
      </c>
      <c r="J7" s="26">
        <v>0.145876190366979</v>
      </c>
      <c r="K7" s="26">
        <v>0.292991764038204</v>
      </c>
      <c r="L7" s="24">
        <f>-OPTI4_UPI_INS[[#This Row], [Net Profit]]/OPTI4_UPI_INS[[#This Row], [Max Intraday Drawdown]]</f>
      </c>
      <c r="M7" s="27">
        <v>0.5</v>
      </c>
      <c r="N7" s="24">
        <v>0.21</v>
      </c>
      <c r="O7" s="28">
        <v>0.22900400119830064</v>
      </c>
      <c r="P7" s="21">
        <f>(OPTI4_UPI_INS[[#This Row], [Net Profit]]-B$74)/ABS(B$74)</f>
      </c>
      <c r="Q7" s="21">
        <f>(OPTI4_UPI_INS[[#This Row], [UPI]]-J$74)/ABS(J$74)</f>
      </c>
      <c r="R7" s="21">
        <f>(OPTI4_UPI_INS[[#This Row], [SORTINO AJUSTADO]]-K$74)/ABS(K$74)</f>
      </c>
      <c r="S7" s="21">
        <f>(OPTI4_UPI_INS[[#This Row], [RECOVERY]]-L$74)/ABS(L$74)</f>
      </c>
      <c r="T7" s="21">
        <f>(OPTI4_UPI_INS[[#This Row], [ROB]]-O$74)/ABS(O$74)</f>
      </c>
      <c r="U7" s="21">
        <f>SUM(OPTI4_UPI_INS[[#This Row], [VAR NET PROFIT]:[VAR ROB]])</f>
      </c>
      <c r="V7" s="21">
        <f>OPTI4_UPI_INS[[#This Row], [SUMA]]-OPTI4_UPI_INS[[#This Row], [VAR ROB]]</f>
      </c>
    </row>
    <row x14ac:dyDescent="0.25" r="8" customHeight="1" ht="18.75">
      <c r="A8" s="11" t="s">
        <v>28</v>
      </c>
      <c r="B8" s="22">
        <v>346773.81</v>
      </c>
      <c r="C8" s="22">
        <v>457853.03</v>
      </c>
      <c r="D8" s="22">
        <v>-111079.22</v>
      </c>
      <c r="E8" s="23">
        <v>426</v>
      </c>
      <c r="F8" s="24">
        <v>49.2957746478873</v>
      </c>
      <c r="G8" s="25">
        <v>210</v>
      </c>
      <c r="H8" s="25">
        <v>216</v>
      </c>
      <c r="I8" s="22">
        <v>-135041.51</v>
      </c>
      <c r="J8" s="26">
        <v>0.142815480814585</v>
      </c>
      <c r="K8" s="26">
        <v>0.30109990378186</v>
      </c>
      <c r="L8" s="24">
        <f>-OPTI4_UPI_INS[[#This Row], [Net Profit]]/OPTI4_UPI_INS[[#This Row], [Max Intraday Drawdown]]</f>
      </c>
      <c r="M8" s="27">
        <v>0.5</v>
      </c>
      <c r="N8" s="24">
        <v>0.22</v>
      </c>
      <c r="O8" s="28">
        <v>0.24489225603433848</v>
      </c>
      <c r="P8" s="21">
        <f>(OPTI4_UPI_INS[[#This Row], [Net Profit]]-B$74)/ABS(B$74)</f>
      </c>
      <c r="Q8" s="21">
        <f>(OPTI4_UPI_INS[[#This Row], [UPI]]-J$74)/ABS(J$74)</f>
      </c>
      <c r="R8" s="21">
        <f>(OPTI4_UPI_INS[[#This Row], [SORTINO AJUSTADO]]-K$74)/ABS(K$74)</f>
      </c>
      <c r="S8" s="21">
        <f>(OPTI4_UPI_INS[[#This Row], [RECOVERY]]-L$74)/ABS(L$74)</f>
      </c>
      <c r="T8" s="21">
        <f>(OPTI4_UPI_INS[[#This Row], [ROB]]-O$74)/ABS(O$74)</f>
      </c>
      <c r="U8" s="21">
        <f>SUM(OPTI4_UPI_INS[[#This Row], [VAR NET PROFIT]:[VAR ROB]])</f>
      </c>
      <c r="V8" s="21">
        <f>OPTI4_UPI_INS[[#This Row], [SUMA]]-OPTI4_UPI_INS[[#This Row], [VAR ROB]]</f>
      </c>
    </row>
    <row x14ac:dyDescent="0.25" r="9" customHeight="1" ht="18.75">
      <c r="A9" s="11" t="s">
        <v>29</v>
      </c>
      <c r="B9" s="22">
        <v>192605.5</v>
      </c>
      <c r="C9" s="22">
        <v>299592.38</v>
      </c>
      <c r="D9" s="22">
        <v>-106986.88</v>
      </c>
      <c r="E9" s="23">
        <v>630</v>
      </c>
      <c r="F9" s="24">
        <v>45.3968253968254</v>
      </c>
      <c r="G9" s="25">
        <v>286</v>
      </c>
      <c r="H9" s="25">
        <v>344</v>
      </c>
      <c r="I9" s="22">
        <v>-48746.3099999999</v>
      </c>
      <c r="J9" s="26">
        <v>0.130156947170127</v>
      </c>
      <c r="K9" s="26">
        <v>0.268296949749356</v>
      </c>
      <c r="L9" s="24">
        <f>-OPTI4_UPI_INS[[#This Row], [Net Profit]]/OPTI4_UPI_INS[[#This Row], [Max Intraday Drawdown]]</f>
      </c>
      <c r="M9" s="27">
        <v>0.5</v>
      </c>
      <c r="N9" s="24">
        <v>0.16</v>
      </c>
      <c r="O9" s="28">
        <v>0.41740479519996254</v>
      </c>
      <c r="P9" s="21">
        <f>(OPTI4_UPI_INS[[#This Row], [Net Profit]]-B$74)/ABS(B$74)</f>
      </c>
      <c r="Q9" s="21">
        <f>(OPTI4_UPI_INS[[#This Row], [UPI]]-J$74)/ABS(J$74)</f>
      </c>
      <c r="R9" s="21">
        <f>(OPTI4_UPI_INS[[#This Row], [SORTINO AJUSTADO]]-K$74)/ABS(K$74)</f>
      </c>
      <c r="S9" s="21">
        <f>(OPTI4_UPI_INS[[#This Row], [RECOVERY]]-L$74)/ABS(L$74)</f>
      </c>
      <c r="T9" s="21">
        <f>(OPTI4_UPI_INS[[#This Row], [ROB]]-O$74)/ABS(O$74)</f>
      </c>
      <c r="U9" s="21">
        <f>SUM(OPTI4_UPI_INS[[#This Row], [VAR NET PROFIT]:[VAR ROB]])</f>
      </c>
      <c r="V9" s="21">
        <f>OPTI4_UPI_INS[[#This Row], [SUMA]]-OPTI4_UPI_INS[[#This Row], [VAR ROB]]</f>
      </c>
    </row>
    <row x14ac:dyDescent="0.25" r="10" customHeight="1" ht="18.75">
      <c r="A10" s="11" t="s">
        <v>30</v>
      </c>
      <c r="B10" s="22">
        <v>359073.96</v>
      </c>
      <c r="C10" s="22">
        <v>466983.93</v>
      </c>
      <c r="D10" s="22">
        <v>-107909.97</v>
      </c>
      <c r="E10" s="23">
        <v>401</v>
      </c>
      <c r="F10" s="24">
        <v>49.8753117206983</v>
      </c>
      <c r="G10" s="25">
        <v>200</v>
      </c>
      <c r="H10" s="25">
        <v>201</v>
      </c>
      <c r="I10" s="22">
        <v>-150398.85</v>
      </c>
      <c r="J10" s="26">
        <v>0.140831348375646</v>
      </c>
      <c r="K10" s="26">
        <v>0.30517565286706</v>
      </c>
      <c r="L10" s="24">
        <f>-OPTI4_UPI_INS[[#This Row], [Net Profit]]/OPTI4_UPI_INS[[#This Row], [Max Intraday Drawdown]]</f>
      </c>
      <c r="M10" s="27">
        <v>0.5</v>
      </c>
      <c r="N10" s="24">
        <v>0.23</v>
      </c>
      <c r="O10" s="28">
        <v>0.2553235409206898</v>
      </c>
      <c r="P10" s="21">
        <f>(OPTI4_UPI_INS[[#This Row], [Net Profit]]-B$74)/ABS(B$74)</f>
      </c>
      <c r="Q10" s="21">
        <f>(OPTI4_UPI_INS[[#This Row], [UPI]]-J$74)/ABS(J$74)</f>
      </c>
      <c r="R10" s="21">
        <f>(OPTI4_UPI_INS[[#This Row], [SORTINO AJUSTADO]]-K$74)/ABS(K$74)</f>
      </c>
      <c r="S10" s="21">
        <f>(OPTI4_UPI_INS[[#This Row], [RECOVERY]]-L$74)/ABS(L$74)</f>
      </c>
      <c r="T10" s="21">
        <f>(OPTI4_UPI_INS[[#This Row], [ROB]]-O$74)/ABS(O$74)</f>
      </c>
      <c r="U10" s="21">
        <f>SUM(OPTI4_UPI_INS[[#This Row], [VAR NET PROFIT]:[VAR ROB]])</f>
      </c>
      <c r="V10" s="21">
        <f>OPTI4_UPI_INS[[#This Row], [SUMA]]-OPTI4_UPI_INS[[#This Row], [VAR ROB]]</f>
      </c>
    </row>
    <row x14ac:dyDescent="0.25" r="11" customHeight="1" ht="18.75">
      <c r="A11" s="11" t="s">
        <v>31</v>
      </c>
      <c r="B11" s="22">
        <v>536350.37</v>
      </c>
      <c r="C11" s="22">
        <v>836461.48</v>
      </c>
      <c r="D11" s="22">
        <v>-300111.11</v>
      </c>
      <c r="E11" s="23">
        <v>977</v>
      </c>
      <c r="F11" s="24">
        <v>41.8628454452405</v>
      </c>
      <c r="G11" s="25">
        <v>409</v>
      </c>
      <c r="H11" s="25">
        <v>568</v>
      </c>
      <c r="I11" s="22">
        <v>-280070.09</v>
      </c>
      <c r="J11" s="26">
        <v>0.113195372543945</v>
      </c>
      <c r="K11" s="26">
        <v>0.288291191824546</v>
      </c>
      <c r="L11" s="24">
        <f>-OPTI4_UPI_INS[[#This Row], [Net Profit]]/OPTI4_UPI_INS[[#This Row], [Max Intraday Drawdown]]</f>
      </c>
      <c r="M11" s="27">
        <v>1.5</v>
      </c>
      <c r="N11" s="24">
        <v>0.22</v>
      </c>
      <c r="O11" s="28">
        <v>0.27924203757236116</v>
      </c>
      <c r="P11" s="21">
        <f>(OPTI4_UPI_INS[[#This Row], [Net Profit]]-B$74)/ABS(B$74)</f>
      </c>
      <c r="Q11" s="21">
        <f>(OPTI4_UPI_INS[[#This Row], [UPI]]-J$74)/ABS(J$74)</f>
      </c>
      <c r="R11" s="21">
        <f>(OPTI4_UPI_INS[[#This Row], [SORTINO AJUSTADO]]-K$74)/ABS(K$74)</f>
      </c>
      <c r="S11" s="21">
        <f>(OPTI4_UPI_INS[[#This Row], [RECOVERY]]-L$74)/ABS(L$74)</f>
      </c>
      <c r="T11" s="21">
        <f>(OPTI4_UPI_INS[[#This Row], [ROB]]-O$74)/ABS(O$74)</f>
      </c>
      <c r="U11" s="21">
        <f>SUM(OPTI4_UPI_INS[[#This Row], [VAR NET PROFIT]:[VAR ROB]])</f>
      </c>
      <c r="V11" s="21">
        <f>OPTI4_UPI_INS[[#This Row], [SUMA]]-OPTI4_UPI_INS[[#This Row], [VAR ROB]]</f>
      </c>
    </row>
    <row x14ac:dyDescent="0.25" r="12" customHeight="1" ht="18.75">
      <c r="A12" s="21"/>
      <c r="B12" s="36">
        <v>565063.28</v>
      </c>
      <c r="C12" s="36">
        <v>847267.37</v>
      </c>
      <c r="D12" s="36">
        <v>-282204.09</v>
      </c>
      <c r="E12" s="37">
        <v>864</v>
      </c>
      <c r="F12" s="38">
        <v>41.6666666666667</v>
      </c>
      <c r="G12" s="39">
        <v>360</v>
      </c>
      <c r="H12" s="39">
        <v>504</v>
      </c>
      <c r="I12" s="36">
        <v>-329127.37</v>
      </c>
      <c r="J12" s="40">
        <v>0.1120608465033</v>
      </c>
      <c r="K12" s="40">
        <v>0.290953289065144</v>
      </c>
      <c r="L12" s="38">
        <f>-OPTI4_UPI_INS[[#This Row], [Net Profit]]/OPTI4_UPI_INS[[#This Row], [Max Intraday Drawdown]]</f>
      </c>
      <c r="M12" s="41">
        <v>0</v>
      </c>
      <c r="N12" s="38">
        <v>0.24</v>
      </c>
      <c r="O12" s="42">
        <v>0.2644732839614173</v>
      </c>
      <c r="P12" s="21">
        <f>(OPTI4_UPI_INS[[#This Row], [Net Profit]]-B$74)/ABS(B$74)</f>
      </c>
      <c r="Q12" s="21">
        <f>(OPTI4_UPI_INS[[#This Row], [UPI]]-J$74)/ABS(J$74)</f>
      </c>
      <c r="R12" s="21">
        <f>(OPTI4_UPI_INS[[#This Row], [SORTINO AJUSTADO]]-K$74)/ABS(K$74)</f>
      </c>
      <c r="S12" s="21">
        <f>(OPTI4_UPI_INS[[#This Row], [RECOVERY]]-L$74)/ABS(L$74)</f>
      </c>
      <c r="T12" s="21">
        <f>(OPTI4_UPI_INS[[#This Row], [ROB]]-O$74)/ABS(O$74)</f>
      </c>
      <c r="U12" s="21">
        <f>SUM(OPTI4_UPI_INS[[#This Row], [VAR NET PROFIT]:[VAR ROB]])</f>
      </c>
      <c r="V12" s="21">
        <f>OPTI4_UPI_INS[[#This Row], [SUMA]]-OPTI4_UPI_INS[[#This Row], [VAR ROB]]</f>
      </c>
    </row>
    <row x14ac:dyDescent="0.25" r="13" customHeight="1" ht="18.75">
      <c r="A13" s="21"/>
      <c r="B13" s="36">
        <v>534274.35</v>
      </c>
      <c r="C13" s="36">
        <v>839007.56</v>
      </c>
      <c r="D13" s="36">
        <v>-304733.21</v>
      </c>
      <c r="E13" s="37">
        <v>1049</v>
      </c>
      <c r="F13" s="38">
        <v>42.0400381315539</v>
      </c>
      <c r="G13" s="39">
        <v>441</v>
      </c>
      <c r="H13" s="39">
        <v>608</v>
      </c>
      <c r="I13" s="36">
        <v>-259613.16</v>
      </c>
      <c r="J13" s="40">
        <v>0.110182342942297</v>
      </c>
      <c r="K13" s="40">
        <v>0.285880852556719</v>
      </c>
      <c r="L13" s="38">
        <f>-OPTI4_UPI_INS[[#This Row], [Net Profit]]/OPTI4_UPI_INS[[#This Row], [Max Intraday Drawdown]]</f>
      </c>
      <c r="M13" s="41">
        <v>1.5</v>
      </c>
      <c r="N13" s="38">
        <v>0.21</v>
      </c>
      <c r="O13" s="42">
        <v>0.26736515210026124</v>
      </c>
      <c r="P13" s="21">
        <f>(OPTI4_UPI_INS[[#This Row], [Net Profit]]-B$74)/ABS(B$74)</f>
      </c>
      <c r="Q13" s="21">
        <f>(OPTI4_UPI_INS[[#This Row], [UPI]]-J$74)/ABS(J$74)</f>
      </c>
      <c r="R13" s="21">
        <f>(OPTI4_UPI_INS[[#This Row], [SORTINO AJUSTADO]]-K$74)/ABS(K$74)</f>
      </c>
      <c r="S13" s="21">
        <f>(OPTI4_UPI_INS[[#This Row], [RECOVERY]]-L$74)/ABS(L$74)</f>
      </c>
      <c r="T13" s="21">
        <f>(OPTI4_UPI_INS[[#This Row], [ROB]]-O$74)/ABS(O$74)</f>
      </c>
      <c r="U13" s="21">
        <f>SUM(OPTI4_UPI_INS[[#This Row], [VAR NET PROFIT]:[VAR ROB]])</f>
      </c>
      <c r="V13" s="21">
        <f>OPTI4_UPI_INS[[#This Row], [SUMA]]-OPTI4_UPI_INS[[#This Row], [VAR ROB]]</f>
      </c>
    </row>
    <row x14ac:dyDescent="0.25" r="14" customHeight="1" ht="18.75">
      <c r="A14" s="21"/>
      <c r="B14" s="36">
        <v>513113.03</v>
      </c>
      <c r="C14" s="36">
        <v>798913.99</v>
      </c>
      <c r="D14" s="36">
        <v>-285800.96</v>
      </c>
      <c r="E14" s="37">
        <v>962</v>
      </c>
      <c r="F14" s="38">
        <v>42.2037422037422</v>
      </c>
      <c r="G14" s="39">
        <v>406</v>
      </c>
      <c r="H14" s="39">
        <v>556</v>
      </c>
      <c r="I14" s="36">
        <v>-227471.02</v>
      </c>
      <c r="J14" s="40">
        <v>0.10702063881899</v>
      </c>
      <c r="K14" s="40">
        <v>0.289769979148466</v>
      </c>
      <c r="L14" s="38">
        <f>-OPTI4_UPI_INS[[#This Row], [Net Profit]]/OPTI4_UPI_INS[[#This Row], [Max Intraday Drawdown]]</f>
      </c>
      <c r="M14" s="41">
        <v>1</v>
      </c>
      <c r="N14" s="38">
        <v>0.21</v>
      </c>
      <c r="O14" s="42">
        <v>0.2620577827816989</v>
      </c>
      <c r="P14" s="21">
        <f>(OPTI4_UPI_INS[[#This Row], [Net Profit]]-B$74)/ABS(B$74)</f>
      </c>
      <c r="Q14" s="21">
        <f>(OPTI4_UPI_INS[[#This Row], [UPI]]-J$74)/ABS(J$74)</f>
      </c>
      <c r="R14" s="21">
        <f>(OPTI4_UPI_INS[[#This Row], [SORTINO AJUSTADO]]-K$74)/ABS(K$74)</f>
      </c>
      <c r="S14" s="21">
        <f>(OPTI4_UPI_INS[[#This Row], [RECOVERY]]-L$74)/ABS(L$74)</f>
      </c>
      <c r="T14" s="21">
        <f>(OPTI4_UPI_INS[[#This Row], [ROB]]-O$74)/ABS(O$74)</f>
      </c>
      <c r="U14" s="21">
        <f>SUM(OPTI4_UPI_INS[[#This Row], [VAR NET PROFIT]:[VAR ROB]])</f>
      </c>
      <c r="V14" s="21">
        <f>OPTI4_UPI_INS[[#This Row], [SUMA]]-OPTI4_UPI_INS[[#This Row], [VAR ROB]]</f>
      </c>
    </row>
    <row x14ac:dyDescent="0.25" r="15" customHeight="1" ht="18.75">
      <c r="A15" s="21"/>
      <c r="B15" s="36">
        <v>351602.46</v>
      </c>
      <c r="C15" s="36">
        <v>459005.18</v>
      </c>
      <c r="D15" s="36">
        <v>-107402.72</v>
      </c>
      <c r="E15" s="37">
        <v>378</v>
      </c>
      <c r="F15" s="38">
        <v>49.7354497354497</v>
      </c>
      <c r="G15" s="39">
        <v>188</v>
      </c>
      <c r="H15" s="39">
        <v>190</v>
      </c>
      <c r="I15" s="36">
        <v>-162372.39</v>
      </c>
      <c r="J15" s="40">
        <v>0.137704203828229</v>
      </c>
      <c r="K15" s="40">
        <v>0.304062038000873</v>
      </c>
      <c r="L15" s="38">
        <f>-OPTI4_UPI_INS[[#This Row], [Net Profit]]/OPTI4_UPI_INS[[#This Row], [Max Intraday Drawdown]]</f>
      </c>
      <c r="M15" s="41">
        <v>0.5</v>
      </c>
      <c r="N15" s="38">
        <v>0.24</v>
      </c>
      <c r="O15" s="42">
        <v>0.3125557488178263</v>
      </c>
      <c r="P15" s="21">
        <f>(OPTI4_UPI_INS[[#This Row], [Net Profit]]-B$74)/ABS(B$74)</f>
      </c>
      <c r="Q15" s="21">
        <f>(OPTI4_UPI_INS[[#This Row], [UPI]]-J$74)/ABS(J$74)</f>
      </c>
      <c r="R15" s="21">
        <f>(OPTI4_UPI_INS[[#This Row], [SORTINO AJUSTADO]]-K$74)/ABS(K$74)</f>
      </c>
      <c r="S15" s="21">
        <f>(OPTI4_UPI_INS[[#This Row], [RECOVERY]]-L$74)/ABS(L$74)</f>
      </c>
      <c r="T15" s="21">
        <f>(OPTI4_UPI_INS[[#This Row], [ROB]]-O$74)/ABS(O$74)</f>
      </c>
      <c r="U15" s="21">
        <f>SUM(OPTI4_UPI_INS[[#This Row], [VAR NET PROFIT]:[VAR ROB]])</f>
      </c>
      <c r="V15" s="21">
        <f>OPTI4_UPI_INS[[#This Row], [SUMA]]-OPTI4_UPI_INS[[#This Row], [VAR ROB]]</f>
      </c>
    </row>
    <row x14ac:dyDescent="0.25" r="16" customHeight="1" ht="18.75">
      <c r="A16" s="21"/>
      <c r="B16" s="36">
        <v>533756.6</v>
      </c>
      <c r="C16" s="36">
        <v>803226.93</v>
      </c>
      <c r="D16" s="36">
        <v>-269470.33</v>
      </c>
      <c r="E16" s="37">
        <v>832</v>
      </c>
      <c r="F16" s="38">
        <v>41.8269230769231</v>
      </c>
      <c r="G16" s="39">
        <v>348</v>
      </c>
      <c r="H16" s="39">
        <v>484</v>
      </c>
      <c r="I16" s="36">
        <v>-309846.99</v>
      </c>
      <c r="J16" s="40">
        <v>0.113904245958156</v>
      </c>
      <c r="K16" s="40">
        <v>0.289795237033006</v>
      </c>
      <c r="L16" s="38">
        <f>-OPTI4_UPI_INS[[#This Row], [Net Profit]]/OPTI4_UPI_INS[[#This Row], [Max Intraday Drawdown]]</f>
      </c>
      <c r="M16" s="41">
        <v>1.5</v>
      </c>
      <c r="N16" s="38">
        <v>0.24</v>
      </c>
      <c r="O16" s="42">
        <v>0.28553399567512605</v>
      </c>
      <c r="P16" s="21">
        <f>(OPTI4_UPI_INS[[#This Row], [Net Profit]]-B$74)/ABS(B$74)</f>
      </c>
      <c r="Q16" s="21">
        <f>(OPTI4_UPI_INS[[#This Row], [UPI]]-J$74)/ABS(J$74)</f>
      </c>
      <c r="R16" s="21">
        <f>(OPTI4_UPI_INS[[#This Row], [SORTINO AJUSTADO]]-K$74)/ABS(K$74)</f>
      </c>
      <c r="S16" s="21">
        <f>(OPTI4_UPI_INS[[#This Row], [RECOVERY]]-L$74)/ABS(L$74)</f>
      </c>
      <c r="T16" s="21">
        <f>(OPTI4_UPI_INS[[#This Row], [ROB]]-O$74)/ABS(O$74)</f>
      </c>
      <c r="U16" s="21">
        <f>SUM(OPTI4_UPI_INS[[#This Row], [VAR NET PROFIT]:[VAR ROB]])</f>
      </c>
      <c r="V16" s="21">
        <f>OPTI4_UPI_INS[[#This Row], [SUMA]]-OPTI4_UPI_INS[[#This Row], [VAR ROB]]</f>
      </c>
    </row>
    <row x14ac:dyDescent="0.25" r="17" customHeight="1" ht="18.75">
      <c r="A17" s="21"/>
      <c r="B17" s="36">
        <v>509265.11</v>
      </c>
      <c r="C17" s="36">
        <v>771372.16</v>
      </c>
      <c r="D17" s="36">
        <v>-262107.05</v>
      </c>
      <c r="E17" s="37">
        <v>828</v>
      </c>
      <c r="F17" s="38">
        <v>42.2705314009662</v>
      </c>
      <c r="G17" s="39">
        <v>350</v>
      </c>
      <c r="H17" s="39">
        <v>478</v>
      </c>
      <c r="I17" s="36">
        <v>-252705.35</v>
      </c>
      <c r="J17" s="40">
        <v>0.111519017379772</v>
      </c>
      <c r="K17" s="40">
        <v>0.296730362944958</v>
      </c>
      <c r="L17" s="38">
        <f>-OPTI4_UPI_INS[[#This Row], [Net Profit]]/OPTI4_UPI_INS[[#This Row], [Max Intraday Drawdown]]</f>
      </c>
      <c r="M17" s="41">
        <v>1</v>
      </c>
      <c r="N17" s="38">
        <v>0.23</v>
      </c>
      <c r="O17" s="42">
        <v>0.24033095834894042</v>
      </c>
      <c r="P17" s="21">
        <f>(OPTI4_UPI_INS[[#This Row], [Net Profit]]-B$74)/ABS(B$74)</f>
      </c>
      <c r="Q17" s="21">
        <f>(OPTI4_UPI_INS[[#This Row], [UPI]]-J$74)/ABS(J$74)</f>
      </c>
      <c r="R17" s="21">
        <f>(OPTI4_UPI_INS[[#This Row], [SORTINO AJUSTADO]]-K$74)/ABS(K$74)</f>
      </c>
      <c r="S17" s="21">
        <f>(OPTI4_UPI_INS[[#This Row], [RECOVERY]]-L$74)/ABS(L$74)</f>
      </c>
      <c r="T17" s="21">
        <f>(OPTI4_UPI_INS[[#This Row], [ROB]]-O$74)/ABS(O$74)</f>
      </c>
      <c r="U17" s="21">
        <f>SUM(OPTI4_UPI_INS[[#This Row], [VAR NET PROFIT]:[VAR ROB]])</f>
      </c>
      <c r="V17" s="21">
        <f>OPTI4_UPI_INS[[#This Row], [SUMA]]-OPTI4_UPI_INS[[#This Row], [VAR ROB]]</f>
      </c>
    </row>
    <row x14ac:dyDescent="0.25" r="18" customHeight="1" ht="18.75">
      <c r="A18" s="21"/>
      <c r="B18" s="36">
        <v>210900.4</v>
      </c>
      <c r="C18" s="36">
        <v>320396.12</v>
      </c>
      <c r="D18" s="36">
        <v>-109495.72</v>
      </c>
      <c r="E18" s="37">
        <v>595</v>
      </c>
      <c r="F18" s="38">
        <v>45.546218487395</v>
      </c>
      <c r="G18" s="39">
        <v>271</v>
      </c>
      <c r="H18" s="39">
        <v>324</v>
      </c>
      <c r="I18" s="36">
        <v>-59222.71</v>
      </c>
      <c r="J18" s="40">
        <v>0.130977651232883</v>
      </c>
      <c r="K18" s="40">
        <v>0.26906077822842</v>
      </c>
      <c r="L18" s="38">
        <f>-OPTI4_UPI_INS[[#This Row], [Net Profit]]/OPTI4_UPI_INS[[#This Row], [Max Intraday Drawdown]]</f>
      </c>
      <c r="M18" s="41">
        <v>0.5</v>
      </c>
      <c r="N18" s="38">
        <v>0.17</v>
      </c>
      <c r="O18" s="42">
        <v>0.3853067538524451</v>
      </c>
      <c r="P18" s="21">
        <f>(OPTI4_UPI_INS[[#This Row], [Net Profit]]-B$74)/ABS(B$74)</f>
      </c>
      <c r="Q18" s="21">
        <f>(OPTI4_UPI_INS[[#This Row], [UPI]]-J$74)/ABS(J$74)</f>
      </c>
      <c r="R18" s="21">
        <f>(OPTI4_UPI_INS[[#This Row], [SORTINO AJUSTADO]]-K$74)/ABS(K$74)</f>
      </c>
      <c r="S18" s="21">
        <f>(OPTI4_UPI_INS[[#This Row], [RECOVERY]]-L$74)/ABS(L$74)</f>
      </c>
      <c r="T18" s="21">
        <f>(OPTI4_UPI_INS[[#This Row], [ROB]]-O$74)/ABS(O$74)</f>
      </c>
      <c r="U18" s="21">
        <f>SUM(OPTI4_UPI_INS[[#This Row], [VAR NET PROFIT]:[VAR ROB]])</f>
      </c>
      <c r="V18" s="21">
        <f>OPTI4_UPI_INS[[#This Row], [SUMA]]-OPTI4_UPI_INS[[#This Row], [VAR ROB]]</f>
      </c>
    </row>
    <row x14ac:dyDescent="0.25" r="19" customHeight="1" ht="18.75">
      <c r="A19" s="21"/>
      <c r="B19" s="36">
        <v>491888.27</v>
      </c>
      <c r="C19" s="36">
        <v>793284.55</v>
      </c>
      <c r="D19" s="36">
        <v>-301396.28</v>
      </c>
      <c r="E19" s="37">
        <v>1061</v>
      </c>
      <c r="F19" s="38">
        <v>42.4128180961357</v>
      </c>
      <c r="G19" s="39">
        <v>450</v>
      </c>
      <c r="H19" s="39">
        <v>611</v>
      </c>
      <c r="I19" s="36">
        <v>-220202.21</v>
      </c>
      <c r="J19" s="40">
        <v>0.109208174283267</v>
      </c>
      <c r="K19" s="40">
        <v>0.280197663929898</v>
      </c>
      <c r="L19" s="38">
        <f>-OPTI4_UPI_INS[[#This Row], [Net Profit]]/OPTI4_UPI_INS[[#This Row], [Max Intraday Drawdown]]</f>
      </c>
      <c r="M19" s="41">
        <v>1</v>
      </c>
      <c r="N19" s="38">
        <v>0.2</v>
      </c>
      <c r="O19" s="42">
        <v>0.2862278736182303</v>
      </c>
      <c r="P19" s="21">
        <f>(OPTI4_UPI_INS[[#This Row], [Net Profit]]-B$74)/ABS(B$74)</f>
      </c>
      <c r="Q19" s="21">
        <f>(OPTI4_UPI_INS[[#This Row], [UPI]]-J$74)/ABS(J$74)</f>
      </c>
      <c r="R19" s="21">
        <f>(OPTI4_UPI_INS[[#This Row], [SORTINO AJUSTADO]]-K$74)/ABS(K$74)</f>
      </c>
      <c r="S19" s="21">
        <f>(OPTI4_UPI_INS[[#This Row], [RECOVERY]]-L$74)/ABS(L$74)</f>
      </c>
      <c r="T19" s="21">
        <f>(OPTI4_UPI_INS[[#This Row], [ROB]]-O$74)/ABS(O$74)</f>
      </c>
      <c r="U19" s="21">
        <f>SUM(OPTI4_UPI_INS[[#This Row], [VAR NET PROFIT]:[VAR ROB]])</f>
      </c>
      <c r="V19" s="21">
        <f>OPTI4_UPI_INS[[#This Row], [SUMA]]-OPTI4_UPI_INS[[#This Row], [VAR ROB]]</f>
      </c>
    </row>
    <row x14ac:dyDescent="0.25" r="20" customHeight="1" ht="18.75">
      <c r="A20" s="21"/>
      <c r="B20" s="36">
        <v>519524.57</v>
      </c>
      <c r="C20" s="36">
        <v>826450.670000001</v>
      </c>
      <c r="D20" s="36">
        <v>-306926.1</v>
      </c>
      <c r="E20" s="37">
        <v>1096</v>
      </c>
      <c r="F20" s="38">
        <v>41.3321167883212</v>
      </c>
      <c r="G20" s="39">
        <v>453</v>
      </c>
      <c r="H20" s="39">
        <v>643</v>
      </c>
      <c r="I20" s="36">
        <v>-267516.96</v>
      </c>
      <c r="J20" s="40">
        <v>0.103609699607165</v>
      </c>
      <c r="K20" s="40">
        <v>0.27250746872685</v>
      </c>
      <c r="L20" s="38">
        <f>-OPTI4_UPI_INS[[#This Row], [Net Profit]]/OPTI4_UPI_INS[[#This Row], [Max Intraday Drawdown]]</f>
      </c>
      <c r="M20" s="41">
        <v>0</v>
      </c>
      <c r="N20" s="38">
        <v>0.21</v>
      </c>
      <c r="O20" s="42">
        <v>0.2801130001388636</v>
      </c>
      <c r="P20" s="21">
        <f>(OPTI4_UPI_INS[[#This Row], [Net Profit]]-B$74)/ABS(B$74)</f>
      </c>
      <c r="Q20" s="21">
        <f>(OPTI4_UPI_INS[[#This Row], [UPI]]-J$74)/ABS(J$74)</f>
      </c>
      <c r="R20" s="21">
        <f>(OPTI4_UPI_INS[[#This Row], [SORTINO AJUSTADO]]-K$74)/ABS(K$74)</f>
      </c>
      <c r="S20" s="21">
        <f>(OPTI4_UPI_INS[[#This Row], [RECOVERY]]-L$74)/ABS(L$74)</f>
      </c>
      <c r="T20" s="21">
        <f>(OPTI4_UPI_INS[[#This Row], [ROB]]-O$74)/ABS(O$74)</f>
      </c>
      <c r="U20" s="21">
        <f>SUM(OPTI4_UPI_INS[[#This Row], [VAR NET PROFIT]:[VAR ROB]])</f>
      </c>
      <c r="V20" s="21">
        <f>OPTI4_UPI_INS[[#This Row], [SUMA]]-OPTI4_UPI_INS[[#This Row], [VAR ROB]]</f>
      </c>
    </row>
    <row x14ac:dyDescent="0.25" r="21" customHeight="1" ht="18.75">
      <c r="A21" s="21"/>
      <c r="B21" s="36">
        <v>521766.73</v>
      </c>
      <c r="C21" s="36">
        <v>822748.7</v>
      </c>
      <c r="D21" s="36">
        <v>-300981.97</v>
      </c>
      <c r="E21" s="37">
        <v>1021</v>
      </c>
      <c r="F21" s="38">
        <v>40.8423114593536</v>
      </c>
      <c r="G21" s="39">
        <v>417</v>
      </c>
      <c r="H21" s="39">
        <v>604</v>
      </c>
      <c r="I21" s="36">
        <v>-276731.33</v>
      </c>
      <c r="J21" s="40">
        <v>0.105882042995103</v>
      </c>
      <c r="K21" s="40">
        <v>0.27563165312093</v>
      </c>
      <c r="L21" s="38">
        <f>-OPTI4_UPI_INS[[#This Row], [Net Profit]]/OPTI4_UPI_INS[[#This Row], [Max Intraday Drawdown]]</f>
      </c>
      <c r="M21" s="41">
        <v>0</v>
      </c>
      <c r="N21" s="38">
        <v>0.22</v>
      </c>
      <c r="O21" s="42">
        <v>0.25517226964263057</v>
      </c>
      <c r="P21" s="21">
        <f>(OPTI4_UPI_INS[[#This Row], [Net Profit]]-B$74)/ABS(B$74)</f>
      </c>
      <c r="Q21" s="21">
        <f>(OPTI4_UPI_INS[[#This Row], [UPI]]-J$74)/ABS(J$74)</f>
      </c>
      <c r="R21" s="21">
        <f>(OPTI4_UPI_INS[[#This Row], [SORTINO AJUSTADO]]-K$74)/ABS(K$74)</f>
      </c>
      <c r="S21" s="21">
        <f>(OPTI4_UPI_INS[[#This Row], [RECOVERY]]-L$74)/ABS(L$74)</f>
      </c>
      <c r="T21" s="21">
        <f>(OPTI4_UPI_INS[[#This Row], [ROB]]-O$74)/ABS(O$74)</f>
      </c>
      <c r="U21" s="21">
        <f>SUM(OPTI4_UPI_INS[[#This Row], [VAR NET PROFIT]:[VAR ROB]])</f>
      </c>
      <c r="V21" s="21">
        <f>OPTI4_UPI_INS[[#This Row], [SUMA]]-OPTI4_UPI_INS[[#This Row], [VAR ROB]]</f>
      </c>
    </row>
    <row x14ac:dyDescent="0.25" r="22" customHeight="1" ht="18.75">
      <c r="A22" s="21"/>
      <c r="B22" s="36">
        <v>499356.35</v>
      </c>
      <c r="C22" s="36">
        <v>778967.49</v>
      </c>
      <c r="D22" s="36">
        <v>-279611.14</v>
      </c>
      <c r="E22" s="37">
        <v>909</v>
      </c>
      <c r="F22" s="38">
        <v>40.8140814081408</v>
      </c>
      <c r="G22" s="39">
        <v>371</v>
      </c>
      <c r="H22" s="39">
        <v>538</v>
      </c>
      <c r="I22" s="36">
        <v>-274118.16</v>
      </c>
      <c r="J22" s="40">
        <v>0.110209925788733</v>
      </c>
      <c r="K22" s="40">
        <v>0.277447089111649</v>
      </c>
      <c r="L22" s="38">
        <f>-OPTI4_UPI_INS[[#This Row], [Net Profit]]/OPTI4_UPI_INS[[#This Row], [Max Intraday Drawdown]]</f>
      </c>
      <c r="M22" s="41">
        <v>1.5</v>
      </c>
      <c r="N22" s="38">
        <v>0.23</v>
      </c>
      <c r="O22" s="42">
        <v>0.270918043386748</v>
      </c>
      <c r="P22" s="21">
        <f>(OPTI4_UPI_INS[[#This Row], [Net Profit]]-B$74)/ABS(B$74)</f>
      </c>
      <c r="Q22" s="21">
        <f>(OPTI4_UPI_INS[[#This Row], [UPI]]-J$74)/ABS(J$74)</f>
      </c>
      <c r="R22" s="21">
        <f>(OPTI4_UPI_INS[[#This Row], [SORTINO AJUSTADO]]-K$74)/ABS(K$74)</f>
      </c>
      <c r="S22" s="21">
        <f>(OPTI4_UPI_INS[[#This Row], [RECOVERY]]-L$74)/ABS(L$74)</f>
      </c>
      <c r="T22" s="21">
        <f>(OPTI4_UPI_INS[[#This Row], [ROB]]-O$74)/ABS(O$74)</f>
      </c>
      <c r="U22" s="21">
        <f>SUM(OPTI4_UPI_INS[[#This Row], [VAR NET PROFIT]:[VAR ROB]])</f>
      </c>
      <c r="V22" s="21">
        <f>OPTI4_UPI_INS[[#This Row], [SUMA]]-OPTI4_UPI_INS[[#This Row], [VAR ROB]]</f>
      </c>
    </row>
    <row x14ac:dyDescent="0.25" r="23" customHeight="1" ht="18.75">
      <c r="A23" s="21"/>
      <c r="B23" s="36">
        <v>156123.73</v>
      </c>
      <c r="C23" s="36">
        <v>257590.51</v>
      </c>
      <c r="D23" s="36">
        <v>-101466.78</v>
      </c>
      <c r="E23" s="37">
        <v>668</v>
      </c>
      <c r="F23" s="38">
        <v>44.0119760479042</v>
      </c>
      <c r="G23" s="39">
        <v>294</v>
      </c>
      <c r="H23" s="39">
        <v>374</v>
      </c>
      <c r="I23" s="36">
        <v>-39735.1900000001</v>
      </c>
      <c r="J23" s="40">
        <v>0.117076368233179</v>
      </c>
      <c r="K23" s="40">
        <v>0.245481479811582</v>
      </c>
      <c r="L23" s="38">
        <f>-OPTI4_UPI_INS[[#This Row], [Net Profit]]/OPTI4_UPI_INS[[#This Row], [Max Intraday Drawdown]]</f>
      </c>
      <c r="M23" s="41">
        <v>0.5</v>
      </c>
      <c r="N23" s="38">
        <v>0.15</v>
      </c>
      <c r="O23" s="42">
        <v>0.4213273516819357</v>
      </c>
      <c r="P23" s="21">
        <f>(OPTI4_UPI_INS[[#This Row], [Net Profit]]-B$74)/ABS(B$74)</f>
      </c>
      <c r="Q23" s="21">
        <f>(OPTI4_UPI_INS[[#This Row], [UPI]]-J$74)/ABS(J$74)</f>
      </c>
      <c r="R23" s="21">
        <f>(OPTI4_UPI_INS[[#This Row], [SORTINO AJUSTADO]]-K$74)/ABS(K$74)</f>
      </c>
      <c r="S23" s="21">
        <f>(OPTI4_UPI_INS[[#This Row], [RECOVERY]]-L$74)/ABS(L$74)</f>
      </c>
      <c r="T23" s="21">
        <f>(OPTI4_UPI_INS[[#This Row], [ROB]]-O$74)/ABS(O$74)</f>
      </c>
      <c r="U23" s="21">
        <f>SUM(OPTI4_UPI_INS[[#This Row], [VAR NET PROFIT]:[VAR ROB]])</f>
      </c>
      <c r="V23" s="21">
        <f>OPTI4_UPI_INS[[#This Row], [SUMA]]-OPTI4_UPI_INS[[#This Row], [VAR ROB]]</f>
      </c>
    </row>
    <row x14ac:dyDescent="0.25" r="24" customHeight="1" ht="18.75">
      <c r="A24" s="21"/>
      <c r="B24" s="43">
        <v>121283.42</v>
      </c>
      <c r="C24" s="43">
        <v>214410.27</v>
      </c>
      <c r="D24" s="43">
        <v>-93126.85</v>
      </c>
      <c r="E24" s="44">
        <v>742</v>
      </c>
      <c r="F24" s="45">
        <v>42.1832884097035</v>
      </c>
      <c r="G24" s="46">
        <v>313</v>
      </c>
      <c r="H24" s="46">
        <v>429</v>
      </c>
      <c r="I24" s="43">
        <v>-27234.19</v>
      </c>
      <c r="J24" s="47">
        <v>0.112182043701804</v>
      </c>
      <c r="K24" s="47">
        <v>0.252346632920924</v>
      </c>
      <c r="L24" s="45">
        <f>-OPTI4_UPI_INS[[#This Row], [Net Profit]]/OPTI4_UPI_INS[[#This Row], [Max Intraday Drawdown]]</f>
      </c>
      <c r="M24" s="48">
        <v>0.5</v>
      </c>
      <c r="N24" s="45">
        <v>0.13</v>
      </c>
      <c r="O24" s="49">
        <v>0.35796246160903694</v>
      </c>
      <c r="P24" s="21">
        <f>(OPTI4_UPI_INS[[#This Row], [Net Profit]]-B$74)/ABS(B$74)</f>
      </c>
      <c r="Q24" s="21">
        <f>(OPTI4_UPI_INS[[#This Row], [UPI]]-J$74)/ABS(J$74)</f>
      </c>
      <c r="R24" s="21">
        <f>(OPTI4_UPI_INS[[#This Row], [SORTINO AJUSTADO]]-K$74)/ABS(K$74)</f>
      </c>
      <c r="S24" s="21">
        <f>(OPTI4_UPI_INS[[#This Row], [RECOVERY]]-L$74)/ABS(L$74)</f>
      </c>
      <c r="T24" s="21">
        <f>(OPTI4_UPI_INS[[#This Row], [ROB]]-O$74)/ABS(O$74)</f>
      </c>
      <c r="U24" s="21">
        <f>SUM(OPTI4_UPI_INS[[#This Row], [VAR NET PROFIT]:[VAR ROB]])</f>
      </c>
      <c r="V24" s="21">
        <f>OPTI4_UPI_INS[[#This Row], [SUMA]]-OPTI4_UPI_INS[[#This Row], [VAR ROB]]</f>
      </c>
    </row>
    <row x14ac:dyDescent="0.25" r="25" customHeight="1" ht="18.75">
      <c r="A25" s="21"/>
      <c r="B25" s="36">
        <v>449171.03</v>
      </c>
      <c r="C25" s="36">
        <v>764418.37</v>
      </c>
      <c r="D25" s="36">
        <v>-315247.34</v>
      </c>
      <c r="E25" s="37">
        <v>1161</v>
      </c>
      <c r="F25" s="38">
        <v>42.0327304048234</v>
      </c>
      <c r="G25" s="39">
        <v>488</v>
      </c>
      <c r="H25" s="39">
        <v>673</v>
      </c>
      <c r="I25" s="36">
        <v>-220143.45</v>
      </c>
      <c r="J25" s="40">
        <v>0.105585969205675</v>
      </c>
      <c r="K25" s="40">
        <v>0.265609809741692</v>
      </c>
      <c r="L25" s="38">
        <f>-OPTI4_UPI_INS[[#This Row], [Net Profit]]/OPTI4_UPI_INS[[#This Row], [Max Intraday Drawdown]]</f>
      </c>
      <c r="M25" s="41">
        <v>1.5</v>
      </c>
      <c r="N25" s="38">
        <v>0.2</v>
      </c>
      <c r="O25" s="42">
        <v>0.32332822486331086</v>
      </c>
      <c r="P25" s="21">
        <f>(OPTI4_UPI_INS[[#This Row], [Net Profit]]-B$74)/ABS(B$74)</f>
      </c>
      <c r="Q25" s="21">
        <f>(OPTI4_UPI_INS[[#This Row], [UPI]]-J$74)/ABS(J$74)</f>
      </c>
      <c r="R25" s="21">
        <f>(OPTI4_UPI_INS[[#This Row], [SORTINO AJUSTADO]]-K$74)/ABS(K$74)</f>
      </c>
      <c r="S25" s="21">
        <f>(OPTI4_UPI_INS[[#This Row], [RECOVERY]]-L$74)/ABS(L$74)</f>
      </c>
      <c r="T25" s="21">
        <f>(OPTI4_UPI_INS[[#This Row], [ROB]]-O$74)/ABS(O$74)</f>
      </c>
      <c r="U25" s="21">
        <f>SUM(OPTI4_UPI_INS[[#This Row], [VAR NET PROFIT]:[VAR ROB]])</f>
      </c>
      <c r="V25" s="21">
        <f>OPTI4_UPI_INS[[#This Row], [SUMA]]-OPTI4_UPI_INS[[#This Row], [VAR ROB]]</f>
      </c>
    </row>
    <row x14ac:dyDescent="0.25" r="26" customHeight="1" ht="18.75">
      <c r="A26" s="21"/>
      <c r="B26" s="36">
        <v>387047.34</v>
      </c>
      <c r="C26" s="36">
        <v>694310.43</v>
      </c>
      <c r="D26" s="36">
        <v>-307263.09</v>
      </c>
      <c r="E26" s="37">
        <v>1409</v>
      </c>
      <c r="F26" s="38">
        <v>41.4478353442158</v>
      </c>
      <c r="G26" s="39">
        <v>584</v>
      </c>
      <c r="H26" s="39">
        <v>824</v>
      </c>
      <c r="I26" s="36">
        <v>-166045.15</v>
      </c>
      <c r="J26" s="40">
        <v>0.0959109648422516</v>
      </c>
      <c r="K26" s="40">
        <v>0.260121704321881</v>
      </c>
      <c r="L26" s="38">
        <f>-OPTI4_UPI_INS[[#This Row], [Net Profit]]/OPTI4_UPI_INS[[#This Row], [Max Intraday Drawdown]]</f>
      </c>
      <c r="M26" s="41">
        <v>1.5</v>
      </c>
      <c r="N26" s="38">
        <v>0.18</v>
      </c>
      <c r="O26" s="42">
        <v>0.40965119111218484</v>
      </c>
      <c r="P26" s="21">
        <f>(OPTI4_UPI_INS[[#This Row], [Net Profit]]-B$74)/ABS(B$74)</f>
      </c>
      <c r="Q26" s="21">
        <f>(OPTI4_UPI_INS[[#This Row], [UPI]]-J$74)/ABS(J$74)</f>
      </c>
      <c r="R26" s="21">
        <f>(OPTI4_UPI_INS[[#This Row], [SORTINO AJUSTADO]]-K$74)/ABS(K$74)</f>
      </c>
      <c r="S26" s="21">
        <f>(OPTI4_UPI_INS[[#This Row], [RECOVERY]]-L$74)/ABS(L$74)</f>
      </c>
      <c r="T26" s="21">
        <f>(OPTI4_UPI_INS[[#This Row], [ROB]]-O$74)/ABS(O$74)</f>
      </c>
      <c r="U26" s="21">
        <f>SUM(OPTI4_UPI_INS[[#This Row], [VAR NET PROFIT]:[VAR ROB]])</f>
      </c>
      <c r="V26" s="21">
        <f>OPTI4_UPI_INS[[#This Row], [SUMA]]-OPTI4_UPI_INS[[#This Row], [VAR ROB]]</f>
      </c>
    </row>
    <row x14ac:dyDescent="0.25" r="27" customHeight="1" ht="18.75">
      <c r="A27" s="21"/>
      <c r="B27" s="36">
        <v>494484.9</v>
      </c>
      <c r="C27" s="36">
        <v>771869.68</v>
      </c>
      <c r="D27" s="36">
        <v>-277384.78</v>
      </c>
      <c r="E27" s="37">
        <v>945</v>
      </c>
      <c r="F27" s="38">
        <v>40.7407407407407</v>
      </c>
      <c r="G27" s="39">
        <v>385</v>
      </c>
      <c r="H27" s="39">
        <v>560</v>
      </c>
      <c r="I27" s="36">
        <v>-274755.39</v>
      </c>
      <c r="J27" s="40">
        <v>0.100189905837851</v>
      </c>
      <c r="K27" s="40">
        <v>0.269276668805633</v>
      </c>
      <c r="L27" s="38">
        <f>-OPTI4_UPI_INS[[#This Row], [Net Profit]]/OPTI4_UPI_INS[[#This Row], [Max Intraday Drawdown]]</f>
      </c>
      <c r="M27" s="41">
        <v>0</v>
      </c>
      <c r="N27" s="38">
        <v>0.23</v>
      </c>
      <c r="O27" s="42">
        <v>0.24905645052055322</v>
      </c>
      <c r="P27" s="21">
        <f>(OPTI4_UPI_INS[[#This Row], [Net Profit]]-B$74)/ABS(B$74)</f>
      </c>
      <c r="Q27" s="21">
        <f>(OPTI4_UPI_INS[[#This Row], [UPI]]-J$74)/ABS(J$74)</f>
      </c>
      <c r="R27" s="21">
        <f>(OPTI4_UPI_INS[[#This Row], [SORTINO AJUSTADO]]-K$74)/ABS(K$74)</f>
      </c>
      <c r="S27" s="21">
        <f>(OPTI4_UPI_INS[[#This Row], [RECOVERY]]-L$74)/ABS(L$74)</f>
      </c>
      <c r="T27" s="21">
        <f>(OPTI4_UPI_INS[[#This Row], [ROB]]-O$74)/ABS(O$74)</f>
      </c>
      <c r="U27" s="21">
        <f>SUM(OPTI4_UPI_INS[[#This Row], [VAR NET PROFIT]:[VAR ROB]])</f>
      </c>
      <c r="V27" s="21">
        <f>OPTI4_UPI_INS[[#This Row], [SUMA]]-OPTI4_UPI_INS[[#This Row], [VAR ROB]]</f>
      </c>
    </row>
    <row x14ac:dyDescent="0.25" r="28" customHeight="1" ht="18.75">
      <c r="A28" s="21"/>
      <c r="B28" s="36">
        <v>459888.42</v>
      </c>
      <c r="C28" s="36">
        <v>785876.34</v>
      </c>
      <c r="D28" s="36">
        <v>-325987.92</v>
      </c>
      <c r="E28" s="37">
        <v>1215</v>
      </c>
      <c r="F28" s="38">
        <v>41.0699588477366</v>
      </c>
      <c r="G28" s="39">
        <v>499</v>
      </c>
      <c r="H28" s="39">
        <v>716</v>
      </c>
      <c r="I28" s="36">
        <v>-232646.51</v>
      </c>
      <c r="J28" s="40">
        <v>0.0961639228778342</v>
      </c>
      <c r="K28" s="40">
        <v>0.264427647303703</v>
      </c>
      <c r="L28" s="38">
        <f>-OPTI4_UPI_INS[[#This Row], [Net Profit]]/OPTI4_UPI_INS[[#This Row], [Max Intraday Drawdown]]</f>
      </c>
      <c r="M28" s="41">
        <v>0</v>
      </c>
      <c r="N28" s="38">
        <v>0.2</v>
      </c>
      <c r="O28" s="42">
        <v>0.31359229998299165</v>
      </c>
      <c r="P28" s="21">
        <f>(OPTI4_UPI_INS[[#This Row], [Net Profit]]-B$74)/ABS(B$74)</f>
      </c>
      <c r="Q28" s="21">
        <f>(OPTI4_UPI_INS[[#This Row], [UPI]]-J$74)/ABS(J$74)</f>
      </c>
      <c r="R28" s="21">
        <f>(OPTI4_UPI_INS[[#This Row], [SORTINO AJUSTADO]]-K$74)/ABS(K$74)</f>
      </c>
      <c r="S28" s="21">
        <f>(OPTI4_UPI_INS[[#This Row], [RECOVERY]]-L$74)/ABS(L$74)</f>
      </c>
      <c r="T28" s="21">
        <f>(OPTI4_UPI_INS[[#This Row], [ROB]]-O$74)/ABS(O$74)</f>
      </c>
      <c r="U28" s="21">
        <f>SUM(OPTI4_UPI_INS[[#This Row], [VAR NET PROFIT]:[VAR ROB]])</f>
      </c>
      <c r="V28" s="21">
        <f>OPTI4_UPI_INS[[#This Row], [SUMA]]-OPTI4_UPI_INS[[#This Row], [VAR ROB]]</f>
      </c>
    </row>
    <row x14ac:dyDescent="0.25" r="29" customHeight="1" ht="18.75">
      <c r="A29" s="21"/>
      <c r="B29" s="36">
        <v>356849.92</v>
      </c>
      <c r="C29" s="36">
        <v>623876.5</v>
      </c>
      <c r="D29" s="36">
        <v>-267026.58</v>
      </c>
      <c r="E29" s="37">
        <v>1287</v>
      </c>
      <c r="F29" s="38">
        <v>42.1134421134421</v>
      </c>
      <c r="G29" s="39">
        <v>542</v>
      </c>
      <c r="H29" s="39">
        <v>745</v>
      </c>
      <c r="I29" s="36">
        <v>-144845.92</v>
      </c>
      <c r="J29" s="40">
        <v>0.0895534967256192</v>
      </c>
      <c r="K29" s="40">
        <v>0.258504802594291</v>
      </c>
      <c r="L29" s="38">
        <f>-OPTI4_UPI_INS[[#This Row], [Net Profit]]/OPTI4_UPI_INS[[#This Row], [Max Intraday Drawdown]]</f>
      </c>
      <c r="M29" s="41">
        <v>1</v>
      </c>
      <c r="N29" s="38">
        <v>0.18</v>
      </c>
      <c r="O29" s="42">
        <v>0.37908058436943964</v>
      </c>
      <c r="P29" s="21">
        <f>(OPTI4_UPI_INS[[#This Row], [Net Profit]]-B$74)/ABS(B$74)</f>
      </c>
      <c r="Q29" s="21">
        <f>(OPTI4_UPI_INS[[#This Row], [UPI]]-J$74)/ABS(J$74)</f>
      </c>
      <c r="R29" s="21">
        <f>(OPTI4_UPI_INS[[#This Row], [SORTINO AJUSTADO]]-K$74)/ABS(K$74)</f>
      </c>
      <c r="S29" s="21">
        <f>(OPTI4_UPI_INS[[#This Row], [RECOVERY]]-L$74)/ABS(L$74)</f>
      </c>
      <c r="T29" s="21">
        <f>(OPTI4_UPI_INS[[#This Row], [ROB]]-O$74)/ABS(O$74)</f>
      </c>
      <c r="U29" s="21">
        <f>SUM(OPTI4_UPI_INS[[#This Row], [VAR NET PROFIT]:[VAR ROB]])</f>
      </c>
      <c r="V29" s="21">
        <f>OPTI4_UPI_INS[[#This Row], [SUMA]]-OPTI4_UPI_INS[[#This Row], [VAR ROB]]</f>
      </c>
    </row>
    <row x14ac:dyDescent="0.25" r="30" customHeight="1" ht="18.75">
      <c r="A30" s="21"/>
      <c r="B30" s="36">
        <v>394418.63</v>
      </c>
      <c r="C30" s="36">
        <v>705182.54</v>
      </c>
      <c r="D30" s="36">
        <v>-310763.91</v>
      </c>
      <c r="E30" s="37">
        <v>1289</v>
      </c>
      <c r="F30" s="38">
        <v>40.7292474786656</v>
      </c>
      <c r="G30" s="39">
        <v>525</v>
      </c>
      <c r="H30" s="39">
        <v>764</v>
      </c>
      <c r="I30" s="36">
        <v>-185953.52</v>
      </c>
      <c r="J30" s="40">
        <v>0.0946074949982274</v>
      </c>
      <c r="K30" s="40">
        <v>0.252025130778845</v>
      </c>
      <c r="L30" s="38">
        <f>-OPTI4_UPI_INS[[#This Row], [Net Profit]]/OPTI4_UPI_INS[[#This Row], [Max Intraday Drawdown]]</f>
      </c>
      <c r="M30" s="41">
        <v>1.5</v>
      </c>
      <c r="N30" s="38">
        <v>0.19</v>
      </c>
      <c r="O30" s="42">
        <v>0.37555652091613867</v>
      </c>
      <c r="P30" s="21">
        <f>(OPTI4_UPI_INS[[#This Row], [Net Profit]]-B$74)/ABS(B$74)</f>
      </c>
      <c r="Q30" s="21">
        <f>(OPTI4_UPI_INS[[#This Row], [UPI]]-J$74)/ABS(J$74)</f>
      </c>
      <c r="R30" s="21">
        <f>(OPTI4_UPI_INS[[#This Row], [SORTINO AJUSTADO]]-K$74)/ABS(K$74)</f>
      </c>
      <c r="S30" s="21">
        <f>(OPTI4_UPI_INS[[#This Row], [RECOVERY]]-L$74)/ABS(L$74)</f>
      </c>
      <c r="T30" s="21">
        <f>(OPTI4_UPI_INS[[#This Row], [ROB]]-O$74)/ABS(O$74)</f>
      </c>
      <c r="U30" s="21">
        <f>SUM(OPTI4_UPI_INS[[#This Row], [VAR NET PROFIT]:[VAR ROB]])</f>
      </c>
      <c r="V30" s="21">
        <f>OPTI4_UPI_INS[[#This Row], [SUMA]]-OPTI4_UPI_INS[[#This Row], [VAR ROB]]</f>
      </c>
    </row>
    <row x14ac:dyDescent="0.25" r="31" customHeight="1" ht="18.75">
      <c r="A31" s="21"/>
      <c r="B31" s="36">
        <v>376817.98</v>
      </c>
      <c r="C31" s="36">
        <v>648788.81</v>
      </c>
      <c r="D31" s="36">
        <v>-271970.83</v>
      </c>
      <c r="E31" s="37">
        <v>1175</v>
      </c>
      <c r="F31" s="38">
        <v>41.7021276595745</v>
      </c>
      <c r="G31" s="39">
        <v>490</v>
      </c>
      <c r="H31" s="39">
        <v>685</v>
      </c>
      <c r="I31" s="36">
        <v>-164895.71</v>
      </c>
      <c r="J31" s="40">
        <v>0.090590089553109</v>
      </c>
      <c r="K31" s="40">
        <v>0.258977388938923</v>
      </c>
      <c r="L31" s="38">
        <f>-OPTI4_UPI_INS[[#This Row], [Net Profit]]/OPTI4_UPI_INS[[#This Row], [Max Intraday Drawdown]]</f>
      </c>
      <c r="M31" s="41">
        <v>1</v>
      </c>
      <c r="N31" s="38">
        <v>0.19</v>
      </c>
      <c r="O31" s="42">
        <v>0.3707048427219904</v>
      </c>
      <c r="P31" s="21">
        <f>(OPTI4_UPI_INS[[#This Row], [Net Profit]]-B$74)/ABS(B$74)</f>
      </c>
      <c r="Q31" s="21">
        <f>(OPTI4_UPI_INS[[#This Row], [UPI]]-J$74)/ABS(J$74)</f>
      </c>
      <c r="R31" s="21">
        <f>(OPTI4_UPI_INS[[#This Row], [SORTINO AJUSTADO]]-K$74)/ABS(K$74)</f>
      </c>
      <c r="S31" s="21">
        <f>(OPTI4_UPI_INS[[#This Row], [RECOVERY]]-L$74)/ABS(L$74)</f>
      </c>
      <c r="T31" s="21">
        <f>(OPTI4_UPI_INS[[#This Row], [ROB]]-O$74)/ABS(O$74)</f>
      </c>
      <c r="U31" s="21">
        <f>SUM(OPTI4_UPI_INS[[#This Row], [VAR NET PROFIT]:[VAR ROB]])</f>
      </c>
      <c r="V31" s="21">
        <f>OPTI4_UPI_INS[[#This Row], [SUMA]]-OPTI4_UPI_INS[[#This Row], [VAR ROB]]</f>
      </c>
    </row>
    <row x14ac:dyDescent="0.25" r="32" customHeight="1" ht="18.75">
      <c r="A32" s="21"/>
      <c r="B32" s="36">
        <v>97404.83</v>
      </c>
      <c r="C32" s="36">
        <v>185734.46</v>
      </c>
      <c r="D32" s="36">
        <v>-88329.63</v>
      </c>
      <c r="E32" s="37">
        <v>784</v>
      </c>
      <c r="F32" s="38">
        <v>41.4540816326531</v>
      </c>
      <c r="G32" s="39">
        <v>325</v>
      </c>
      <c r="H32" s="39">
        <v>459</v>
      </c>
      <c r="I32" s="36">
        <v>-23299.16</v>
      </c>
      <c r="J32" s="40">
        <v>0.0977742756270896</v>
      </c>
      <c r="K32" s="40">
        <v>0.245448986615167</v>
      </c>
      <c r="L32" s="38">
        <f>-OPTI4_UPI_INS[[#This Row], [Net Profit]]/OPTI4_UPI_INS[[#This Row], [Max Intraday Drawdown]]</f>
      </c>
      <c r="M32" s="41">
        <v>0.5</v>
      </c>
      <c r="N32" s="38">
        <v>0.12</v>
      </c>
      <c r="O32" s="42">
        <v>0.42182509701984766</v>
      </c>
      <c r="P32" s="21">
        <f>(OPTI4_UPI_INS[[#This Row], [Net Profit]]-B$74)/ABS(B$74)</f>
      </c>
      <c r="Q32" s="21">
        <f>(OPTI4_UPI_INS[[#This Row], [UPI]]-J$74)/ABS(J$74)</f>
      </c>
      <c r="R32" s="21">
        <f>(OPTI4_UPI_INS[[#This Row], [SORTINO AJUSTADO]]-K$74)/ABS(K$74)</f>
      </c>
      <c r="S32" s="21">
        <f>(OPTI4_UPI_INS[[#This Row], [RECOVERY]]-L$74)/ABS(L$74)</f>
      </c>
      <c r="T32" s="21">
        <f>(OPTI4_UPI_INS[[#This Row], [ROB]]-O$74)/ABS(O$74)</f>
      </c>
      <c r="U32" s="21">
        <f>SUM(OPTI4_UPI_INS[[#This Row], [VAR NET PROFIT]:[VAR ROB]])</f>
      </c>
      <c r="V32" s="21">
        <f>OPTI4_UPI_INS[[#This Row], [SUMA]]-OPTI4_UPI_INS[[#This Row], [VAR ROB]]</f>
      </c>
    </row>
    <row x14ac:dyDescent="0.25" r="33" customHeight="1" ht="18.75">
      <c r="A33" s="21"/>
      <c r="B33" s="36">
        <v>126958.83</v>
      </c>
      <c r="C33" s="36">
        <v>222478.09</v>
      </c>
      <c r="D33" s="36">
        <v>-95519.26</v>
      </c>
      <c r="E33" s="37">
        <v>707</v>
      </c>
      <c r="F33" s="38">
        <v>42.1499292786421</v>
      </c>
      <c r="G33" s="39">
        <v>298</v>
      </c>
      <c r="H33" s="39">
        <v>409</v>
      </c>
      <c r="I33" s="36">
        <v>-32102.5</v>
      </c>
      <c r="J33" s="40">
        <v>0.100911330481327</v>
      </c>
      <c r="K33" s="40">
        <v>0.232484121254898</v>
      </c>
      <c r="L33" s="38">
        <f>-OPTI4_UPI_INS[[#This Row], [Net Profit]]/OPTI4_UPI_INS[[#This Row], [Max Intraday Drawdown]]</f>
      </c>
      <c r="M33" s="41">
        <v>0.5</v>
      </c>
      <c r="N33" s="38">
        <v>0.14</v>
      </c>
      <c r="O33" s="42">
        <v>0.4397227038087859</v>
      </c>
      <c r="P33" s="21">
        <f>(OPTI4_UPI_INS[[#This Row], [Net Profit]]-B$74)/ABS(B$74)</f>
      </c>
      <c r="Q33" s="21">
        <f>(OPTI4_UPI_INS[[#This Row], [UPI]]-J$74)/ABS(J$74)</f>
      </c>
      <c r="R33" s="21">
        <f>(OPTI4_UPI_INS[[#This Row], [SORTINO AJUSTADO]]-K$74)/ABS(K$74)</f>
      </c>
      <c r="S33" s="21">
        <f>(OPTI4_UPI_INS[[#This Row], [RECOVERY]]-L$74)/ABS(L$74)</f>
      </c>
      <c r="T33" s="21">
        <f>(OPTI4_UPI_INS[[#This Row], [ROB]]-O$74)/ABS(O$74)</f>
      </c>
      <c r="U33" s="21">
        <f>SUM(OPTI4_UPI_INS[[#This Row], [VAR NET PROFIT]:[VAR ROB]])</f>
      </c>
      <c r="V33" s="21">
        <f>OPTI4_UPI_INS[[#This Row], [SUMA]]-OPTI4_UPI_INS[[#This Row], [VAR ROB]]</f>
      </c>
    </row>
    <row x14ac:dyDescent="0.25" r="34" customHeight="1" ht="18.75">
      <c r="A34" s="21"/>
      <c r="B34" s="36">
        <v>349841.68</v>
      </c>
      <c r="C34" s="36">
        <v>657732.38</v>
      </c>
      <c r="D34" s="36">
        <v>-307890.7</v>
      </c>
      <c r="E34" s="37">
        <v>1552</v>
      </c>
      <c r="F34" s="38">
        <v>40.5927835051546</v>
      </c>
      <c r="G34" s="39">
        <v>630</v>
      </c>
      <c r="H34" s="39">
        <v>922</v>
      </c>
      <c r="I34" s="36">
        <v>-146349.86</v>
      </c>
      <c r="J34" s="40">
        <v>0.0906777732985223</v>
      </c>
      <c r="K34" s="40">
        <v>0.254060279084875</v>
      </c>
      <c r="L34" s="38">
        <f>-OPTI4_UPI_INS[[#This Row], [Net Profit]]/OPTI4_UPI_INS[[#This Row], [Max Intraday Drawdown]]</f>
      </c>
      <c r="M34" s="41">
        <v>1.5</v>
      </c>
      <c r="N34" s="38">
        <v>0.17</v>
      </c>
      <c r="O34" s="42">
        <v>0.34506410571863366</v>
      </c>
      <c r="P34" s="21">
        <f>(OPTI4_UPI_INS[[#This Row], [Net Profit]]-B$74)/ABS(B$74)</f>
      </c>
      <c r="Q34" s="21">
        <f>(OPTI4_UPI_INS[[#This Row], [UPI]]-J$74)/ABS(J$74)</f>
      </c>
      <c r="R34" s="21">
        <f>(OPTI4_UPI_INS[[#This Row], [SORTINO AJUSTADO]]-K$74)/ABS(K$74)</f>
      </c>
      <c r="S34" s="21">
        <f>(OPTI4_UPI_INS[[#This Row], [RECOVERY]]-L$74)/ABS(L$74)</f>
      </c>
      <c r="T34" s="21">
        <f>(OPTI4_UPI_INS[[#This Row], [ROB]]-O$74)/ABS(O$74)</f>
      </c>
      <c r="U34" s="21">
        <f>SUM(OPTI4_UPI_INS[[#This Row], [VAR NET PROFIT]:[VAR ROB]])</f>
      </c>
      <c r="V34" s="21">
        <f>OPTI4_UPI_INS[[#This Row], [SUMA]]-OPTI4_UPI_INS[[#This Row], [VAR ROB]]</f>
      </c>
    </row>
    <row x14ac:dyDescent="0.25" r="35" customHeight="1" ht="18.75">
      <c r="A35" s="21"/>
      <c r="B35" s="36">
        <v>345085.57</v>
      </c>
      <c r="C35" s="36">
        <v>650223.38</v>
      </c>
      <c r="D35" s="36">
        <v>-305137.81</v>
      </c>
      <c r="E35" s="37">
        <v>1473</v>
      </c>
      <c r="F35" s="38">
        <v>40.6653088934148</v>
      </c>
      <c r="G35" s="39">
        <v>599</v>
      </c>
      <c r="H35" s="39">
        <v>874</v>
      </c>
      <c r="I35" s="36">
        <v>-147716</v>
      </c>
      <c r="J35" s="40">
        <v>0.0816845631223391</v>
      </c>
      <c r="K35" s="40">
        <v>0.25126116384174</v>
      </c>
      <c r="L35" s="38">
        <f>-OPTI4_UPI_INS[[#This Row], [Net Profit]]/OPTI4_UPI_INS[[#This Row], [Max Intraday Drawdown]]</f>
      </c>
      <c r="M35" s="41">
        <v>0</v>
      </c>
      <c r="N35" s="38">
        <v>0.18</v>
      </c>
      <c r="O35" s="42">
        <v>0.38458222993174446</v>
      </c>
      <c r="P35" s="21">
        <f>(OPTI4_UPI_INS[[#This Row], [Net Profit]]-B$74)/ABS(B$74)</f>
      </c>
      <c r="Q35" s="21">
        <f>(OPTI4_UPI_INS[[#This Row], [UPI]]-J$74)/ABS(J$74)</f>
      </c>
      <c r="R35" s="21">
        <f>(OPTI4_UPI_INS[[#This Row], [SORTINO AJUSTADO]]-K$74)/ABS(K$74)</f>
      </c>
      <c r="S35" s="21">
        <f>(OPTI4_UPI_INS[[#This Row], [RECOVERY]]-L$74)/ABS(L$74)</f>
      </c>
      <c r="T35" s="21">
        <f>(OPTI4_UPI_INS[[#This Row], [ROB]]-O$74)/ABS(O$74)</f>
      </c>
      <c r="U35" s="21">
        <f>SUM(OPTI4_UPI_INS[[#This Row], [VAR NET PROFIT]:[VAR ROB]])</f>
      </c>
      <c r="V35" s="21">
        <f>OPTI4_UPI_INS[[#This Row], [SUMA]]-OPTI4_UPI_INS[[#This Row], [VAR ROB]]</f>
      </c>
    </row>
    <row x14ac:dyDescent="0.25" r="36" customHeight="1" ht="18.75">
      <c r="A36" s="21"/>
      <c r="B36" s="36">
        <v>378169.01</v>
      </c>
      <c r="C36" s="36">
        <v>691526.47</v>
      </c>
      <c r="D36" s="36">
        <v>-313357.46</v>
      </c>
      <c r="E36" s="37">
        <v>1342</v>
      </c>
      <c r="F36" s="38">
        <v>40.4619970193741</v>
      </c>
      <c r="G36" s="39">
        <v>543</v>
      </c>
      <c r="H36" s="39">
        <v>799</v>
      </c>
      <c r="I36" s="36">
        <v>-181444.71</v>
      </c>
      <c r="J36" s="40">
        <v>0.0841753320497385</v>
      </c>
      <c r="K36" s="40">
        <v>0.248356212574465</v>
      </c>
      <c r="L36" s="38">
        <f>-OPTI4_UPI_INS[[#This Row], [Net Profit]]/OPTI4_UPI_INS[[#This Row], [Max Intraday Drawdown]]</f>
      </c>
      <c r="M36" s="41">
        <v>0</v>
      </c>
      <c r="N36" s="38">
        <v>0.19</v>
      </c>
      <c r="O36" s="42">
        <v>0.3471243273923221</v>
      </c>
      <c r="P36" s="21">
        <f>(OPTI4_UPI_INS[[#This Row], [Net Profit]]-B$74)/ABS(B$74)</f>
      </c>
      <c r="Q36" s="21">
        <f>(OPTI4_UPI_INS[[#This Row], [UPI]]-J$74)/ABS(J$74)</f>
      </c>
      <c r="R36" s="21">
        <f>(OPTI4_UPI_INS[[#This Row], [SORTINO AJUSTADO]]-K$74)/ABS(K$74)</f>
      </c>
      <c r="S36" s="21">
        <f>(OPTI4_UPI_INS[[#This Row], [RECOVERY]]-L$74)/ABS(L$74)</f>
      </c>
      <c r="T36" s="21">
        <f>(OPTI4_UPI_INS[[#This Row], [ROB]]-O$74)/ABS(O$74)</f>
      </c>
      <c r="U36" s="21">
        <f>SUM(OPTI4_UPI_INS[[#This Row], [VAR NET PROFIT]:[VAR ROB]])</f>
      </c>
      <c r="V36" s="21">
        <f>OPTI4_UPI_INS[[#This Row], [SUMA]]-OPTI4_UPI_INS[[#This Row], [VAR ROB]]</f>
      </c>
    </row>
    <row x14ac:dyDescent="0.25" r="37" customHeight="1" ht="18.75">
      <c r="A37" s="21"/>
      <c r="B37" s="36">
        <v>280074.79</v>
      </c>
      <c r="C37" s="36">
        <v>531927.67</v>
      </c>
      <c r="D37" s="36">
        <v>-251852.88</v>
      </c>
      <c r="E37" s="37">
        <v>1549</v>
      </c>
      <c r="F37" s="38">
        <v>40.2840542285345</v>
      </c>
      <c r="G37" s="39">
        <v>624</v>
      </c>
      <c r="H37" s="39">
        <v>925</v>
      </c>
      <c r="I37" s="36">
        <v>-112399.22</v>
      </c>
      <c r="J37" s="40">
        <v>0.0791292373270899</v>
      </c>
      <c r="K37" s="40">
        <v>0.241618967615759</v>
      </c>
      <c r="L37" s="38">
        <f>-OPTI4_UPI_INS[[#This Row], [Net Profit]]/OPTI4_UPI_INS[[#This Row], [Max Intraday Drawdown]]</f>
      </c>
      <c r="M37" s="41">
        <v>1</v>
      </c>
      <c r="N37" s="38">
        <v>0.16</v>
      </c>
      <c r="O37" s="42">
        <v>0.45177659975126927</v>
      </c>
      <c r="P37" s="21">
        <f>(OPTI4_UPI_INS[[#This Row], [Net Profit]]-B$74)/ABS(B$74)</f>
      </c>
      <c r="Q37" s="21">
        <f>(OPTI4_UPI_INS[[#This Row], [UPI]]-J$74)/ABS(J$74)</f>
      </c>
      <c r="R37" s="21">
        <f>(OPTI4_UPI_INS[[#This Row], [SORTINO AJUSTADO]]-K$74)/ABS(K$74)</f>
      </c>
      <c r="S37" s="21">
        <f>(OPTI4_UPI_INS[[#This Row], [RECOVERY]]-L$74)/ABS(L$74)</f>
      </c>
      <c r="T37" s="21">
        <f>(OPTI4_UPI_INS[[#This Row], [ROB]]-O$74)/ABS(O$74)</f>
      </c>
      <c r="U37" s="21">
        <f>SUM(OPTI4_UPI_INS[[#This Row], [VAR NET PROFIT]:[VAR ROB]])</f>
      </c>
      <c r="V37" s="21">
        <f>OPTI4_UPI_INS[[#This Row], [SUMA]]-OPTI4_UPI_INS[[#This Row], [VAR ROB]]</f>
      </c>
    </row>
    <row x14ac:dyDescent="0.25" r="38" customHeight="1" ht="18.75">
      <c r="A38" s="21"/>
      <c r="B38" s="36">
        <v>300079.33</v>
      </c>
      <c r="C38" s="36">
        <v>595468.56</v>
      </c>
      <c r="D38" s="36">
        <v>-295389.23</v>
      </c>
      <c r="E38" s="37">
        <v>1711</v>
      </c>
      <c r="F38" s="38">
        <v>39.6843950905903</v>
      </c>
      <c r="G38" s="39">
        <v>679</v>
      </c>
      <c r="H38" s="39">
        <v>1032</v>
      </c>
      <c r="I38" s="36">
        <v>-126997.54</v>
      </c>
      <c r="J38" s="40">
        <v>0.0824828348934629</v>
      </c>
      <c r="K38" s="40">
        <v>0.23758945888731</v>
      </c>
      <c r="L38" s="38">
        <f>-OPTI4_UPI_INS[[#This Row], [Net Profit]]/OPTI4_UPI_INS[[#This Row], [Max Intraday Drawdown]]</f>
      </c>
      <c r="M38" s="41">
        <v>1.5</v>
      </c>
      <c r="N38" s="38">
        <v>0.16</v>
      </c>
      <c r="O38" s="42">
        <v>0.4124637455207084</v>
      </c>
      <c r="P38" s="21">
        <f>(OPTI4_UPI_INS[[#This Row], [Net Profit]]-B$74)/ABS(B$74)</f>
      </c>
      <c r="Q38" s="21">
        <f>(OPTI4_UPI_INS[[#This Row], [UPI]]-J$74)/ABS(J$74)</f>
      </c>
      <c r="R38" s="21">
        <f>(OPTI4_UPI_INS[[#This Row], [SORTINO AJUSTADO]]-K$74)/ABS(K$74)</f>
      </c>
      <c r="S38" s="21">
        <f>(OPTI4_UPI_INS[[#This Row], [RECOVERY]]-L$74)/ABS(L$74)</f>
      </c>
      <c r="T38" s="21">
        <f>(OPTI4_UPI_INS[[#This Row], [ROB]]-O$74)/ABS(O$74)</f>
      </c>
      <c r="U38" s="21">
        <f>SUM(OPTI4_UPI_INS[[#This Row], [VAR NET PROFIT]:[VAR ROB]])</f>
      </c>
      <c r="V38" s="21">
        <f>OPTI4_UPI_INS[[#This Row], [SUMA]]-OPTI4_UPI_INS[[#This Row], [VAR ROB]]</f>
      </c>
    </row>
    <row x14ac:dyDescent="0.25" r="39" customHeight="1" ht="18.75">
      <c r="A39" s="21"/>
      <c r="B39" s="36">
        <v>292656.67</v>
      </c>
      <c r="C39" s="36">
        <v>548980.16</v>
      </c>
      <c r="D39" s="36">
        <v>-256323.49</v>
      </c>
      <c r="E39" s="37">
        <v>1414</v>
      </c>
      <c r="F39" s="38">
        <v>41.3719943422914</v>
      </c>
      <c r="G39" s="39">
        <v>585</v>
      </c>
      <c r="H39" s="39">
        <v>829</v>
      </c>
      <c r="I39" s="36">
        <v>-125892.43</v>
      </c>
      <c r="J39" s="40">
        <v>0.0810925916446959</v>
      </c>
      <c r="K39" s="40">
        <v>0.237491038935366</v>
      </c>
      <c r="L39" s="38">
        <f>-OPTI4_UPI_INS[[#This Row], [Net Profit]]/OPTI4_UPI_INS[[#This Row], [Max Intraday Drawdown]]</f>
      </c>
      <c r="M39" s="41">
        <v>1</v>
      </c>
      <c r="N39" s="38">
        <v>0.17</v>
      </c>
      <c r="O39" s="42">
        <v>0.4032986598167322</v>
      </c>
      <c r="P39" s="21">
        <f>(OPTI4_UPI_INS[[#This Row], [Net Profit]]-B$74)/ABS(B$74)</f>
      </c>
      <c r="Q39" s="21">
        <f>(OPTI4_UPI_INS[[#This Row], [UPI]]-J$74)/ABS(J$74)</f>
      </c>
      <c r="R39" s="21">
        <f>(OPTI4_UPI_INS[[#This Row], [SORTINO AJUSTADO]]-K$74)/ABS(K$74)</f>
      </c>
      <c r="S39" s="21">
        <f>(OPTI4_UPI_INS[[#This Row], [RECOVERY]]-L$74)/ABS(L$74)</f>
      </c>
      <c r="T39" s="21">
        <f>(OPTI4_UPI_INS[[#This Row], [ROB]]-O$74)/ABS(O$74)</f>
      </c>
      <c r="U39" s="21">
        <f>SUM(OPTI4_UPI_INS[[#This Row], [VAR NET PROFIT]:[VAR ROB]])</f>
      </c>
      <c r="V39" s="21">
        <f>OPTI4_UPI_INS[[#This Row], [SUMA]]-OPTI4_UPI_INS[[#This Row], [VAR ROB]]</f>
      </c>
    </row>
    <row x14ac:dyDescent="0.25" r="40" customHeight="1" ht="18.75">
      <c r="A40" s="21"/>
      <c r="B40" s="36">
        <v>210183.54</v>
      </c>
      <c r="C40" s="36">
        <v>446838.17</v>
      </c>
      <c r="D40" s="36">
        <v>-236654.63</v>
      </c>
      <c r="E40" s="37">
        <v>1703</v>
      </c>
      <c r="F40" s="38">
        <v>39.1661773341163</v>
      </c>
      <c r="G40" s="39">
        <v>667</v>
      </c>
      <c r="H40" s="39">
        <v>1036</v>
      </c>
      <c r="I40" s="36">
        <v>-85455.3299999999</v>
      </c>
      <c r="J40" s="40">
        <v>0.0674018443448932</v>
      </c>
      <c r="K40" s="40">
        <v>0.219249025670509</v>
      </c>
      <c r="L40" s="38">
        <f>-OPTI4_UPI_INS[[#This Row], [Net Profit]]/OPTI4_UPI_INS[[#This Row], [Max Intraday Drawdown]]</f>
      </c>
      <c r="M40" s="41">
        <v>1</v>
      </c>
      <c r="N40" s="38">
        <v>0.15</v>
      </c>
      <c r="O40" s="42">
        <v>0.7120962962900613</v>
      </c>
      <c r="P40" s="21">
        <f>(OPTI4_UPI_INS[[#This Row], [Net Profit]]-B$74)/ABS(B$74)</f>
      </c>
      <c r="Q40" s="21">
        <f>(OPTI4_UPI_INS[[#This Row], [UPI]]-J$74)/ABS(J$74)</f>
      </c>
      <c r="R40" s="21">
        <f>(OPTI4_UPI_INS[[#This Row], [SORTINO AJUSTADO]]-K$74)/ABS(K$74)</f>
      </c>
      <c r="S40" s="21">
        <f>(OPTI4_UPI_INS[[#This Row], [RECOVERY]]-L$74)/ABS(L$74)</f>
      </c>
      <c r="T40" s="21">
        <f>(OPTI4_UPI_INS[[#This Row], [ROB]]-O$74)/ABS(O$74)</f>
      </c>
      <c r="U40" s="21">
        <f>SUM(OPTI4_UPI_INS[[#This Row], [VAR NET PROFIT]:[VAR ROB]])</f>
      </c>
      <c r="V40" s="21">
        <f>OPTI4_UPI_INS[[#This Row], [SUMA]]-OPTI4_UPI_INS[[#This Row], [VAR ROB]]</f>
      </c>
    </row>
    <row x14ac:dyDescent="0.25" r="41" customHeight="1" ht="18.75">
      <c r="A41" s="21"/>
      <c r="B41" s="36">
        <v>227102.65</v>
      </c>
      <c r="C41" s="36">
        <v>504645.36</v>
      </c>
      <c r="D41" s="36">
        <v>-277542.71</v>
      </c>
      <c r="E41" s="37">
        <v>1901</v>
      </c>
      <c r="F41" s="38">
        <v>38.8742766964755</v>
      </c>
      <c r="G41" s="39">
        <v>739</v>
      </c>
      <c r="H41" s="39">
        <v>1162</v>
      </c>
      <c r="I41" s="36">
        <v>-99662.6599999999</v>
      </c>
      <c r="J41" s="40">
        <v>0.0691323201838503</v>
      </c>
      <c r="K41" s="40">
        <v>0.222499828869887</v>
      </c>
      <c r="L41" s="38">
        <f>-OPTI4_UPI_INS[[#This Row], [Net Profit]]/OPTI4_UPI_INS[[#This Row], [Max Intraday Drawdown]]</f>
      </c>
      <c r="M41" s="41">
        <v>1.5</v>
      </c>
      <c r="N41" s="38">
        <v>0.15</v>
      </c>
      <c r="O41" s="42">
        <v>0.6338979381154853</v>
      </c>
      <c r="P41" s="21">
        <f>(OPTI4_UPI_INS[[#This Row], [Net Profit]]-B$74)/ABS(B$74)</f>
      </c>
      <c r="Q41" s="21">
        <f>(OPTI4_UPI_INS[[#This Row], [UPI]]-J$74)/ABS(J$74)</f>
      </c>
      <c r="R41" s="21">
        <f>(OPTI4_UPI_INS[[#This Row], [SORTINO AJUSTADO]]-K$74)/ABS(K$74)</f>
      </c>
      <c r="S41" s="21">
        <f>(OPTI4_UPI_INS[[#This Row], [RECOVERY]]-L$74)/ABS(L$74)</f>
      </c>
      <c r="T41" s="21">
        <f>(OPTI4_UPI_INS[[#This Row], [ROB]]-O$74)/ABS(O$74)</f>
      </c>
      <c r="U41" s="21">
        <f>SUM(OPTI4_UPI_INS[[#This Row], [VAR NET PROFIT]:[VAR ROB]])</f>
      </c>
      <c r="V41" s="21">
        <f>OPTI4_UPI_INS[[#This Row], [SUMA]]-OPTI4_UPI_INS[[#This Row], [VAR ROB]]</f>
      </c>
    </row>
    <row x14ac:dyDescent="0.25" r="42" customHeight="1" ht="18.75">
      <c r="A42" s="21"/>
      <c r="B42" s="36">
        <v>193531.8</v>
      </c>
      <c r="C42" s="36">
        <v>484035.96</v>
      </c>
      <c r="D42" s="36">
        <v>-290504.16</v>
      </c>
      <c r="E42" s="37">
        <v>2313</v>
      </c>
      <c r="F42" s="38">
        <v>38.3916990920882</v>
      </c>
      <c r="G42" s="39">
        <v>888</v>
      </c>
      <c r="H42" s="39">
        <v>1424</v>
      </c>
      <c r="I42" s="36">
        <v>-79621.0800000001</v>
      </c>
      <c r="J42" s="40">
        <v>0.0659378339404415</v>
      </c>
      <c r="K42" s="40">
        <v>0.228694466841856</v>
      </c>
      <c r="L42" s="38">
        <f>-OPTI4_UPI_INS[[#This Row], [Net Profit]]/OPTI4_UPI_INS[[#This Row], [Max Intraday Drawdown]]</f>
      </c>
      <c r="M42" s="41">
        <v>1.5</v>
      </c>
      <c r="N42" s="38">
        <v>0.13</v>
      </c>
      <c r="O42" s="42">
        <v>0.6229350612510764</v>
      </c>
      <c r="P42" s="21">
        <f>(OPTI4_UPI_INS[[#This Row], [Net Profit]]-B$74)/ABS(B$74)</f>
      </c>
      <c r="Q42" s="21">
        <f>(OPTI4_UPI_INS[[#This Row], [UPI]]-J$74)/ABS(J$74)</f>
      </c>
      <c r="R42" s="21">
        <f>(OPTI4_UPI_INS[[#This Row], [SORTINO AJUSTADO]]-K$74)/ABS(K$74)</f>
      </c>
      <c r="S42" s="21">
        <f>(OPTI4_UPI_INS[[#This Row], [RECOVERY]]-L$74)/ABS(L$74)</f>
      </c>
      <c r="T42" s="21">
        <f>(OPTI4_UPI_INS[[#This Row], [ROB]]-O$74)/ABS(O$74)</f>
      </c>
      <c r="U42" s="21">
        <f>SUM(OPTI4_UPI_INS[[#This Row], [VAR NET PROFIT]:[VAR ROB]])</f>
      </c>
      <c r="V42" s="21">
        <f>OPTI4_UPI_INS[[#This Row], [SUMA]]-OPTI4_UPI_INS[[#This Row], [VAR ROB]]</f>
      </c>
    </row>
    <row x14ac:dyDescent="0.25" r="43" customHeight="1" ht="18.75">
      <c r="A43" s="21"/>
      <c r="B43" s="36">
        <v>197453.8</v>
      </c>
      <c r="C43" s="36">
        <v>484642.98</v>
      </c>
      <c r="D43" s="36">
        <v>-287189.18</v>
      </c>
      <c r="E43" s="37">
        <v>2105</v>
      </c>
      <c r="F43" s="38">
        <v>38.7173396674584</v>
      </c>
      <c r="G43" s="39">
        <v>815</v>
      </c>
      <c r="H43" s="39">
        <v>1290</v>
      </c>
      <c r="I43" s="36">
        <v>-85846.8800000001</v>
      </c>
      <c r="J43" s="40">
        <v>0.0661178417080505</v>
      </c>
      <c r="K43" s="40">
        <v>0.218076661182144</v>
      </c>
      <c r="L43" s="38">
        <f>-OPTI4_UPI_INS[[#This Row], [Net Profit]]/OPTI4_UPI_INS[[#This Row], [Max Intraday Drawdown]]</f>
      </c>
      <c r="M43" s="41">
        <v>1.5</v>
      </c>
      <c r="N43" s="38">
        <v>0.14</v>
      </c>
      <c r="O43" s="42">
        <v>0.672756295119859</v>
      </c>
      <c r="P43" s="21">
        <f>(OPTI4_UPI_INS[[#This Row], [Net Profit]]-B$74)/ABS(B$74)</f>
      </c>
      <c r="Q43" s="21">
        <f>(OPTI4_UPI_INS[[#This Row], [UPI]]-J$74)/ABS(J$74)</f>
      </c>
      <c r="R43" s="21">
        <f>(OPTI4_UPI_INS[[#This Row], [SORTINO AJUSTADO]]-K$74)/ABS(K$74)</f>
      </c>
      <c r="S43" s="21">
        <f>(OPTI4_UPI_INS[[#This Row], [RECOVERY]]-L$74)/ABS(L$74)</f>
      </c>
      <c r="T43" s="21">
        <f>(OPTI4_UPI_INS[[#This Row], [ROB]]-O$74)/ABS(O$74)</f>
      </c>
      <c r="U43" s="21">
        <f>SUM(OPTI4_UPI_INS[[#This Row], [VAR NET PROFIT]:[VAR ROB]])</f>
      </c>
      <c r="V43" s="21">
        <f>OPTI4_UPI_INS[[#This Row], [SUMA]]-OPTI4_UPI_INS[[#This Row], [VAR ROB]]</f>
      </c>
    </row>
    <row x14ac:dyDescent="0.25" r="44" customHeight="1" ht="18.75">
      <c r="A44" s="21"/>
      <c r="B44" s="36">
        <v>121867.17</v>
      </c>
      <c r="C44" s="36">
        <v>360743.47</v>
      </c>
      <c r="D44" s="36">
        <v>-238876.3</v>
      </c>
      <c r="E44" s="37">
        <v>2284</v>
      </c>
      <c r="F44" s="38">
        <v>38.1786339754816</v>
      </c>
      <c r="G44" s="39">
        <v>872</v>
      </c>
      <c r="H44" s="39">
        <v>1412</v>
      </c>
      <c r="I44" s="36">
        <v>-46388.76</v>
      </c>
      <c r="J44" s="40">
        <v>0.0469099943710485</v>
      </c>
      <c r="K44" s="40">
        <v>0.191467187700698</v>
      </c>
      <c r="L44" s="38">
        <f>-OPTI4_UPI_INS[[#This Row], [Net Profit]]/OPTI4_UPI_INS[[#This Row], [Max Intraday Drawdown]]</f>
      </c>
      <c r="M44" s="41">
        <v>1</v>
      </c>
      <c r="N44" s="38">
        <v>0.12</v>
      </c>
      <c r="O44" s="42">
        <v>0.9884872103516673</v>
      </c>
      <c r="P44" s="21">
        <f>(OPTI4_UPI_INS[[#This Row], [Net Profit]]-B$74)/ABS(B$74)</f>
      </c>
      <c r="Q44" s="21">
        <f>(OPTI4_UPI_INS[[#This Row], [UPI]]-J$74)/ABS(J$74)</f>
      </c>
      <c r="R44" s="21">
        <f>(OPTI4_UPI_INS[[#This Row], [SORTINO AJUSTADO]]-K$74)/ABS(K$74)</f>
      </c>
      <c r="S44" s="21">
        <f>(OPTI4_UPI_INS[[#This Row], [RECOVERY]]-L$74)/ABS(L$74)</f>
      </c>
      <c r="T44" s="21">
        <f>(OPTI4_UPI_INS[[#This Row], [ROB]]-O$74)/ABS(O$74)</f>
      </c>
      <c r="U44" s="21">
        <f>SUM(OPTI4_UPI_INS[[#This Row], [VAR NET PROFIT]:[VAR ROB]])</f>
      </c>
      <c r="V44" s="21">
        <f>OPTI4_UPI_INS[[#This Row], [SUMA]]-OPTI4_UPI_INS[[#This Row], [VAR ROB]]</f>
      </c>
    </row>
    <row x14ac:dyDescent="0.25" r="45" customHeight="1" ht="18.75">
      <c r="A45" s="21"/>
      <c r="B45" s="36">
        <v>162247.96</v>
      </c>
      <c r="C45" s="36">
        <v>413088.58</v>
      </c>
      <c r="D45" s="36">
        <v>-250840.62</v>
      </c>
      <c r="E45" s="37">
        <v>2047</v>
      </c>
      <c r="F45" s="38">
        <v>38.6419149975574</v>
      </c>
      <c r="G45" s="39">
        <v>791</v>
      </c>
      <c r="H45" s="39">
        <v>1254</v>
      </c>
      <c r="I45" s="36">
        <v>-64601.3599999999</v>
      </c>
      <c r="J45" s="40">
        <v>0.0592955212936025</v>
      </c>
      <c r="K45" s="40">
        <v>0.210033506515406</v>
      </c>
      <c r="L45" s="38">
        <f>-OPTI4_UPI_INS[[#This Row], [Net Profit]]/OPTI4_UPI_INS[[#This Row], [Max Intraday Drawdown]]</f>
      </c>
      <c r="M45" s="41">
        <v>1</v>
      </c>
      <c r="N45" s="38">
        <v>0.13</v>
      </c>
      <c r="O45" s="42">
        <v>0.7506348780191211</v>
      </c>
      <c r="P45" s="21">
        <f>(OPTI4_UPI_INS[[#This Row], [Net Profit]]-B$74)/ABS(B$74)</f>
      </c>
      <c r="Q45" s="21">
        <f>(OPTI4_UPI_INS[[#This Row], [UPI]]-J$74)/ABS(J$74)</f>
      </c>
      <c r="R45" s="21">
        <f>(OPTI4_UPI_INS[[#This Row], [SORTINO AJUSTADO]]-K$74)/ABS(K$74)</f>
      </c>
      <c r="S45" s="21">
        <f>(OPTI4_UPI_INS[[#This Row], [RECOVERY]]-L$74)/ABS(L$74)</f>
      </c>
      <c r="T45" s="21">
        <f>(OPTI4_UPI_INS[[#This Row], [ROB]]-O$74)/ABS(O$74)</f>
      </c>
      <c r="U45" s="21">
        <f>SUM(OPTI4_UPI_INS[[#This Row], [VAR NET PROFIT]:[VAR ROB]])</f>
      </c>
      <c r="V45" s="21">
        <f>OPTI4_UPI_INS[[#This Row], [SUMA]]-OPTI4_UPI_INS[[#This Row], [VAR ROB]]</f>
      </c>
    </row>
    <row x14ac:dyDescent="0.25" r="46" customHeight="1" ht="18.75">
      <c r="A46" s="21"/>
      <c r="B46" s="36">
        <v>160758.53</v>
      </c>
      <c r="C46" s="36">
        <v>395746.69</v>
      </c>
      <c r="D46" s="36">
        <v>-234988.16</v>
      </c>
      <c r="E46" s="37">
        <v>1881</v>
      </c>
      <c r="F46" s="38">
        <v>38.9154704944179</v>
      </c>
      <c r="G46" s="39">
        <v>732</v>
      </c>
      <c r="H46" s="39">
        <v>1149</v>
      </c>
      <c r="I46" s="36">
        <v>-67654.3100000002</v>
      </c>
      <c r="J46" s="40">
        <v>0.0538842286242951</v>
      </c>
      <c r="K46" s="40">
        <v>0.196787223369409</v>
      </c>
      <c r="L46" s="38">
        <f>-OPTI4_UPI_INS[[#This Row], [Net Profit]]/OPTI4_UPI_INS[[#This Row], [Max Intraday Drawdown]]</f>
      </c>
      <c r="M46" s="41">
        <v>1</v>
      </c>
      <c r="N46" s="38">
        <v>0.14</v>
      </c>
      <c r="O46" s="42">
        <v>0.8835458251489685</v>
      </c>
      <c r="P46" s="21">
        <f>(OPTI4_UPI_INS[[#This Row], [Net Profit]]-B$74)/ABS(B$74)</f>
      </c>
      <c r="Q46" s="21">
        <f>(OPTI4_UPI_INS[[#This Row], [UPI]]-J$74)/ABS(J$74)</f>
      </c>
      <c r="R46" s="21">
        <f>(OPTI4_UPI_INS[[#This Row], [SORTINO AJUSTADO]]-K$74)/ABS(K$74)</f>
      </c>
      <c r="S46" s="21">
        <f>(OPTI4_UPI_INS[[#This Row], [RECOVERY]]-L$74)/ABS(L$74)</f>
      </c>
      <c r="T46" s="21">
        <f>(OPTI4_UPI_INS[[#This Row], [ROB]]-O$74)/ABS(O$74)</f>
      </c>
      <c r="U46" s="21">
        <f>SUM(OPTI4_UPI_INS[[#This Row], [VAR NET PROFIT]:[VAR ROB]])</f>
      </c>
      <c r="V46" s="21">
        <f>OPTI4_UPI_INS[[#This Row], [SUMA]]-OPTI4_UPI_INS[[#This Row], [VAR ROB]]</f>
      </c>
    </row>
    <row x14ac:dyDescent="0.25" r="47" customHeight="1" ht="18.75">
      <c r="A47" s="21"/>
      <c r="B47" s="36">
        <v>275941.7</v>
      </c>
      <c r="C47" s="36">
        <v>564052.01</v>
      </c>
      <c r="D47" s="36">
        <v>-288110.31</v>
      </c>
      <c r="E47" s="37">
        <v>1631</v>
      </c>
      <c r="F47" s="38">
        <v>39.8528510116493</v>
      </c>
      <c r="G47" s="39">
        <v>650</v>
      </c>
      <c r="H47" s="39">
        <v>981</v>
      </c>
      <c r="I47" s="36">
        <v>-124250.55</v>
      </c>
      <c r="J47" s="40">
        <v>0.0701208688152613</v>
      </c>
      <c r="K47" s="40">
        <v>0.223637980821298</v>
      </c>
      <c r="L47" s="38">
        <f>-OPTI4_UPI_INS[[#This Row], [Net Profit]]/OPTI4_UPI_INS[[#This Row], [Max Intraday Drawdown]]</f>
      </c>
      <c r="M47" s="41">
        <v>0</v>
      </c>
      <c r="N47" s="38">
        <v>0.17</v>
      </c>
      <c r="O47" s="42">
        <v>0.4094195290822924</v>
      </c>
      <c r="P47" s="21">
        <f>(OPTI4_UPI_INS[[#This Row], [Net Profit]]-B$74)/ABS(B$74)</f>
      </c>
      <c r="Q47" s="21">
        <f>(OPTI4_UPI_INS[[#This Row], [UPI]]-J$74)/ABS(J$74)</f>
      </c>
      <c r="R47" s="21">
        <f>(OPTI4_UPI_INS[[#This Row], [SORTINO AJUSTADO]]-K$74)/ABS(K$74)</f>
      </c>
      <c r="S47" s="21">
        <f>(OPTI4_UPI_INS[[#This Row], [RECOVERY]]-L$74)/ABS(L$74)</f>
      </c>
      <c r="T47" s="21">
        <f>(OPTI4_UPI_INS[[#This Row], [ROB]]-O$74)/ABS(O$74)</f>
      </c>
      <c r="U47" s="21">
        <f>SUM(OPTI4_UPI_INS[[#This Row], [VAR NET PROFIT]:[VAR ROB]])</f>
      </c>
      <c r="V47" s="21">
        <f>OPTI4_UPI_INS[[#This Row], [SUMA]]-OPTI4_UPI_INS[[#This Row], [VAR ROB]]</f>
      </c>
    </row>
    <row x14ac:dyDescent="0.25" r="48" customHeight="1" ht="18.75">
      <c r="A48" s="21"/>
      <c r="B48" s="36">
        <v>256844.63</v>
      </c>
      <c r="C48" s="36">
        <v>547794.23</v>
      </c>
      <c r="D48" s="36">
        <v>-290949.6</v>
      </c>
      <c r="E48" s="37">
        <v>1797</v>
      </c>
      <c r="F48" s="38">
        <v>39.0094602114635</v>
      </c>
      <c r="G48" s="39">
        <v>701</v>
      </c>
      <c r="H48" s="39">
        <v>1096</v>
      </c>
      <c r="I48" s="36">
        <v>-112179.17</v>
      </c>
      <c r="J48" s="40">
        <v>0.0695623738127877</v>
      </c>
      <c r="K48" s="40">
        <v>0.229264116828197</v>
      </c>
      <c r="L48" s="38">
        <f>-OPTI4_UPI_INS[[#This Row], [Net Profit]]/OPTI4_UPI_INS[[#This Row], [Max Intraday Drawdown]]</f>
      </c>
      <c r="M48" s="41">
        <v>0</v>
      </c>
      <c r="N48" s="38">
        <v>0.16</v>
      </c>
      <c r="O48" s="42">
        <v>0.40587391443805165</v>
      </c>
      <c r="P48" s="21">
        <f>(OPTI4_UPI_INS[[#This Row], [Net Profit]]-B$74)/ABS(B$74)</f>
      </c>
      <c r="Q48" s="21">
        <f>(OPTI4_UPI_INS[[#This Row], [UPI]]-J$74)/ABS(J$74)</f>
      </c>
      <c r="R48" s="21">
        <f>(OPTI4_UPI_INS[[#This Row], [SORTINO AJUSTADO]]-K$74)/ABS(K$74)</f>
      </c>
      <c r="S48" s="21">
        <f>(OPTI4_UPI_INS[[#This Row], [RECOVERY]]-L$74)/ABS(L$74)</f>
      </c>
      <c r="T48" s="21">
        <f>(OPTI4_UPI_INS[[#This Row], [ROB]]-O$74)/ABS(O$74)</f>
      </c>
      <c r="U48" s="21">
        <f>SUM(OPTI4_UPI_INS[[#This Row], [VAR NET PROFIT]:[VAR ROB]])</f>
      </c>
      <c r="V48" s="21">
        <f>OPTI4_UPI_INS[[#This Row], [SUMA]]-OPTI4_UPI_INS[[#This Row], [VAR ROB]]</f>
      </c>
    </row>
    <row x14ac:dyDescent="0.25" r="49" customHeight="1" ht="18.75">
      <c r="A49" s="21"/>
      <c r="B49" s="36">
        <v>95267.76</v>
      </c>
      <c r="C49" s="36">
        <v>364473.56</v>
      </c>
      <c r="D49" s="36">
        <v>-269205.8</v>
      </c>
      <c r="E49" s="37">
        <v>2906</v>
      </c>
      <c r="F49" s="38">
        <v>36.682725395733</v>
      </c>
      <c r="G49" s="39">
        <v>1066</v>
      </c>
      <c r="H49" s="39">
        <v>1840</v>
      </c>
      <c r="I49" s="36">
        <v>-42550.83</v>
      </c>
      <c r="J49" s="40">
        <v>0.0398498773077084</v>
      </c>
      <c r="K49" s="40">
        <v>0.175480100797694</v>
      </c>
      <c r="L49" s="38">
        <f>-OPTI4_UPI_INS[[#This Row], [Net Profit]]/OPTI4_UPI_INS[[#This Row], [Max Intraday Drawdown]]</f>
      </c>
      <c r="M49" s="41">
        <v>1.5</v>
      </c>
      <c r="N49" s="38">
        <v>0.11</v>
      </c>
      <c r="O49" s="42">
        <v>1.2415066513121078</v>
      </c>
      <c r="P49" s="21">
        <f>(OPTI4_UPI_INS[[#This Row], [Net Profit]]-B$74)/ABS(B$74)</f>
      </c>
      <c r="Q49" s="21">
        <f>(OPTI4_UPI_INS[[#This Row], [UPI]]-J$74)/ABS(J$74)</f>
      </c>
      <c r="R49" s="21">
        <f>(OPTI4_UPI_INS[[#This Row], [SORTINO AJUSTADO]]-K$74)/ABS(K$74)</f>
      </c>
      <c r="S49" s="21">
        <f>(OPTI4_UPI_INS[[#This Row], [RECOVERY]]-L$74)/ABS(L$74)</f>
      </c>
      <c r="T49" s="21">
        <f>(OPTI4_UPI_INS[[#This Row], [ROB]]-O$74)/ABS(O$74)</f>
      </c>
      <c r="U49" s="21">
        <f>SUM(OPTI4_UPI_INS[[#This Row], [VAR NET PROFIT]:[VAR ROB]])</f>
      </c>
      <c r="V49" s="21">
        <f>OPTI4_UPI_INS[[#This Row], [SUMA]]-OPTI4_UPI_INS[[#This Row], [VAR ROB]]</f>
      </c>
    </row>
    <row x14ac:dyDescent="0.25" r="50" customHeight="1" ht="18.75">
      <c r="A50" s="21"/>
      <c r="B50" s="36">
        <v>56237.18</v>
      </c>
      <c r="C50" s="36">
        <v>137184.26</v>
      </c>
      <c r="D50" s="36">
        <v>-80947.08</v>
      </c>
      <c r="E50" s="37">
        <v>837</v>
      </c>
      <c r="F50" s="38">
        <v>39.9044205495818</v>
      </c>
      <c r="G50" s="39">
        <v>334</v>
      </c>
      <c r="H50" s="39">
        <v>503</v>
      </c>
      <c r="I50" s="36">
        <v>-16309.53</v>
      </c>
      <c r="J50" s="40">
        <v>0.0772212798077169</v>
      </c>
      <c r="K50" s="40">
        <v>0.193196254504414</v>
      </c>
      <c r="L50" s="38">
        <f>-OPTI4_UPI_INS[[#This Row], [Net Profit]]/OPTI4_UPI_INS[[#This Row], [Max Intraday Drawdown]]</f>
      </c>
      <c r="M50" s="41">
        <v>0.5</v>
      </c>
      <c r="N50" s="38">
        <v>0.11</v>
      </c>
      <c r="O50" s="42">
        <v>0.5870798709550799</v>
      </c>
      <c r="P50" s="21">
        <f>(OPTI4_UPI_INS[[#This Row], [Net Profit]]-B$74)/ABS(B$74)</f>
      </c>
      <c r="Q50" s="21">
        <f>(OPTI4_UPI_INS[[#This Row], [UPI]]-J$74)/ABS(J$74)</f>
      </c>
      <c r="R50" s="21">
        <f>(OPTI4_UPI_INS[[#This Row], [SORTINO AJUSTADO]]-K$74)/ABS(K$74)</f>
      </c>
      <c r="S50" s="21">
        <f>(OPTI4_UPI_INS[[#This Row], [RECOVERY]]-L$74)/ABS(L$74)</f>
      </c>
      <c r="T50" s="21">
        <f>(OPTI4_UPI_INS[[#This Row], [ROB]]-O$74)/ABS(O$74)</f>
      </c>
      <c r="U50" s="21">
        <f>SUM(OPTI4_UPI_INS[[#This Row], [VAR NET PROFIT]:[VAR ROB]])</f>
      </c>
      <c r="V50" s="21">
        <f>OPTI4_UPI_INS[[#This Row], [SUMA]]-OPTI4_UPI_INS[[#This Row], [VAR ROB]]</f>
      </c>
    </row>
    <row x14ac:dyDescent="0.25" r="51" customHeight="1" ht="18.75">
      <c r="A51" s="21"/>
      <c r="B51" s="36">
        <v>84575.16</v>
      </c>
      <c r="C51" s="36">
        <v>312705.02</v>
      </c>
      <c r="D51" s="36">
        <v>-228129.86</v>
      </c>
      <c r="E51" s="37">
        <v>2560</v>
      </c>
      <c r="F51" s="38">
        <v>37.1875</v>
      </c>
      <c r="G51" s="39">
        <v>952</v>
      </c>
      <c r="H51" s="39">
        <v>1608</v>
      </c>
      <c r="I51" s="36">
        <v>-37821.22</v>
      </c>
      <c r="J51" s="40">
        <v>0.0353130311408238</v>
      </c>
      <c r="K51" s="40">
        <v>0.167068489804849</v>
      </c>
      <c r="L51" s="38">
        <f>-OPTI4_UPI_INS[[#This Row], [Net Profit]]/OPTI4_UPI_INS[[#This Row], [Max Intraday Drawdown]]</f>
      </c>
      <c r="M51" s="41">
        <v>1</v>
      </c>
      <c r="N51" s="38">
        <v>0.11</v>
      </c>
      <c r="O51" s="42">
        <v>1.2896951741153837</v>
      </c>
      <c r="P51" s="21">
        <f>(OPTI4_UPI_INS[[#This Row], [Net Profit]]-B$74)/ABS(B$74)</f>
      </c>
      <c r="Q51" s="21">
        <f>(OPTI4_UPI_INS[[#This Row], [UPI]]-J$74)/ABS(J$74)</f>
      </c>
      <c r="R51" s="21">
        <f>(OPTI4_UPI_INS[[#This Row], [SORTINO AJUSTADO]]-K$74)/ABS(K$74)</f>
      </c>
      <c r="S51" s="21">
        <f>(OPTI4_UPI_INS[[#This Row], [RECOVERY]]-L$74)/ABS(L$74)</f>
      </c>
      <c r="T51" s="21">
        <f>(OPTI4_UPI_INS[[#This Row], [ROB]]-O$74)/ABS(O$74)</f>
      </c>
      <c r="U51" s="21">
        <f>SUM(OPTI4_UPI_INS[[#This Row], [VAR NET PROFIT]:[VAR ROB]])</f>
      </c>
      <c r="V51" s="21">
        <f>OPTI4_UPI_INS[[#This Row], [SUMA]]-OPTI4_UPI_INS[[#This Row], [VAR ROB]]</f>
      </c>
    </row>
    <row x14ac:dyDescent="0.25" r="52" customHeight="1" ht="18.75">
      <c r="A52" s="21"/>
      <c r="B52" s="36">
        <v>148453.44</v>
      </c>
      <c r="C52" s="36">
        <v>434745.25</v>
      </c>
      <c r="D52" s="36">
        <v>-286291.81</v>
      </c>
      <c r="E52" s="37">
        <v>2579</v>
      </c>
      <c r="F52" s="38">
        <v>37.1849554090733</v>
      </c>
      <c r="G52" s="39">
        <v>959</v>
      </c>
      <c r="H52" s="39">
        <v>1620</v>
      </c>
      <c r="I52" s="36">
        <v>-60101.5699999999</v>
      </c>
      <c r="J52" s="40">
        <v>0.054726350929987</v>
      </c>
      <c r="K52" s="40">
        <v>0.209485669337591</v>
      </c>
      <c r="L52" s="38">
        <f>-OPTI4_UPI_INS[[#This Row], [Net Profit]]/OPTI4_UPI_INS[[#This Row], [Max Intraday Drawdown]]</f>
      </c>
      <c r="M52" s="41">
        <v>1.5</v>
      </c>
      <c r="N52" s="38">
        <v>0.12</v>
      </c>
      <c r="O52" s="42">
        <v>0.7408660512728789</v>
      </c>
      <c r="P52" s="21">
        <f>(OPTI4_UPI_INS[[#This Row], [Net Profit]]-B$74)/ABS(B$74)</f>
      </c>
      <c r="Q52" s="21">
        <f>(OPTI4_UPI_INS[[#This Row], [UPI]]-J$74)/ABS(J$74)</f>
      </c>
      <c r="R52" s="21">
        <f>(OPTI4_UPI_INS[[#This Row], [SORTINO AJUSTADO]]-K$74)/ABS(K$74)</f>
      </c>
      <c r="S52" s="21">
        <f>(OPTI4_UPI_INS[[#This Row], [RECOVERY]]-L$74)/ABS(L$74)</f>
      </c>
      <c r="T52" s="21">
        <f>(OPTI4_UPI_INS[[#This Row], [ROB]]-O$74)/ABS(O$74)</f>
      </c>
      <c r="U52" s="21">
        <f>SUM(OPTI4_UPI_INS[[#This Row], [VAR NET PROFIT]:[VAR ROB]])</f>
      </c>
      <c r="V52" s="21">
        <f>OPTI4_UPI_INS[[#This Row], [SUMA]]-OPTI4_UPI_INS[[#This Row], [VAR ROB]]</f>
      </c>
    </row>
    <row x14ac:dyDescent="0.25" r="53" customHeight="1" ht="18.75">
      <c r="A53" s="21"/>
      <c r="B53" s="36">
        <v>176394.54</v>
      </c>
      <c r="C53" s="36">
        <v>472913.65</v>
      </c>
      <c r="D53" s="36">
        <v>-296519.11</v>
      </c>
      <c r="E53" s="37">
        <v>2452</v>
      </c>
      <c r="F53" s="38">
        <v>38.3768352365416</v>
      </c>
      <c r="G53" s="39">
        <v>941</v>
      </c>
      <c r="H53" s="39">
        <v>1509</v>
      </c>
      <c r="I53" s="36">
        <v>-74448.7799999999</v>
      </c>
      <c r="J53" s="40">
        <v>0.0560202495855406</v>
      </c>
      <c r="K53" s="40">
        <v>0.221321187477886</v>
      </c>
      <c r="L53" s="38">
        <f>-OPTI4_UPI_INS[[#This Row], [Net Profit]]/OPTI4_UPI_INS[[#This Row], [Max Intraday Drawdown]]</f>
      </c>
      <c r="M53" s="41">
        <v>0</v>
      </c>
      <c r="N53" s="38">
        <v>0.13</v>
      </c>
      <c r="O53" s="42">
        <v>0.5958039491300439</v>
      </c>
      <c r="P53" s="21">
        <f>(OPTI4_UPI_INS[[#This Row], [Net Profit]]-B$74)/ABS(B$74)</f>
      </c>
      <c r="Q53" s="21">
        <f>(OPTI4_UPI_INS[[#This Row], [UPI]]-J$74)/ABS(J$74)</f>
      </c>
      <c r="R53" s="21">
        <f>(OPTI4_UPI_INS[[#This Row], [SORTINO AJUSTADO]]-K$74)/ABS(K$74)</f>
      </c>
      <c r="S53" s="21">
        <f>(OPTI4_UPI_INS[[#This Row], [RECOVERY]]-L$74)/ABS(L$74)</f>
      </c>
      <c r="T53" s="21">
        <f>(OPTI4_UPI_INS[[#This Row], [ROB]]-O$74)/ABS(O$74)</f>
      </c>
      <c r="U53" s="21">
        <f>SUM(OPTI4_UPI_INS[[#This Row], [VAR NET PROFIT]:[VAR ROB]])</f>
      </c>
      <c r="V53" s="21">
        <f>OPTI4_UPI_INS[[#This Row], [SUMA]]-OPTI4_UPI_INS[[#This Row], [VAR ROB]]</f>
      </c>
    </row>
    <row x14ac:dyDescent="0.25" r="54" customHeight="1" ht="18.75">
      <c r="A54" s="21"/>
      <c r="B54" s="36">
        <v>184807.68</v>
      </c>
      <c r="C54" s="36">
        <v>455188.87</v>
      </c>
      <c r="D54" s="36">
        <v>-270381.19</v>
      </c>
      <c r="E54" s="37">
        <v>2008</v>
      </c>
      <c r="F54" s="38">
        <v>38.0478087649402</v>
      </c>
      <c r="G54" s="39">
        <v>764</v>
      </c>
      <c r="H54" s="39">
        <v>1244</v>
      </c>
      <c r="I54" s="36">
        <v>-82912.11</v>
      </c>
      <c r="J54" s="40">
        <v>0.0568747884675025</v>
      </c>
      <c r="K54" s="40">
        <v>0.202149326403299</v>
      </c>
      <c r="L54" s="38">
        <f>-OPTI4_UPI_INS[[#This Row], [Net Profit]]/OPTI4_UPI_INS[[#This Row], [Max Intraday Drawdown]]</f>
      </c>
      <c r="M54" s="41">
        <v>0</v>
      </c>
      <c r="N54" s="38">
        <v>0.15</v>
      </c>
      <c r="O54" s="42">
        <v>0.6809460809966548</v>
      </c>
      <c r="P54" s="21">
        <f>(OPTI4_UPI_INS[[#This Row], [Net Profit]]-B$74)/ABS(B$74)</f>
      </c>
      <c r="Q54" s="21">
        <f>(OPTI4_UPI_INS[[#This Row], [UPI]]-J$74)/ABS(J$74)</f>
      </c>
      <c r="R54" s="21">
        <f>(OPTI4_UPI_INS[[#This Row], [SORTINO AJUSTADO]]-K$74)/ABS(K$74)</f>
      </c>
      <c r="S54" s="21">
        <f>(OPTI4_UPI_INS[[#This Row], [RECOVERY]]-L$74)/ABS(L$74)</f>
      </c>
      <c r="T54" s="21">
        <f>(OPTI4_UPI_INS[[#This Row], [ROB]]-O$74)/ABS(O$74)</f>
      </c>
      <c r="U54" s="21">
        <f>SUM(OPTI4_UPI_INS[[#This Row], [VAR NET PROFIT]:[VAR ROB]])</f>
      </c>
      <c r="V54" s="21">
        <f>OPTI4_UPI_INS[[#This Row], [SUMA]]-OPTI4_UPI_INS[[#This Row], [VAR ROB]]</f>
      </c>
    </row>
    <row x14ac:dyDescent="0.25" r="55" customHeight="1" ht="18.75">
      <c r="A55" s="21"/>
      <c r="B55" s="36">
        <v>167144.5</v>
      </c>
      <c r="C55" s="36">
        <v>440115.7</v>
      </c>
      <c r="D55" s="36">
        <v>-272971.2</v>
      </c>
      <c r="E55" s="37">
        <v>2225</v>
      </c>
      <c r="F55" s="38">
        <v>38.6067415730337</v>
      </c>
      <c r="G55" s="39">
        <v>859</v>
      </c>
      <c r="H55" s="39">
        <v>1366</v>
      </c>
      <c r="I55" s="36">
        <v>-78132</v>
      </c>
      <c r="J55" s="40">
        <v>0.0517005834658034</v>
      </c>
      <c r="K55" s="40">
        <v>0.198176025433283</v>
      </c>
      <c r="L55" s="38">
        <f>-OPTI4_UPI_INS[[#This Row], [Net Profit]]/OPTI4_UPI_INS[[#This Row], [Max Intraday Drawdown]]</f>
      </c>
      <c r="M55" s="41">
        <v>0</v>
      </c>
      <c r="N55" s="38">
        <v>0.14</v>
      </c>
      <c r="O55" s="42">
        <v>0.7472378608856381</v>
      </c>
      <c r="P55" s="21">
        <f>(OPTI4_UPI_INS[[#This Row], [Net Profit]]-B$74)/ABS(B$74)</f>
      </c>
      <c r="Q55" s="21">
        <f>(OPTI4_UPI_INS[[#This Row], [UPI]]-J$74)/ABS(J$74)</f>
      </c>
      <c r="R55" s="21">
        <f>(OPTI4_UPI_INS[[#This Row], [SORTINO AJUSTADO]]-K$74)/ABS(K$74)</f>
      </c>
      <c r="S55" s="21">
        <f>(OPTI4_UPI_INS[[#This Row], [RECOVERY]]-L$74)/ABS(L$74)</f>
      </c>
      <c r="T55" s="21">
        <f>(OPTI4_UPI_INS[[#This Row], [ROB]]-O$74)/ABS(O$74)</f>
      </c>
      <c r="U55" s="21">
        <f>SUM(OPTI4_UPI_INS[[#This Row], [VAR NET PROFIT]:[VAR ROB]])</f>
      </c>
      <c r="V55" s="21">
        <f>OPTI4_UPI_INS[[#This Row], [SUMA]]-OPTI4_UPI_INS[[#This Row], [VAR ROB]]</f>
      </c>
    </row>
    <row x14ac:dyDescent="0.25" r="56" customHeight="1" ht="18.75">
      <c r="A56" s="21"/>
      <c r="B56" s="36">
        <v>48279.6</v>
      </c>
      <c r="C56" s="36">
        <v>124505.66</v>
      </c>
      <c r="D56" s="36">
        <v>-76226.06</v>
      </c>
      <c r="E56" s="37">
        <v>870</v>
      </c>
      <c r="F56" s="38">
        <v>39.4252873563218</v>
      </c>
      <c r="G56" s="39">
        <v>343</v>
      </c>
      <c r="H56" s="39">
        <v>527</v>
      </c>
      <c r="I56" s="36">
        <v>-13501.63</v>
      </c>
      <c r="J56" s="40">
        <v>0.0700310752593197</v>
      </c>
      <c r="K56" s="40">
        <v>0.197424257657576</v>
      </c>
      <c r="L56" s="38">
        <f>-OPTI4_UPI_INS[[#This Row], [Net Profit]]/OPTI4_UPI_INS[[#This Row], [Max Intraday Drawdown]]</f>
      </c>
      <c r="M56" s="41">
        <v>0.5</v>
      </c>
      <c r="N56" s="38">
        <v>0.1</v>
      </c>
      <c r="O56" s="42">
        <v>0.24225152909099068</v>
      </c>
      <c r="P56" s="21">
        <f>(OPTI4_UPI_INS[[#This Row], [Net Profit]]-B$74)/ABS(B$74)</f>
      </c>
      <c r="Q56" s="21">
        <f>(OPTI4_UPI_INS[[#This Row], [UPI]]-J$74)/ABS(J$74)</f>
      </c>
      <c r="R56" s="21">
        <f>(OPTI4_UPI_INS[[#This Row], [SORTINO AJUSTADO]]-K$74)/ABS(K$74)</f>
      </c>
      <c r="S56" s="21">
        <f>(OPTI4_UPI_INS[[#This Row], [RECOVERY]]-L$74)/ABS(L$74)</f>
      </c>
      <c r="T56" s="21">
        <f>(OPTI4_UPI_INS[[#This Row], [ROB]]-O$74)/ABS(O$74)</f>
      </c>
      <c r="U56" s="21">
        <f>SUM(OPTI4_UPI_INS[[#This Row], [VAR NET PROFIT]:[VAR ROB]])</f>
      </c>
      <c r="V56" s="21">
        <f>OPTI4_UPI_INS[[#This Row], [SUMA]]-OPTI4_UPI_INS[[#This Row], [VAR ROB]]</f>
      </c>
    </row>
    <row x14ac:dyDescent="0.25" r="57" customHeight="1" ht="18.75">
      <c r="A57" s="21"/>
      <c r="B57" s="36">
        <v>130098.58</v>
      </c>
      <c r="C57" s="36">
        <v>413848.46</v>
      </c>
      <c r="D57" s="36">
        <v>-283749.88</v>
      </c>
      <c r="E57" s="37">
        <v>2737</v>
      </c>
      <c r="F57" s="38">
        <v>37.0843989769821</v>
      </c>
      <c r="G57" s="39">
        <v>1015</v>
      </c>
      <c r="H57" s="39">
        <v>1722</v>
      </c>
      <c r="I57" s="36">
        <v>-56855.9</v>
      </c>
      <c r="J57" s="40">
        <v>0.0422258858357176</v>
      </c>
      <c r="K57" s="40">
        <v>0.193125328294761</v>
      </c>
      <c r="L57" s="38">
        <f>-OPTI4_UPI_INS[[#This Row], [Net Profit]]/OPTI4_UPI_INS[[#This Row], [Max Intraday Drawdown]]</f>
      </c>
      <c r="M57" s="41">
        <v>0</v>
      </c>
      <c r="N57" s="38">
        <v>0.12</v>
      </c>
      <c r="O57" s="42">
        <v>0.6457498283381452</v>
      </c>
      <c r="P57" s="21">
        <f>(OPTI4_UPI_INS[[#This Row], [Net Profit]]-B$74)/ABS(B$74)</f>
      </c>
      <c r="Q57" s="21">
        <f>(OPTI4_UPI_INS[[#This Row], [UPI]]-J$74)/ABS(J$74)</f>
      </c>
      <c r="R57" s="21">
        <f>(OPTI4_UPI_INS[[#This Row], [SORTINO AJUSTADO]]-K$74)/ABS(K$74)</f>
      </c>
      <c r="S57" s="21">
        <f>(OPTI4_UPI_INS[[#This Row], [RECOVERY]]-L$74)/ABS(L$74)</f>
      </c>
      <c r="T57" s="21">
        <f>(OPTI4_UPI_INS[[#This Row], [ROB]]-O$74)/ABS(O$74)</f>
      </c>
      <c r="U57" s="21">
        <f>SUM(OPTI4_UPI_INS[[#This Row], [VAR NET PROFIT]:[VAR ROB]])</f>
      </c>
      <c r="V57" s="21">
        <f>OPTI4_UPI_INS[[#This Row], [SUMA]]-OPTI4_UPI_INS[[#This Row], [VAR ROB]]</f>
      </c>
    </row>
    <row x14ac:dyDescent="0.25" r="58" customHeight="1" ht="18.75">
      <c r="A58" s="21"/>
      <c r="B58" s="36">
        <v>87956.92</v>
      </c>
      <c r="C58" s="36">
        <v>360020.09</v>
      </c>
      <c r="D58" s="36">
        <v>-272063.17</v>
      </c>
      <c r="E58" s="37">
        <v>3105</v>
      </c>
      <c r="F58" s="38">
        <v>36.1996779388084</v>
      </c>
      <c r="G58" s="39">
        <v>1124</v>
      </c>
      <c r="H58" s="39">
        <v>1981</v>
      </c>
      <c r="I58" s="36">
        <v>-43796.2</v>
      </c>
      <c r="J58" s="40">
        <v>0.0305693413823585</v>
      </c>
      <c r="K58" s="40">
        <v>0.164312731214913</v>
      </c>
      <c r="L58" s="38">
        <f>-OPTI4_UPI_INS[[#This Row], [Net Profit]]/OPTI4_UPI_INS[[#This Row], [Max Intraday Drawdown]]</f>
      </c>
      <c r="M58" s="41">
        <v>0</v>
      </c>
      <c r="N58" s="38">
        <v>0.11</v>
      </c>
      <c r="O58" s="42">
        <v>0.9917184527486009</v>
      </c>
      <c r="P58" s="21">
        <f>(OPTI4_UPI_INS[[#This Row], [Net Profit]]-B$74)/ABS(B$74)</f>
      </c>
      <c r="Q58" s="21">
        <f>(OPTI4_UPI_INS[[#This Row], [UPI]]-J$74)/ABS(J$74)</f>
      </c>
      <c r="R58" s="21">
        <f>(OPTI4_UPI_INS[[#This Row], [SORTINO AJUSTADO]]-K$74)/ABS(K$74)</f>
      </c>
      <c r="S58" s="21">
        <f>(OPTI4_UPI_INS[[#This Row], [RECOVERY]]-L$74)/ABS(L$74)</f>
      </c>
      <c r="T58" s="21">
        <f>(OPTI4_UPI_INS[[#This Row], [ROB]]-O$74)/ABS(O$74)</f>
      </c>
      <c r="U58" s="21">
        <f>SUM(OPTI4_UPI_INS[[#This Row], [VAR NET PROFIT]:[VAR ROB]])</f>
      </c>
      <c r="V58" s="21">
        <f>OPTI4_UPI_INS[[#This Row], [SUMA]]-OPTI4_UPI_INS[[#This Row], [VAR ROB]]</f>
      </c>
    </row>
    <row x14ac:dyDescent="0.25" r="59" customHeight="1" ht="18.75">
      <c r="A59" s="21"/>
      <c r="B59" s="36">
        <v>60570.16</v>
      </c>
      <c r="C59" s="36">
        <v>283363.8</v>
      </c>
      <c r="D59" s="36">
        <v>-222793.64</v>
      </c>
      <c r="E59" s="37">
        <v>2821</v>
      </c>
      <c r="F59" s="38">
        <v>36.760014179369</v>
      </c>
      <c r="G59" s="39">
        <v>1037</v>
      </c>
      <c r="H59" s="39">
        <v>1784</v>
      </c>
      <c r="I59" s="36">
        <v>-38907.25</v>
      </c>
      <c r="J59" s="40">
        <v>0.0259181913908511</v>
      </c>
      <c r="K59" s="40">
        <v>0.147985154262933</v>
      </c>
      <c r="L59" s="38">
        <f>-OPTI4_UPI_INS[[#This Row], [Net Profit]]/OPTI4_UPI_INS[[#This Row], [Max Intraday Drawdown]]</f>
      </c>
      <c r="M59" s="41">
        <v>1</v>
      </c>
      <c r="N59" s="38">
        <v>0.1</v>
      </c>
      <c r="O59" s="42">
        <v>1.0548351301119496</v>
      </c>
      <c r="P59" s="21">
        <f>(OPTI4_UPI_INS[[#This Row], [Net Profit]]-B$74)/ABS(B$74)</f>
      </c>
      <c r="Q59" s="21">
        <f>(OPTI4_UPI_INS[[#This Row], [UPI]]-J$74)/ABS(J$74)</f>
      </c>
      <c r="R59" s="21">
        <f>(OPTI4_UPI_INS[[#This Row], [SORTINO AJUSTADO]]-K$74)/ABS(K$74)</f>
      </c>
      <c r="S59" s="21">
        <f>(OPTI4_UPI_INS[[#This Row], [RECOVERY]]-L$74)/ABS(L$74)</f>
      </c>
      <c r="T59" s="21">
        <f>(OPTI4_UPI_INS[[#This Row], [ROB]]-O$74)/ABS(O$74)</f>
      </c>
      <c r="U59" s="21">
        <f>SUM(OPTI4_UPI_INS[[#This Row], [VAR NET PROFIT]:[VAR ROB]])</f>
      </c>
      <c r="V59" s="21">
        <f>OPTI4_UPI_INS[[#This Row], [SUMA]]-OPTI4_UPI_INS[[#This Row], [VAR ROB]]</f>
      </c>
    </row>
    <row x14ac:dyDescent="0.25" r="60" customHeight="1" ht="18.75">
      <c r="A60" s="21"/>
      <c r="B60" s="36">
        <v>68954.09</v>
      </c>
      <c r="C60" s="36">
        <v>323230.56</v>
      </c>
      <c r="D60" s="36">
        <v>-254276.47</v>
      </c>
      <c r="E60" s="37">
        <v>3237</v>
      </c>
      <c r="F60" s="38">
        <v>36.360827927093</v>
      </c>
      <c r="G60" s="39">
        <v>1177</v>
      </c>
      <c r="H60" s="39">
        <v>2060</v>
      </c>
      <c r="I60" s="36">
        <v>-44954.27</v>
      </c>
      <c r="J60" s="40">
        <v>0.0268442130325625</v>
      </c>
      <c r="K60" s="40">
        <v>0.150435037776319</v>
      </c>
      <c r="L60" s="38">
        <f>-OPTI4_UPI_INS[[#This Row], [Net Profit]]/OPTI4_UPI_INS[[#This Row], [Max Intraday Drawdown]]</f>
      </c>
      <c r="M60" s="41">
        <v>1.5</v>
      </c>
      <c r="N60" s="38">
        <v>0.1</v>
      </c>
      <c r="O60" s="42">
        <v>1.0085783771605488</v>
      </c>
      <c r="P60" s="21">
        <f>(OPTI4_UPI_INS[[#This Row], [Net Profit]]-B$74)/ABS(B$74)</f>
      </c>
      <c r="Q60" s="21">
        <f>(OPTI4_UPI_INS[[#This Row], [UPI]]-J$74)/ABS(J$74)</f>
      </c>
      <c r="R60" s="21">
        <f>(OPTI4_UPI_INS[[#This Row], [SORTINO AJUSTADO]]-K$74)/ABS(K$74)</f>
      </c>
      <c r="S60" s="21">
        <f>(OPTI4_UPI_INS[[#This Row], [RECOVERY]]-L$74)/ABS(L$74)</f>
      </c>
      <c r="T60" s="21">
        <f>(OPTI4_UPI_INS[[#This Row], [ROB]]-O$74)/ABS(O$74)</f>
      </c>
      <c r="U60" s="21">
        <f>SUM(OPTI4_UPI_INS[[#This Row], [VAR NET PROFIT]:[VAR ROB]])</f>
      </c>
      <c r="V60" s="21">
        <f>OPTI4_UPI_INS[[#This Row], [SUMA]]-OPTI4_UPI_INS[[#This Row], [VAR ROB]]</f>
      </c>
    </row>
    <row x14ac:dyDescent="0.25" r="61" customHeight="1" ht="18.75">
      <c r="A61" s="21"/>
      <c r="B61" s="36">
        <v>65725.72</v>
      </c>
      <c r="C61" s="36">
        <v>331453.54</v>
      </c>
      <c r="D61" s="36">
        <v>-265727.82</v>
      </c>
      <c r="E61" s="37">
        <v>3473</v>
      </c>
      <c r="F61" s="38">
        <v>36.049524906421</v>
      </c>
      <c r="G61" s="39">
        <v>1252</v>
      </c>
      <c r="H61" s="39">
        <v>2220</v>
      </c>
      <c r="I61" s="36">
        <v>-35445.7899999999</v>
      </c>
      <c r="J61" s="40">
        <v>0.0216090781664153</v>
      </c>
      <c r="K61" s="40">
        <v>0.142679670100897</v>
      </c>
      <c r="L61" s="38">
        <f>-OPTI4_UPI_INS[[#This Row], [Net Profit]]/OPTI4_UPI_INS[[#This Row], [Max Intraday Drawdown]]</f>
      </c>
      <c r="M61" s="41">
        <v>0</v>
      </c>
      <c r="N61" s="38">
        <v>0.1</v>
      </c>
      <c r="O61" s="42">
        <v>0.9801824382366405</v>
      </c>
      <c r="P61" s="21">
        <f>(OPTI4_UPI_INS[[#This Row], [Net Profit]]-B$74)/ABS(B$74)</f>
      </c>
      <c r="Q61" s="21">
        <f>(OPTI4_UPI_INS[[#This Row], [UPI]]-J$74)/ABS(J$74)</f>
      </c>
      <c r="R61" s="21">
        <f>(OPTI4_UPI_INS[[#This Row], [SORTINO AJUSTADO]]-K$74)/ABS(K$74)</f>
      </c>
      <c r="S61" s="21">
        <f>(OPTI4_UPI_INS[[#This Row], [RECOVERY]]-L$74)/ABS(L$74)</f>
      </c>
      <c r="T61" s="21">
        <f>(OPTI4_UPI_INS[[#This Row], [ROB]]-O$74)/ABS(O$74)</f>
      </c>
      <c r="U61" s="21">
        <f>SUM(OPTI4_UPI_INS[[#This Row], [VAR NET PROFIT]:[VAR ROB]])</f>
      </c>
      <c r="V61" s="21">
        <f>OPTI4_UPI_INS[[#This Row], [SUMA]]-OPTI4_UPI_INS[[#This Row], [VAR ROB]]</f>
      </c>
    </row>
    <row x14ac:dyDescent="0.25" r="62" customHeight="1" ht="18.75">
      <c r="A62" s="50"/>
      <c r="B62" s="51"/>
      <c r="C62" s="51"/>
      <c r="D62" s="51"/>
      <c r="E62" s="52"/>
      <c r="F62" s="53"/>
      <c r="G62" s="52"/>
      <c r="H62" s="52"/>
      <c r="I62" s="51"/>
      <c r="J62" s="54"/>
      <c r="K62" s="54"/>
      <c r="L62" s="53"/>
      <c r="M62" s="52"/>
      <c r="N62" s="52"/>
      <c r="O62" s="55"/>
      <c r="P62" s="56"/>
      <c r="Q62" s="56"/>
      <c r="R62" s="56"/>
      <c r="S62" s="56"/>
      <c r="T62" s="56"/>
      <c r="U62" s="56"/>
      <c r="V62" s="56"/>
    </row>
    <row x14ac:dyDescent="0.25" r="63" customHeight="1" ht="18.75">
      <c r="A63" s="50"/>
      <c r="B63" s="51"/>
      <c r="C63" s="51"/>
      <c r="D63" s="51"/>
      <c r="E63" s="52"/>
      <c r="F63" s="53"/>
      <c r="G63" s="52"/>
      <c r="H63" s="52"/>
      <c r="I63" s="51"/>
      <c r="J63" s="54"/>
      <c r="K63" s="54"/>
      <c r="L63" s="53"/>
      <c r="M63" s="52"/>
      <c r="N63" s="52"/>
      <c r="O63" s="55"/>
      <c r="P63" s="56"/>
      <c r="Q63" s="56"/>
      <c r="R63" s="56"/>
      <c r="S63" s="56"/>
      <c r="T63" s="56"/>
      <c r="U63" s="56"/>
      <c r="V63" s="56"/>
    </row>
    <row x14ac:dyDescent="0.25" r="64" customHeight="1" ht="30">
      <c r="A64" s="57" t="s">
        <v>32</v>
      </c>
      <c r="B64" s="58">
        <v>292779.4471666666</v>
      </c>
      <c r="C64" s="58">
        <v>527731.7611666665</v>
      </c>
      <c r="D64" s="58">
        <v>-234952.31400000004</v>
      </c>
      <c r="E64" s="41">
        <v>1426.2</v>
      </c>
      <c r="F64" s="38">
        <v>41.32158055558184</v>
      </c>
      <c r="G64" s="41">
        <v>565.45</v>
      </c>
      <c r="H64" s="41">
        <v>860.6333333333333</v>
      </c>
      <c r="I64" s="58">
        <v>-132499.6716666667</v>
      </c>
      <c r="J64" s="40">
        <v>0.08920542040320953</v>
      </c>
      <c r="K64" s="40">
        <v>0.2440863749252147</v>
      </c>
      <c r="L64" s="38">
        <v>2.4670550183241695</v>
      </c>
      <c r="M64" s="41">
        <v>0.75</v>
      </c>
      <c r="N64" s="41">
        <v>0.17000000000000004</v>
      </c>
      <c r="O64" s="42">
        <v>0.48591236559985895</v>
      </c>
      <c r="P64" s="56"/>
      <c r="Q64" s="56"/>
      <c r="R64" s="56"/>
      <c r="S64" s="56"/>
      <c r="T64" s="56"/>
      <c r="U64" s="56"/>
      <c r="V64" s="56"/>
    </row>
    <row x14ac:dyDescent="0.25" r="65" customHeight="1" ht="30">
      <c r="A65" s="57" t="s">
        <v>33</v>
      </c>
      <c r="B65" s="59">
        <v>20946.548256632857</v>
      </c>
      <c r="C65" s="59">
        <v>26963.371750922048</v>
      </c>
      <c r="D65" s="59">
        <v>10435.18240340156</v>
      </c>
      <c r="E65" s="41">
        <v>103.53740501523173</v>
      </c>
      <c r="F65" s="38">
        <v>0.46547820112280014</v>
      </c>
      <c r="G65" s="41">
        <v>36.08657531657855</v>
      </c>
      <c r="H65" s="41">
        <v>67.4997759639164</v>
      </c>
      <c r="I65" s="58">
        <v>11652.183413796498</v>
      </c>
      <c r="J65" s="40">
        <v>0.0043600407868253825</v>
      </c>
      <c r="K65" s="40">
        <v>0.00569432229285997</v>
      </c>
      <c r="L65" s="38">
        <v>0.08719973530574476</v>
      </c>
      <c r="M65" s="41">
        <v>0.07277781371744774</v>
      </c>
      <c r="N65" s="41">
        <v>0.005624803825832129</v>
      </c>
      <c r="O65" s="42">
        <v>0.035267550482947586</v>
      </c>
      <c r="P65" s="56"/>
      <c r="Q65" s="56"/>
      <c r="R65" s="56"/>
      <c r="S65" s="56"/>
      <c r="T65" s="56"/>
      <c r="U65" s="56"/>
      <c r="V65" s="56"/>
    </row>
    <row x14ac:dyDescent="0.25" r="66" customHeight="1" ht="30">
      <c r="A66" s="57" t="s">
        <v>34</v>
      </c>
      <c r="B66" s="60">
        <v>280274.82499999995</v>
      </c>
      <c r="C66" s="58">
        <v>478474.80500000005</v>
      </c>
      <c r="D66" s="58">
        <v>-269925.76</v>
      </c>
      <c r="E66" s="39">
        <v>1195</v>
      </c>
      <c r="F66" s="38">
        <v>40.8281964337472</v>
      </c>
      <c r="G66" s="41">
        <v>494.5</v>
      </c>
      <c r="H66" s="41">
        <v>700.5</v>
      </c>
      <c r="I66" s="58">
        <v>-112289.195</v>
      </c>
      <c r="J66" s="61">
        <v>0.09264263414837484</v>
      </c>
      <c r="K66" s="62">
        <v>0.25164314731029247</v>
      </c>
      <c r="L66" s="63">
        <v>2.2889044441758912</v>
      </c>
      <c r="M66" s="41">
        <v>0.75</v>
      </c>
      <c r="N66" s="39">
        <v>0.17</v>
      </c>
      <c r="O66" s="64">
        <v>0.3849444918920948</v>
      </c>
      <c r="P66" s="56"/>
      <c r="Q66" s="56"/>
      <c r="R66" s="56"/>
      <c r="S66" s="56"/>
      <c r="T66" s="56"/>
      <c r="U66" s="56"/>
      <c r="V66" s="56"/>
    </row>
    <row x14ac:dyDescent="0.25" r="67" customHeight="1" ht="30">
      <c r="A67" s="57" t="s">
        <v>35</v>
      </c>
      <c r="B67" s="58" t="s">
        <v>36</v>
      </c>
      <c r="C67" s="58" t="s">
        <v>36</v>
      </c>
      <c r="D67" s="58" t="s">
        <v>36</v>
      </c>
      <c r="E67" s="41" t="s">
        <v>36</v>
      </c>
      <c r="F67" s="38" t="s">
        <v>36</v>
      </c>
      <c r="G67" s="41" t="s">
        <v>36</v>
      </c>
      <c r="H67" s="41" t="s">
        <v>36</v>
      </c>
      <c r="I67" s="58" t="s">
        <v>36</v>
      </c>
      <c r="J67" s="40" t="s">
        <v>36</v>
      </c>
      <c r="K67" s="40" t="s">
        <v>36</v>
      </c>
      <c r="L67" s="38" t="s">
        <v>36</v>
      </c>
      <c r="M67" s="41">
        <v>0</v>
      </c>
      <c r="N67" s="39">
        <v>0.1</v>
      </c>
      <c r="O67" s="42" t="s">
        <v>36</v>
      </c>
      <c r="P67" s="56"/>
      <c r="Q67" s="56"/>
      <c r="R67" s="56"/>
      <c r="S67" s="56"/>
      <c r="T67" s="56"/>
      <c r="U67" s="56"/>
      <c r="V67" s="56"/>
    </row>
    <row x14ac:dyDescent="0.25" r="68" customHeight="1" ht="30">
      <c r="A68" s="57" t="s">
        <v>37</v>
      </c>
      <c r="B68" s="58">
        <v>162251.26511693813</v>
      </c>
      <c r="C68" s="58">
        <v>208857.37949784123</v>
      </c>
      <c r="D68" s="58">
        <v>80830.57532602186</v>
      </c>
      <c r="E68" s="39">
        <v>801.9972906670496</v>
      </c>
      <c r="F68" s="38">
        <v>3.605578641942383</v>
      </c>
      <c r="G68" s="41">
        <v>279.52541044553675</v>
      </c>
      <c r="H68" s="41">
        <v>522.8510163619599</v>
      </c>
      <c r="I68" s="58">
        <v>90257.42461717625</v>
      </c>
      <c r="J68" s="40">
        <v>0.03377273071231958</v>
      </c>
      <c r="K68" s="40">
        <v>0.04410803081636859</v>
      </c>
      <c r="L68" s="38">
        <v>0.6754462452656887</v>
      </c>
      <c r="M68" s="41">
        <v>0.5637345210021216</v>
      </c>
      <c r="N68" s="41">
        <v>0.0435695430862632</v>
      </c>
      <c r="O68" s="42">
        <v>0.2731812713639707</v>
      </c>
      <c r="P68" s="56"/>
      <c r="Q68" s="56"/>
      <c r="R68" s="56"/>
      <c r="S68" s="56"/>
      <c r="T68" s="56"/>
      <c r="U68" s="56"/>
      <c r="V68" s="56"/>
    </row>
    <row x14ac:dyDescent="0.25" r="69" customHeight="1" ht="30">
      <c r="A69" s="57" t="s">
        <v>38</v>
      </c>
      <c r="B69" s="58">
        <v>26325473032.04694</v>
      </c>
      <c r="C69" s="58">
        <v>43621404970.70528</v>
      </c>
      <c r="D69" s="58">
        <v>6533581907.535694</v>
      </c>
      <c r="E69" s="39">
        <v>643199.654237288</v>
      </c>
      <c r="F69" s="38">
        <v>13.000197343231081</v>
      </c>
      <c r="G69" s="41">
        <v>78134.45508474579</v>
      </c>
      <c r="H69" s="41">
        <v>273373.1853107344</v>
      </c>
      <c r="I69" s="58">
        <v>8146402698.525252</v>
      </c>
      <c r="J69" s="40">
        <v>0.0011405973397668543</v>
      </c>
      <c r="K69" s="40">
        <v>0.001945518382497721</v>
      </c>
      <c r="L69" s="38">
        <v>0.45622763024351703</v>
      </c>
      <c r="M69" s="41">
        <v>0.3177966101694915</v>
      </c>
      <c r="N69" s="41">
        <v>0.0018983050847457457</v>
      </c>
      <c r="O69" s="42">
        <v>0.0746280070240354</v>
      </c>
      <c r="P69" s="56"/>
      <c r="Q69" s="56"/>
      <c r="R69" s="56"/>
      <c r="S69" s="56"/>
      <c r="T69" s="56"/>
      <c r="U69" s="56"/>
      <c r="V69" s="56"/>
    </row>
    <row x14ac:dyDescent="0.25" r="70" customHeight="1" ht="30">
      <c r="A70" s="57" t="s">
        <v>39</v>
      </c>
      <c r="B70" s="58">
        <v>-1.1999403882701736</v>
      </c>
      <c r="C70" s="58">
        <v>-1.0840423030059099</v>
      </c>
      <c r="D70" s="58">
        <v>-0.7506325349902863</v>
      </c>
      <c r="E70" s="39">
        <v>-0.26555978010982484</v>
      </c>
      <c r="F70" s="38">
        <v>0.6016668868574833</v>
      </c>
      <c r="G70" s="41">
        <v>-0.4979596704008644</v>
      </c>
      <c r="H70" s="41">
        <v>-0.13460973633579254</v>
      </c>
      <c r="I70" s="59">
        <v>-0.8210507506756106</v>
      </c>
      <c r="J70" s="40">
        <v>-0.7664783131435113</v>
      </c>
      <c r="K70" s="40">
        <v>-0.541858605771091</v>
      </c>
      <c r="L70" s="38">
        <v>1.1741315009599513</v>
      </c>
      <c r="M70" s="41">
        <v>-1.3734543254688436</v>
      </c>
      <c r="N70" s="39">
        <v>-1.2109379051075968</v>
      </c>
      <c r="O70" s="42">
        <v>0.9384794787440547</v>
      </c>
      <c r="P70" s="56"/>
      <c r="Q70" s="56"/>
      <c r="R70" s="56"/>
      <c r="S70" s="56"/>
      <c r="T70" s="56"/>
      <c r="U70" s="56"/>
      <c r="V70" s="56"/>
    </row>
    <row x14ac:dyDescent="0.25" r="71" customHeight="1" ht="30">
      <c r="A71" s="57" t="s">
        <v>40</v>
      </c>
      <c r="B71" s="58">
        <v>0.23057574710719864</v>
      </c>
      <c r="C71" s="58">
        <v>0.06515407851657301</v>
      </c>
      <c r="D71" s="58">
        <v>0.9698923447461424</v>
      </c>
      <c r="E71" s="39">
        <v>0.7948983316936341</v>
      </c>
      <c r="F71" s="38">
        <v>1.002989238914245</v>
      </c>
      <c r="G71" s="41">
        <v>0.6886308912698427</v>
      </c>
      <c r="H71" s="41">
        <v>0.8514151844357924</v>
      </c>
      <c r="I71" s="59">
        <v>-0.6366699179617477</v>
      </c>
      <c r="J71" s="40">
        <v>-0.15792982266533798</v>
      </c>
      <c r="K71" s="40">
        <v>-0.5455040135167077</v>
      </c>
      <c r="L71" s="38">
        <v>1.360905745921244</v>
      </c>
      <c r="M71" s="41">
        <v>4.67189116148517e-17</v>
      </c>
      <c r="N71" s="39">
        <v>-2.865426579044238e-15</v>
      </c>
      <c r="O71" s="42">
        <v>1.3271217666062736</v>
      </c>
      <c r="P71" s="56"/>
      <c r="Q71" s="56"/>
      <c r="R71" s="56"/>
      <c r="S71" s="56"/>
      <c r="T71" s="56"/>
      <c r="U71" s="56"/>
      <c r="V71" s="56"/>
    </row>
    <row x14ac:dyDescent="0.25" r="72" customHeight="1" ht="30">
      <c r="A72" s="57" t="s">
        <v>41</v>
      </c>
      <c r="B72" s="58">
        <v>541308.79</v>
      </c>
      <c r="C72" s="58">
        <v>733222.6699999999</v>
      </c>
      <c r="D72" s="58">
        <v>249761.86</v>
      </c>
      <c r="E72" s="39">
        <v>3095</v>
      </c>
      <c r="F72" s="38">
        <v>13.8257868142773</v>
      </c>
      <c r="G72" s="39">
        <v>1064</v>
      </c>
      <c r="H72" s="39">
        <v>2030</v>
      </c>
      <c r="I72" s="58">
        <v>315625.74</v>
      </c>
      <c r="J72" s="40">
        <v>0.13145141408535368</v>
      </c>
      <c r="K72" s="40">
        <v>0.165048927870999</v>
      </c>
      <c r="L72" s="38">
        <v>2.9194796016146554</v>
      </c>
      <c r="M72" s="41">
        <v>1.5</v>
      </c>
      <c r="N72" s="39">
        <v>0.13999999999999999</v>
      </c>
      <c r="O72" s="42">
        <v>1.069468486204978</v>
      </c>
      <c r="P72" s="56"/>
      <c r="Q72" s="56"/>
      <c r="R72" s="56"/>
      <c r="S72" s="56"/>
      <c r="T72" s="56"/>
      <c r="U72" s="56"/>
      <c r="V72" s="56"/>
    </row>
    <row x14ac:dyDescent="0.25" r="73" customHeight="1" ht="30">
      <c r="A73" s="57" t="s">
        <v>42</v>
      </c>
      <c r="B73" s="60">
        <v>48279.6</v>
      </c>
      <c r="C73" s="58">
        <v>124505.66</v>
      </c>
      <c r="D73" s="58">
        <v>-325987.92</v>
      </c>
      <c r="E73" s="39">
        <v>378</v>
      </c>
      <c r="F73" s="38">
        <v>36.049524906421</v>
      </c>
      <c r="G73" s="39">
        <v>188</v>
      </c>
      <c r="H73" s="39">
        <v>190</v>
      </c>
      <c r="I73" s="58">
        <v>-329127.37</v>
      </c>
      <c r="J73" s="61">
        <v>0.0216090781664153</v>
      </c>
      <c r="K73" s="62">
        <v>0.142679670100897</v>
      </c>
      <c r="L73" s="63">
        <v>1.5338718657871655</v>
      </c>
      <c r="M73" s="41">
        <v>0</v>
      </c>
      <c r="N73" s="39">
        <v>0.1</v>
      </c>
      <c r="O73" s="64">
        <v>0.22022668791040578</v>
      </c>
      <c r="P73" s="56"/>
      <c r="Q73" s="56"/>
      <c r="R73" s="56"/>
      <c r="S73" s="56"/>
      <c r="T73" s="56"/>
      <c r="U73" s="56"/>
      <c r="V73" s="56"/>
    </row>
    <row x14ac:dyDescent="0.25" r="74" customHeight="1" ht="30">
      <c r="A74" s="57" t="s">
        <v>43</v>
      </c>
      <c r="B74" s="60">
        <v>589588.39</v>
      </c>
      <c r="C74" s="58">
        <v>857728.33</v>
      </c>
      <c r="D74" s="58">
        <v>-76226.06</v>
      </c>
      <c r="E74" s="39">
        <v>3473</v>
      </c>
      <c r="F74" s="38">
        <v>49.8753117206983</v>
      </c>
      <c r="G74" s="39">
        <v>1252</v>
      </c>
      <c r="H74" s="39">
        <v>2220</v>
      </c>
      <c r="I74" s="58">
        <v>-13501.63</v>
      </c>
      <c r="J74" s="61">
        <v>0.153060492251769</v>
      </c>
      <c r="K74" s="62">
        <v>0.307728597971896</v>
      </c>
      <c r="L74" s="63">
        <v>4.453351467401821</v>
      </c>
      <c r="M74" s="41">
        <v>1.5</v>
      </c>
      <c r="N74" s="39">
        <v>0.24</v>
      </c>
      <c r="O74" s="64">
        <v>1.2896951741153837</v>
      </c>
      <c r="P74" s="56"/>
      <c r="Q74" s="56"/>
      <c r="R74" s="56"/>
      <c r="S74" s="56"/>
      <c r="T74" s="56"/>
      <c r="U74" s="56"/>
      <c r="V74" s="56"/>
    </row>
    <row x14ac:dyDescent="0.25" r="75" customHeight="1" ht="30">
      <c r="A75" s="57" t="s">
        <v>44</v>
      </c>
      <c r="B75" s="58">
        <v>41913.94624842523</v>
      </c>
      <c r="C75" s="58">
        <v>53953.58225127081</v>
      </c>
      <c r="D75" s="58">
        <v>20880.751758714556</v>
      </c>
      <c r="E75" s="41">
        <v>207.17786889473183</v>
      </c>
      <c r="F75" s="38">
        <v>0.9314197290475646</v>
      </c>
      <c r="G75" s="41">
        <v>72.2090704195079</v>
      </c>
      <c r="H75" s="41">
        <v>135.06673972579034</v>
      </c>
      <c r="I75" s="58">
        <v>23315.96515564358</v>
      </c>
      <c r="J75" s="40">
        <v>0.00872442146271393</v>
      </c>
      <c r="K75" s="40">
        <v>0.011394312589357792</v>
      </c>
      <c r="L75" s="38">
        <v>0.1744862673173157</v>
      </c>
      <c r="M75" s="41">
        <v>0.14562806887598193</v>
      </c>
      <c r="N75" s="41">
        <v>0.011255206458143301</v>
      </c>
      <c r="O75" s="42">
        <v>0.07057020551287281</v>
      </c>
      <c r="P75" s="56"/>
      <c r="Q75" s="56"/>
      <c r="R75" s="56"/>
      <c r="S75" s="56"/>
      <c r="T75" s="56"/>
      <c r="U75" s="56"/>
      <c r="V75" s="56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75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65" width="21.290714285714284" customWidth="1" bestFit="1"/>
    <col min="2" max="2" style="66" width="15.005" customWidth="1" bestFit="1"/>
    <col min="3" max="3" style="66" width="15.005" customWidth="1" bestFit="1"/>
    <col min="4" max="4" style="66" width="15.005" customWidth="1" bestFit="1"/>
    <col min="5" max="5" style="67" width="7.862142857142857" customWidth="1" bestFit="1"/>
    <col min="6" max="6" style="68" width="7.576428571428571" customWidth="1" bestFit="1"/>
    <col min="7" max="7" style="67" width="8.43357142857143" customWidth="1" bestFit="1"/>
    <col min="8" max="8" style="67" width="8.290714285714287" customWidth="1" bestFit="1"/>
    <col min="9" max="9" style="66" width="14.005" customWidth="1" bestFit="1"/>
    <col min="10" max="10" style="69" width="6.147857142857143" customWidth="1" bestFit="1"/>
    <col min="11" max="11" style="69" width="9.43357142857143" customWidth="1" bestFit="1"/>
    <col min="12" max="12" style="68" width="7.2907142857142855" customWidth="1" bestFit="1"/>
    <col min="13" max="13" style="67" width="17.433571428571426" customWidth="1" bestFit="1"/>
    <col min="14" max="14" style="67" width="17.433571428571426" customWidth="1" bestFit="1"/>
    <col min="15" max="15" style="70" width="17.433571428571426" customWidth="1" bestFit="1"/>
    <col min="16" max="16" style="71" width="13.576428571428572" customWidth="1" bestFit="1"/>
    <col min="17" max="17" style="71" width="13.576428571428572" customWidth="1" bestFit="1"/>
    <col min="18" max="18" style="71" width="13.576428571428572" customWidth="1" bestFit="1"/>
    <col min="19" max="19" style="71" width="13.576428571428572" customWidth="1" bestFit="1"/>
    <col min="20" max="20" style="71" width="13.576428571428572" customWidth="1" bestFit="1"/>
    <col min="21" max="21" style="71" width="13.576428571428572" customWidth="1" bestFit="1"/>
    <col min="22" max="22" style="71" width="13.576428571428572" customWidth="1" bestFit="1"/>
  </cols>
  <sheetData>
    <row x14ac:dyDescent="0.25" r="1" customHeight="1" ht="67.5" customFormat="1" s="1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4" t="s">
        <v>8</v>
      </c>
      <c r="J1" s="7" t="s">
        <v>9</v>
      </c>
      <c r="K1" s="8" t="s">
        <v>10</v>
      </c>
      <c r="L1" s="9" t="s">
        <v>11</v>
      </c>
      <c r="M1" s="5" t="s">
        <v>12</v>
      </c>
      <c r="N1" s="5" t="s">
        <v>13</v>
      </c>
      <c r="O1" s="10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x14ac:dyDescent="0.25" r="2" customHeight="1" ht="18.75">
      <c r="A2" s="11" t="s">
        <v>22</v>
      </c>
      <c r="B2" s="43">
        <v>61412.55</v>
      </c>
      <c r="C2" s="43">
        <v>186909.58</v>
      </c>
      <c r="D2" s="43">
        <v>-125497.03</v>
      </c>
      <c r="E2" s="44">
        <v>686</v>
      </c>
      <c r="F2" s="45">
        <v>41.1078717201166</v>
      </c>
      <c r="G2" s="46">
        <v>282</v>
      </c>
      <c r="H2" s="46">
        <v>404</v>
      </c>
      <c r="I2" s="43">
        <v>-36738.8900000001</v>
      </c>
      <c r="J2" s="47">
        <v>0.11143505448844</v>
      </c>
      <c r="K2" s="47">
        <v>0.363843600972947</v>
      </c>
      <c r="L2" s="45">
        <f>-OPTI4_UPI_OOS[[#This Row], [Net Profit]]/OPTI4_UPI_OOS[[#This Row], [Max Intraday Drawdown]]</f>
      </c>
      <c r="M2" s="48">
        <v>0</v>
      </c>
      <c r="N2" s="45">
        <v>0.2</v>
      </c>
      <c r="O2" s="49">
        <v>0.31359229998299165</v>
      </c>
      <c r="P2" s="21">
        <f>(OPTI4_UPI_OOS[[#This Row], [Net Profit]]-B$74)/ABS(B$74)</f>
      </c>
      <c r="Q2" s="21">
        <f>(OPTI4_UPI_OOS[[#This Row], [UPI]]-J$74)/ABS(J$74)</f>
      </c>
      <c r="R2" s="21">
        <f>(OPTI4_UPI_OOS[[#This Row], [SORTINO AJUSTADO]]-K$74)/ABS(K$74)</f>
      </c>
      <c r="S2" s="21">
        <f>(OPTI4_UPI_OOS[[#This Row], [RECOVERY]]-L$74)/ABS(L$74)</f>
      </c>
      <c r="T2" s="21">
        <f>(OPTI4_UPI_OOS[[#This Row], [ROB]]-O$74)/ABS(O$74)</f>
      </c>
      <c r="U2" s="21">
        <f>SUM(OPTI4_UPI_OOS[[#This Row], [VAR NET PROFIT]:[VAR ROB]])</f>
      </c>
      <c r="V2" s="21">
        <f>OPTI4_UPI_OOS[[#This Row], [SUMA]]-OPTI4_UPI_OOS[[#This Row], [VAR ROB]]</f>
      </c>
    </row>
    <row x14ac:dyDescent="0.25" r="3" customHeight="1" ht="18.75">
      <c r="A3" s="11" t="s">
        <v>23</v>
      </c>
      <c r="B3" s="22">
        <v>46448.23</v>
      </c>
      <c r="C3" s="22">
        <v>181634.03</v>
      </c>
      <c r="D3" s="22">
        <v>-135185.8</v>
      </c>
      <c r="E3" s="23">
        <v>1404</v>
      </c>
      <c r="F3" s="24">
        <v>38.2478632478633</v>
      </c>
      <c r="G3" s="25">
        <v>537</v>
      </c>
      <c r="H3" s="25">
        <v>867</v>
      </c>
      <c r="I3" s="22">
        <v>-49733.41</v>
      </c>
      <c r="J3" s="26">
        <v>0.0963798554016898</v>
      </c>
      <c r="K3" s="26">
        <v>0.328748170556624</v>
      </c>
      <c r="L3" s="24">
        <f>-OPTI4_UPI_OOS[[#This Row], [Net Profit]]/OPTI4_UPI_OOS[[#This Row], [Max Intraday Drawdown]]</f>
      </c>
      <c r="M3" s="27">
        <v>1</v>
      </c>
      <c r="N3" s="24">
        <v>0.11</v>
      </c>
      <c r="O3" s="28">
        <v>1.2896951741153837</v>
      </c>
      <c r="P3" s="21">
        <f>(OPTI4_UPI_OOS[[#This Row], [Net Profit]]-B$74)/ABS(B$74)</f>
      </c>
      <c r="Q3" s="21">
        <f>(OPTI4_UPI_OOS[[#This Row], [UPI]]-J$74)/ABS(J$74)</f>
      </c>
      <c r="R3" s="21">
        <f>(OPTI4_UPI_OOS[[#This Row], [SORTINO AJUSTADO]]-K$74)/ABS(K$74)</f>
      </c>
      <c r="S3" s="21">
        <f>(OPTI4_UPI_OOS[[#This Row], [RECOVERY]]-L$74)/ABS(L$74)</f>
      </c>
      <c r="T3" s="21">
        <f>(OPTI4_UPI_OOS[[#This Row], [ROB]]-O$74)/ABS(O$74)</f>
      </c>
      <c r="U3" s="21">
        <f>SUM(OPTI4_UPI_OOS[[#This Row], [VAR NET PROFIT]:[VAR ROB]])</f>
      </c>
      <c r="V3" s="21">
        <f>OPTI4_UPI_OOS[[#This Row], [SUMA]]-OPTI4_UPI_OOS[[#This Row], [VAR ROB]]</f>
      </c>
    </row>
    <row x14ac:dyDescent="0.25" r="4" customHeight="1" ht="18.75">
      <c r="A4" s="11" t="s">
        <v>24</v>
      </c>
      <c r="B4" s="22">
        <v>50365.63</v>
      </c>
      <c r="C4" s="22">
        <v>197065.43</v>
      </c>
      <c r="D4" s="22">
        <v>-146699.8</v>
      </c>
      <c r="E4" s="23">
        <v>1591</v>
      </c>
      <c r="F4" s="24">
        <v>38.2149591451917</v>
      </c>
      <c r="G4" s="25">
        <v>608</v>
      </c>
      <c r="H4" s="25">
        <v>983</v>
      </c>
      <c r="I4" s="22">
        <v>-55012.22</v>
      </c>
      <c r="J4" s="26">
        <v>0.0931428485116436</v>
      </c>
      <c r="K4" s="26">
        <v>0.324146971260367</v>
      </c>
      <c r="L4" s="24">
        <f>-OPTI4_UPI_OOS[[#This Row], [Net Profit]]/OPTI4_UPI_OOS[[#This Row], [Max Intraday Drawdown]]</f>
      </c>
      <c r="M4" s="27">
        <v>1.5</v>
      </c>
      <c r="N4" s="24">
        <v>0.11</v>
      </c>
      <c r="O4" s="28">
        <v>1.2415066513121078</v>
      </c>
      <c r="P4" s="21">
        <f>(OPTI4_UPI_OOS[[#This Row], [Net Profit]]-B$74)/ABS(B$74)</f>
      </c>
      <c r="Q4" s="21">
        <f>(OPTI4_UPI_OOS[[#This Row], [UPI]]-J$74)/ABS(J$74)</f>
      </c>
      <c r="R4" s="21">
        <f>(OPTI4_UPI_OOS[[#This Row], [SORTINO AJUSTADO]]-K$74)/ABS(K$74)</f>
      </c>
      <c r="S4" s="21">
        <f>(OPTI4_UPI_OOS[[#This Row], [RECOVERY]]-L$74)/ABS(L$74)</f>
      </c>
      <c r="T4" s="21">
        <f>(OPTI4_UPI_OOS[[#This Row], [ROB]]-O$74)/ABS(O$74)</f>
      </c>
      <c r="U4" s="21">
        <f>SUM(OPTI4_UPI_OOS[[#This Row], [VAR NET PROFIT]:[VAR ROB]])</f>
      </c>
      <c r="V4" s="21">
        <f>OPTI4_UPI_OOS[[#This Row], [SUMA]]-OPTI4_UPI_OOS[[#This Row], [VAR ROB]]</f>
      </c>
    </row>
    <row x14ac:dyDescent="0.25" r="5" customHeight="1" ht="18.75">
      <c r="A5" s="11" t="s">
        <v>25</v>
      </c>
      <c r="B5" s="22">
        <v>60484.26</v>
      </c>
      <c r="C5" s="22">
        <v>191189.15</v>
      </c>
      <c r="D5" s="22">
        <v>-130704.89</v>
      </c>
      <c r="E5" s="23">
        <v>1020</v>
      </c>
      <c r="F5" s="24">
        <v>40.1960784313725</v>
      </c>
      <c r="G5" s="25">
        <v>410</v>
      </c>
      <c r="H5" s="25">
        <v>610</v>
      </c>
      <c r="I5" s="22">
        <v>-67247.68</v>
      </c>
      <c r="J5" s="26">
        <v>0.104594558341463</v>
      </c>
      <c r="K5" s="26">
        <v>0.331711972124387</v>
      </c>
      <c r="L5" s="24">
        <f>-OPTI4_UPI_OOS[[#This Row], [Net Profit]]/OPTI4_UPI_OOS[[#This Row], [Max Intraday Drawdown]]</f>
      </c>
      <c r="M5" s="27">
        <v>1</v>
      </c>
      <c r="N5" s="24">
        <v>0.14</v>
      </c>
      <c r="O5" s="28">
        <v>0.8835458251489685</v>
      </c>
      <c r="P5" s="21">
        <f>(OPTI4_UPI_OOS[[#This Row], [Net Profit]]-B$74)/ABS(B$74)</f>
      </c>
      <c r="Q5" s="21">
        <f>(OPTI4_UPI_OOS[[#This Row], [UPI]]-J$74)/ABS(J$74)</f>
      </c>
      <c r="R5" s="21">
        <f>(OPTI4_UPI_OOS[[#This Row], [SORTINO AJUSTADO]]-K$74)/ABS(K$74)</f>
      </c>
      <c r="S5" s="21">
        <f>(OPTI4_UPI_OOS[[#This Row], [RECOVERY]]-L$74)/ABS(L$74)</f>
      </c>
      <c r="T5" s="21">
        <f>(OPTI4_UPI_OOS[[#This Row], [ROB]]-O$74)/ABS(O$74)</f>
      </c>
      <c r="U5" s="21">
        <f>SUM(OPTI4_UPI_OOS[[#This Row], [VAR NET PROFIT]:[VAR ROB]])</f>
      </c>
      <c r="V5" s="21">
        <f>OPTI4_UPI_OOS[[#This Row], [SUMA]]-OPTI4_UPI_OOS[[#This Row], [VAR ROB]]</f>
      </c>
    </row>
    <row x14ac:dyDescent="0.25" r="6" customHeight="1" ht="18.75">
      <c r="A6" s="11" t="s">
        <v>26</v>
      </c>
      <c r="B6" s="22">
        <v>63734.81</v>
      </c>
      <c r="C6" s="22">
        <v>192645.22</v>
      </c>
      <c r="D6" s="22">
        <v>-128910.41</v>
      </c>
      <c r="E6" s="23">
        <v>927</v>
      </c>
      <c r="F6" s="24">
        <v>39.0507011866235</v>
      </c>
      <c r="G6" s="25">
        <v>362</v>
      </c>
      <c r="H6" s="25">
        <v>565</v>
      </c>
      <c r="I6" s="22">
        <v>-73546.68</v>
      </c>
      <c r="J6" s="26">
        <v>0.107330065874756</v>
      </c>
      <c r="K6" s="26">
        <v>0.348860085209607</v>
      </c>
      <c r="L6" s="24">
        <f>-OPTI4_UPI_OOS[[#This Row], [Net Profit]]/OPTI4_UPI_OOS[[#This Row], [Max Intraday Drawdown]]</f>
      </c>
      <c r="M6" s="27">
        <v>1</v>
      </c>
      <c r="N6" s="24">
        <v>0.15</v>
      </c>
      <c r="O6" s="28">
        <v>0.7120962962900613</v>
      </c>
      <c r="P6" s="21">
        <f>(OPTI4_UPI_OOS[[#This Row], [Net Profit]]-B$74)/ABS(B$74)</f>
      </c>
      <c r="Q6" s="21">
        <f>(OPTI4_UPI_OOS[[#This Row], [UPI]]-J$74)/ABS(J$74)</f>
      </c>
      <c r="R6" s="21">
        <f>(OPTI4_UPI_OOS[[#This Row], [SORTINO AJUSTADO]]-K$74)/ABS(K$74)</f>
      </c>
      <c r="S6" s="21">
        <f>(OPTI4_UPI_OOS[[#This Row], [RECOVERY]]-L$74)/ABS(L$74)</f>
      </c>
      <c r="T6" s="21">
        <f>(OPTI4_UPI_OOS[[#This Row], [ROB]]-O$74)/ABS(O$74)</f>
      </c>
      <c r="U6" s="21">
        <f>SUM(OPTI4_UPI_OOS[[#This Row], [VAR NET PROFIT]:[VAR ROB]])</f>
      </c>
      <c r="V6" s="21">
        <f>OPTI4_UPI_OOS[[#This Row], [SUMA]]-OPTI4_UPI_OOS[[#This Row], [VAR ROB]]</f>
      </c>
    </row>
    <row x14ac:dyDescent="0.25" r="7" customHeight="1" ht="18.75">
      <c r="A7" s="11" t="s">
        <v>27</v>
      </c>
      <c r="B7" s="12">
        <v>67517.69</v>
      </c>
      <c r="C7" s="12">
        <v>200254.85</v>
      </c>
      <c r="D7" s="12">
        <v>-132737.16</v>
      </c>
      <c r="E7" s="13">
        <v>775</v>
      </c>
      <c r="F7" s="14">
        <v>41.8064516129032</v>
      </c>
      <c r="G7" s="32">
        <v>324</v>
      </c>
      <c r="H7" s="32">
        <v>451</v>
      </c>
      <c r="I7" s="29">
        <v>-89697.2299999999</v>
      </c>
      <c r="J7" s="33">
        <v>0.121833260660501</v>
      </c>
      <c r="K7" s="33">
        <v>0.38438588545285</v>
      </c>
      <c r="L7" s="18">
        <f>-OPTI4_UPI_OOS[[#This Row], [Net Profit]]/OPTI4_UPI_OOS[[#This Row], [Max Intraday Drawdown]]</f>
      </c>
      <c r="M7" s="19">
        <v>1.5</v>
      </c>
      <c r="N7" s="18">
        <v>0.18</v>
      </c>
      <c r="O7" s="20">
        <v>0.40965119111218484</v>
      </c>
      <c r="P7" s="21">
        <f>(OPTI4_UPI_OOS[[#This Row], [Net Profit]]-B$74)/ABS(B$74)</f>
      </c>
      <c r="Q7" s="21">
        <f>(OPTI4_UPI_OOS[[#This Row], [UPI]]-J$74)/ABS(J$74)</f>
      </c>
      <c r="R7" s="21">
        <f>(OPTI4_UPI_OOS[[#This Row], [SORTINO AJUSTADO]]-K$74)/ABS(K$74)</f>
      </c>
      <c r="S7" s="21">
        <f>(OPTI4_UPI_OOS[[#This Row], [RECOVERY]]-L$74)/ABS(L$74)</f>
      </c>
      <c r="T7" s="21">
        <f>(OPTI4_UPI_OOS[[#This Row], [ROB]]-O$74)/ABS(O$74)</f>
      </c>
      <c r="U7" s="21">
        <f>SUM(OPTI4_UPI_OOS[[#This Row], [VAR NET PROFIT]:[VAR ROB]])</f>
      </c>
      <c r="V7" s="21">
        <f>OPTI4_UPI_OOS[[#This Row], [SUMA]]-OPTI4_UPI_OOS[[#This Row], [VAR ROB]]</f>
      </c>
    </row>
    <row x14ac:dyDescent="0.25" r="8" customHeight="1" ht="18.75">
      <c r="A8" s="11" t="s">
        <v>28</v>
      </c>
      <c r="B8" s="22">
        <v>51297.6</v>
      </c>
      <c r="C8" s="22">
        <v>180398.01</v>
      </c>
      <c r="D8" s="22">
        <v>-129100.41</v>
      </c>
      <c r="E8" s="23">
        <v>1252</v>
      </c>
      <c r="F8" s="24">
        <v>37.6996805111821</v>
      </c>
      <c r="G8" s="25">
        <v>472</v>
      </c>
      <c r="H8" s="25">
        <v>780</v>
      </c>
      <c r="I8" s="22">
        <v>-55512.39</v>
      </c>
      <c r="J8" s="26">
        <v>0.0976168528516357</v>
      </c>
      <c r="K8" s="26">
        <v>0.340407093431696</v>
      </c>
      <c r="L8" s="24">
        <f>-OPTI4_UPI_OOS[[#This Row], [Net Profit]]/OPTI4_UPI_OOS[[#This Row], [Max Intraday Drawdown]]</f>
      </c>
      <c r="M8" s="27">
        <v>1</v>
      </c>
      <c r="N8" s="24">
        <v>0.12</v>
      </c>
      <c r="O8" s="28">
        <v>0.9884872103516673</v>
      </c>
      <c r="P8" s="21">
        <f>(OPTI4_UPI_OOS[[#This Row], [Net Profit]]-B$74)/ABS(B$74)</f>
      </c>
      <c r="Q8" s="21">
        <f>(OPTI4_UPI_OOS[[#This Row], [UPI]]-J$74)/ABS(J$74)</f>
      </c>
      <c r="R8" s="21">
        <f>(OPTI4_UPI_OOS[[#This Row], [SORTINO AJUSTADO]]-K$74)/ABS(K$74)</f>
      </c>
      <c r="S8" s="21">
        <f>(OPTI4_UPI_OOS[[#This Row], [RECOVERY]]-L$74)/ABS(L$74)</f>
      </c>
      <c r="T8" s="21">
        <f>(OPTI4_UPI_OOS[[#This Row], [ROB]]-O$74)/ABS(O$74)</f>
      </c>
      <c r="U8" s="21">
        <f>SUM(OPTI4_UPI_OOS[[#This Row], [VAR NET PROFIT]:[VAR ROB]])</f>
      </c>
      <c r="V8" s="21">
        <f>OPTI4_UPI_OOS[[#This Row], [SUMA]]-OPTI4_UPI_OOS[[#This Row], [VAR ROB]]</f>
      </c>
    </row>
    <row x14ac:dyDescent="0.25" r="9" customHeight="1" ht="18.75">
      <c r="A9" s="11" t="s">
        <v>29</v>
      </c>
      <c r="B9" s="22">
        <v>51861.76</v>
      </c>
      <c r="C9" s="22">
        <v>178996.21</v>
      </c>
      <c r="D9" s="22">
        <v>-127134.45</v>
      </c>
      <c r="E9" s="23">
        <v>1125</v>
      </c>
      <c r="F9" s="24">
        <v>39.6444444444444</v>
      </c>
      <c r="G9" s="25">
        <v>446</v>
      </c>
      <c r="H9" s="25">
        <v>679</v>
      </c>
      <c r="I9" s="22">
        <v>-57058.87</v>
      </c>
      <c r="J9" s="26">
        <v>0.10909224578696</v>
      </c>
      <c r="K9" s="26">
        <v>0.345951674974192</v>
      </c>
      <c r="L9" s="24">
        <f>-OPTI4_UPI_OOS[[#This Row], [Net Profit]]/OPTI4_UPI_OOS[[#This Row], [Max Intraday Drawdown]]</f>
      </c>
      <c r="M9" s="27">
        <v>1</v>
      </c>
      <c r="N9" s="24">
        <v>0.13</v>
      </c>
      <c r="O9" s="28">
        <v>0.7506348780191211</v>
      </c>
      <c r="P9" s="21">
        <f>(OPTI4_UPI_OOS[[#This Row], [Net Profit]]-B$74)/ABS(B$74)</f>
      </c>
      <c r="Q9" s="21">
        <f>(OPTI4_UPI_OOS[[#This Row], [UPI]]-J$74)/ABS(J$74)</f>
      </c>
      <c r="R9" s="21">
        <f>(OPTI4_UPI_OOS[[#This Row], [SORTINO AJUSTADO]]-K$74)/ABS(K$74)</f>
      </c>
      <c r="S9" s="21">
        <f>(OPTI4_UPI_OOS[[#This Row], [RECOVERY]]-L$74)/ABS(L$74)</f>
      </c>
      <c r="T9" s="21">
        <f>(OPTI4_UPI_OOS[[#This Row], [ROB]]-O$74)/ABS(O$74)</f>
      </c>
      <c r="U9" s="21">
        <f>SUM(OPTI4_UPI_OOS[[#This Row], [VAR NET PROFIT]:[VAR ROB]])</f>
      </c>
      <c r="V9" s="21">
        <f>OPTI4_UPI_OOS[[#This Row], [SUMA]]-OPTI4_UPI_OOS[[#This Row], [VAR ROB]]</f>
      </c>
    </row>
    <row x14ac:dyDescent="0.25" r="10" customHeight="1" ht="18.75">
      <c r="A10" s="11" t="s">
        <v>30</v>
      </c>
      <c r="B10" s="22">
        <v>61302.87</v>
      </c>
      <c r="C10" s="22">
        <v>199529.9</v>
      </c>
      <c r="D10" s="22">
        <v>-138227.03</v>
      </c>
      <c r="E10" s="23">
        <v>1028</v>
      </c>
      <c r="F10" s="24">
        <v>38.4241245136187</v>
      </c>
      <c r="G10" s="25">
        <v>395</v>
      </c>
      <c r="H10" s="25">
        <v>633</v>
      </c>
      <c r="I10" s="22">
        <v>-71366.58</v>
      </c>
      <c r="J10" s="26">
        <v>0.107992134827915</v>
      </c>
      <c r="K10" s="26">
        <v>0.338729343248111</v>
      </c>
      <c r="L10" s="24">
        <f>-OPTI4_UPI_OOS[[#This Row], [Net Profit]]/OPTI4_UPI_OOS[[#This Row], [Max Intraday Drawdown]]</f>
      </c>
      <c r="M10" s="27">
        <v>1.5</v>
      </c>
      <c r="N10" s="24">
        <v>0.15</v>
      </c>
      <c r="O10" s="28">
        <v>0.6338979381154853</v>
      </c>
      <c r="P10" s="21">
        <f>(OPTI4_UPI_OOS[[#This Row], [Net Profit]]-B$74)/ABS(B$74)</f>
      </c>
      <c r="Q10" s="21">
        <f>(OPTI4_UPI_OOS[[#This Row], [UPI]]-J$74)/ABS(J$74)</f>
      </c>
      <c r="R10" s="21">
        <f>(OPTI4_UPI_OOS[[#This Row], [SORTINO AJUSTADO]]-K$74)/ABS(K$74)</f>
      </c>
      <c r="S10" s="21">
        <f>(OPTI4_UPI_OOS[[#This Row], [RECOVERY]]-L$74)/ABS(L$74)</f>
      </c>
      <c r="T10" s="21">
        <f>(OPTI4_UPI_OOS[[#This Row], [ROB]]-O$74)/ABS(O$74)</f>
      </c>
      <c r="U10" s="21">
        <f>SUM(OPTI4_UPI_OOS[[#This Row], [VAR NET PROFIT]:[VAR ROB]])</f>
      </c>
      <c r="V10" s="21">
        <f>OPTI4_UPI_OOS[[#This Row], [SUMA]]-OPTI4_UPI_OOS[[#This Row], [VAR ROB]]</f>
      </c>
    </row>
    <row x14ac:dyDescent="0.25" r="11" customHeight="1" ht="18.75">
      <c r="A11" s="11" t="s">
        <v>31</v>
      </c>
      <c r="B11" s="22">
        <v>44753.58</v>
      </c>
      <c r="C11" s="22">
        <v>191149.74</v>
      </c>
      <c r="D11" s="22">
        <v>-146396.16</v>
      </c>
      <c r="E11" s="23">
        <v>1327</v>
      </c>
      <c r="F11" s="24">
        <v>39.1107761868877</v>
      </c>
      <c r="G11" s="25">
        <v>519</v>
      </c>
      <c r="H11" s="25">
        <v>808</v>
      </c>
      <c r="I11" s="22">
        <v>-28513.67</v>
      </c>
      <c r="J11" s="26">
        <v>0.0911331982072111</v>
      </c>
      <c r="K11" s="26">
        <v>0.302757687901093</v>
      </c>
      <c r="L11" s="24">
        <f>-OPTI4_UPI_OOS[[#This Row], [Net Profit]]/OPTI4_UPI_OOS[[#This Row], [Max Intraday Drawdown]]</f>
      </c>
      <c r="M11" s="27">
        <v>0</v>
      </c>
      <c r="N11" s="24">
        <v>0.13</v>
      </c>
      <c r="O11" s="28">
        <v>0.5958039491300439</v>
      </c>
      <c r="P11" s="21">
        <f>(OPTI4_UPI_OOS[[#This Row], [Net Profit]]-B$74)/ABS(B$74)</f>
      </c>
      <c r="Q11" s="21">
        <f>(OPTI4_UPI_OOS[[#This Row], [UPI]]-J$74)/ABS(J$74)</f>
      </c>
      <c r="R11" s="21">
        <f>(OPTI4_UPI_OOS[[#This Row], [SORTINO AJUSTADO]]-K$74)/ABS(K$74)</f>
      </c>
      <c r="S11" s="21">
        <f>(OPTI4_UPI_OOS[[#This Row], [RECOVERY]]-L$74)/ABS(L$74)</f>
      </c>
      <c r="T11" s="21">
        <f>(OPTI4_UPI_OOS[[#This Row], [ROB]]-O$74)/ABS(O$74)</f>
      </c>
      <c r="U11" s="21">
        <f>SUM(OPTI4_UPI_OOS[[#This Row], [VAR NET PROFIT]:[VAR ROB]])</f>
      </c>
      <c r="V11" s="21">
        <f>OPTI4_UPI_OOS[[#This Row], [SUMA]]-OPTI4_UPI_OOS[[#This Row], [VAR ROB]]</f>
      </c>
    </row>
    <row x14ac:dyDescent="0.25" r="12" customHeight="1" ht="18.75">
      <c r="A12" s="21"/>
      <c r="B12" s="36">
        <v>63077.14</v>
      </c>
      <c r="C12" s="36">
        <v>187660.3</v>
      </c>
      <c r="D12" s="36">
        <v>-124583.16</v>
      </c>
      <c r="E12" s="37">
        <v>718</v>
      </c>
      <c r="F12" s="38">
        <v>41.7827298050139</v>
      </c>
      <c r="G12" s="39">
        <v>300</v>
      </c>
      <c r="H12" s="39">
        <v>418</v>
      </c>
      <c r="I12" s="36">
        <v>-89660.67</v>
      </c>
      <c r="J12" s="40">
        <v>0.118448801619105</v>
      </c>
      <c r="K12" s="40">
        <v>0.371906670667605</v>
      </c>
      <c r="L12" s="38">
        <f>-OPTI4_UPI_OOS[[#This Row], [Net Profit]]/OPTI4_UPI_OOS[[#This Row], [Max Intraday Drawdown]]</f>
      </c>
      <c r="M12" s="41">
        <v>1.5</v>
      </c>
      <c r="N12" s="38">
        <v>0.19</v>
      </c>
      <c r="O12" s="42">
        <v>0.37555652091613867</v>
      </c>
      <c r="P12" s="21">
        <f>(OPTI4_UPI_OOS[[#This Row], [Net Profit]]-B$74)/ABS(B$74)</f>
      </c>
      <c r="Q12" s="21">
        <f>(OPTI4_UPI_OOS[[#This Row], [UPI]]-J$74)/ABS(J$74)</f>
      </c>
      <c r="R12" s="21">
        <f>(OPTI4_UPI_OOS[[#This Row], [SORTINO AJUSTADO]]-K$74)/ABS(K$74)</f>
      </c>
      <c r="S12" s="21">
        <f>(OPTI4_UPI_OOS[[#This Row], [RECOVERY]]-L$74)/ABS(L$74)</f>
      </c>
      <c r="T12" s="21">
        <f>(OPTI4_UPI_OOS[[#This Row], [ROB]]-O$74)/ABS(O$74)</f>
      </c>
      <c r="U12" s="21">
        <f>SUM(OPTI4_UPI_OOS[[#This Row], [VAR NET PROFIT]:[VAR ROB]])</f>
      </c>
      <c r="V12" s="21">
        <f>OPTI4_UPI_OOS[[#This Row], [SUMA]]-OPTI4_UPI_OOS[[#This Row], [VAR ROB]]</f>
      </c>
    </row>
    <row x14ac:dyDescent="0.25" r="13" customHeight="1" ht="18.75">
      <c r="A13" s="21"/>
      <c r="B13" s="36">
        <v>57604.5</v>
      </c>
      <c r="C13" s="36">
        <v>178976.46</v>
      </c>
      <c r="D13" s="36">
        <v>-121371.96</v>
      </c>
      <c r="E13" s="37">
        <v>706</v>
      </c>
      <c r="F13" s="38">
        <v>40.9348441926346</v>
      </c>
      <c r="G13" s="39">
        <v>289</v>
      </c>
      <c r="H13" s="39">
        <v>417</v>
      </c>
      <c r="I13" s="36">
        <v>-86451.61</v>
      </c>
      <c r="J13" s="40">
        <v>0.119421720696663</v>
      </c>
      <c r="K13" s="40">
        <v>0.377055767419348</v>
      </c>
      <c r="L13" s="38">
        <f>-OPTI4_UPI_OOS[[#This Row], [Net Profit]]/OPTI4_UPI_OOS[[#This Row], [Max Intraday Drawdown]]</f>
      </c>
      <c r="M13" s="41">
        <v>1</v>
      </c>
      <c r="N13" s="38">
        <v>0.18</v>
      </c>
      <c r="O13" s="42">
        <v>0.37908058436943964</v>
      </c>
      <c r="P13" s="21">
        <f>(OPTI4_UPI_OOS[[#This Row], [Net Profit]]-B$74)/ABS(B$74)</f>
      </c>
      <c r="Q13" s="21">
        <f>(OPTI4_UPI_OOS[[#This Row], [UPI]]-J$74)/ABS(J$74)</f>
      </c>
      <c r="R13" s="21">
        <f>(OPTI4_UPI_OOS[[#This Row], [SORTINO AJUSTADO]]-K$74)/ABS(K$74)</f>
      </c>
      <c r="S13" s="21">
        <f>(OPTI4_UPI_OOS[[#This Row], [RECOVERY]]-L$74)/ABS(L$74)</f>
      </c>
      <c r="T13" s="21">
        <f>(OPTI4_UPI_OOS[[#This Row], [ROB]]-O$74)/ABS(O$74)</f>
      </c>
      <c r="U13" s="21">
        <f>SUM(OPTI4_UPI_OOS[[#This Row], [VAR NET PROFIT]:[VAR ROB]])</f>
      </c>
      <c r="V13" s="21">
        <f>OPTI4_UPI_OOS[[#This Row], [SUMA]]-OPTI4_UPI_OOS[[#This Row], [VAR ROB]]</f>
      </c>
    </row>
    <row x14ac:dyDescent="0.25" r="14" customHeight="1" ht="18.75">
      <c r="A14" s="21"/>
      <c r="B14" s="36">
        <v>59483.86</v>
      </c>
      <c r="C14" s="36">
        <v>174387.97</v>
      </c>
      <c r="D14" s="36">
        <v>-114904.11</v>
      </c>
      <c r="E14" s="37">
        <v>651</v>
      </c>
      <c r="F14" s="38">
        <v>41.6282642089094</v>
      </c>
      <c r="G14" s="39">
        <v>271</v>
      </c>
      <c r="H14" s="39">
        <v>380</v>
      </c>
      <c r="I14" s="36">
        <v>-89974.7599999999</v>
      </c>
      <c r="J14" s="40">
        <v>0.11650675414171</v>
      </c>
      <c r="K14" s="40">
        <v>0.377348496738091</v>
      </c>
      <c r="L14" s="38">
        <f>-OPTI4_UPI_OOS[[#This Row], [Net Profit]]/OPTI4_UPI_OOS[[#This Row], [Max Intraday Drawdown]]</f>
      </c>
      <c r="M14" s="41">
        <v>1</v>
      </c>
      <c r="N14" s="38">
        <v>0.19</v>
      </c>
      <c r="O14" s="42">
        <v>0.3707048427219904</v>
      </c>
      <c r="P14" s="21">
        <f>(OPTI4_UPI_OOS[[#This Row], [Net Profit]]-B$74)/ABS(B$74)</f>
      </c>
      <c r="Q14" s="21">
        <f>(OPTI4_UPI_OOS[[#This Row], [UPI]]-J$74)/ABS(J$74)</f>
      </c>
      <c r="R14" s="21">
        <f>(OPTI4_UPI_OOS[[#This Row], [SORTINO AJUSTADO]]-K$74)/ABS(K$74)</f>
      </c>
      <c r="S14" s="21">
        <f>(OPTI4_UPI_OOS[[#This Row], [RECOVERY]]-L$74)/ABS(L$74)</f>
      </c>
      <c r="T14" s="21">
        <f>(OPTI4_UPI_OOS[[#This Row], [ROB]]-O$74)/ABS(O$74)</f>
      </c>
      <c r="U14" s="21">
        <f>SUM(OPTI4_UPI_OOS[[#This Row], [VAR NET PROFIT]:[VAR ROB]])</f>
      </c>
      <c r="V14" s="21">
        <f>OPTI4_UPI_OOS[[#This Row], [SUMA]]-OPTI4_UPI_OOS[[#This Row], [VAR ROB]]</f>
      </c>
    </row>
    <row x14ac:dyDescent="0.25" r="15" customHeight="1" ht="18.75">
      <c r="A15" s="21"/>
      <c r="B15" s="36">
        <v>56566.92</v>
      </c>
      <c r="C15" s="36">
        <v>195057.56</v>
      </c>
      <c r="D15" s="36">
        <v>-138490.64</v>
      </c>
      <c r="E15" s="37">
        <v>1136</v>
      </c>
      <c r="F15" s="38">
        <v>39.3485915492958</v>
      </c>
      <c r="G15" s="39">
        <v>447</v>
      </c>
      <c r="H15" s="39">
        <v>689</v>
      </c>
      <c r="I15" s="36">
        <v>-68139.75</v>
      </c>
      <c r="J15" s="40">
        <v>0.100094613576377</v>
      </c>
      <c r="K15" s="40">
        <v>0.314975991770279</v>
      </c>
      <c r="L15" s="38">
        <f>-OPTI4_UPI_OOS[[#This Row], [Net Profit]]/OPTI4_UPI_OOS[[#This Row], [Max Intraday Drawdown]]</f>
      </c>
      <c r="M15" s="41">
        <v>1.5</v>
      </c>
      <c r="N15" s="38">
        <v>0.14</v>
      </c>
      <c r="O15" s="42">
        <v>0.672756295119859</v>
      </c>
      <c r="P15" s="21">
        <f>(OPTI4_UPI_OOS[[#This Row], [Net Profit]]-B$74)/ABS(B$74)</f>
      </c>
      <c r="Q15" s="21">
        <f>(OPTI4_UPI_OOS[[#This Row], [UPI]]-J$74)/ABS(J$74)</f>
      </c>
      <c r="R15" s="21">
        <f>(OPTI4_UPI_OOS[[#This Row], [SORTINO AJUSTADO]]-K$74)/ABS(K$74)</f>
      </c>
      <c r="S15" s="21">
        <f>(OPTI4_UPI_OOS[[#This Row], [RECOVERY]]-L$74)/ABS(L$74)</f>
      </c>
      <c r="T15" s="21">
        <f>(OPTI4_UPI_OOS[[#This Row], [ROB]]-O$74)/ABS(O$74)</f>
      </c>
      <c r="U15" s="21">
        <f>SUM(OPTI4_UPI_OOS[[#This Row], [VAR NET PROFIT]:[VAR ROB]])</f>
      </c>
      <c r="V15" s="21">
        <f>OPTI4_UPI_OOS[[#This Row], [SUMA]]-OPTI4_UPI_OOS[[#This Row], [VAR ROB]]</f>
      </c>
    </row>
    <row x14ac:dyDescent="0.25" r="16" customHeight="1" ht="18.75">
      <c r="A16" s="21"/>
      <c r="B16" s="36">
        <v>51337.46</v>
      </c>
      <c r="C16" s="36">
        <v>191263.75</v>
      </c>
      <c r="D16" s="36">
        <v>-139926.29</v>
      </c>
      <c r="E16" s="37">
        <v>1261</v>
      </c>
      <c r="F16" s="38">
        <v>39.4131641554322</v>
      </c>
      <c r="G16" s="39">
        <v>497</v>
      </c>
      <c r="H16" s="39">
        <v>764</v>
      </c>
      <c r="I16" s="36">
        <v>-59781.38</v>
      </c>
      <c r="J16" s="40">
        <v>0.103876032915242</v>
      </c>
      <c r="K16" s="40">
        <v>0.333601867316238</v>
      </c>
      <c r="L16" s="38">
        <f>-OPTI4_UPI_OOS[[#This Row], [Net Profit]]/OPTI4_UPI_OOS[[#This Row], [Max Intraday Drawdown]]</f>
      </c>
      <c r="M16" s="41">
        <v>1.5</v>
      </c>
      <c r="N16" s="38">
        <v>0.13</v>
      </c>
      <c r="O16" s="42">
        <v>0.6229350612510764</v>
      </c>
      <c r="P16" s="21">
        <f>(OPTI4_UPI_OOS[[#This Row], [Net Profit]]-B$74)/ABS(B$74)</f>
      </c>
      <c r="Q16" s="21">
        <f>(OPTI4_UPI_OOS[[#This Row], [UPI]]-J$74)/ABS(J$74)</f>
      </c>
      <c r="R16" s="21">
        <f>(OPTI4_UPI_OOS[[#This Row], [SORTINO AJUSTADO]]-K$74)/ABS(K$74)</f>
      </c>
      <c r="S16" s="21">
        <f>(OPTI4_UPI_OOS[[#This Row], [RECOVERY]]-L$74)/ABS(L$74)</f>
      </c>
      <c r="T16" s="21">
        <f>(OPTI4_UPI_OOS[[#This Row], [ROB]]-O$74)/ABS(O$74)</f>
      </c>
      <c r="U16" s="21">
        <f>SUM(OPTI4_UPI_OOS[[#This Row], [VAR NET PROFIT]:[VAR ROB]])</f>
      </c>
      <c r="V16" s="21">
        <f>OPTI4_UPI_OOS[[#This Row], [SUMA]]-OPTI4_UPI_OOS[[#This Row], [VAR ROB]]</f>
      </c>
    </row>
    <row x14ac:dyDescent="0.25" r="17" customHeight="1" ht="18.75">
      <c r="A17" s="21"/>
      <c r="B17" s="36">
        <v>53185.13</v>
      </c>
      <c r="C17" s="36">
        <v>196939.09</v>
      </c>
      <c r="D17" s="36">
        <v>-143753.96</v>
      </c>
      <c r="E17" s="37">
        <v>1179</v>
      </c>
      <c r="F17" s="38">
        <v>40.0339270568278</v>
      </c>
      <c r="G17" s="39">
        <v>472</v>
      </c>
      <c r="H17" s="39">
        <v>707</v>
      </c>
      <c r="I17" s="36">
        <v>-67203.04</v>
      </c>
      <c r="J17" s="40">
        <v>0.0961226294473751</v>
      </c>
      <c r="K17" s="40">
        <v>0.307415675757813</v>
      </c>
      <c r="L17" s="38">
        <f>-OPTI4_UPI_OOS[[#This Row], [Net Profit]]/OPTI4_UPI_OOS[[#This Row], [Max Intraday Drawdown]]</f>
      </c>
      <c r="M17" s="41">
        <v>0</v>
      </c>
      <c r="N17" s="38">
        <v>0.14</v>
      </c>
      <c r="O17" s="42">
        <v>0.7472378608856381</v>
      </c>
      <c r="P17" s="21">
        <f>(OPTI4_UPI_OOS[[#This Row], [Net Profit]]-B$74)/ABS(B$74)</f>
      </c>
      <c r="Q17" s="21">
        <f>(OPTI4_UPI_OOS[[#This Row], [UPI]]-J$74)/ABS(J$74)</f>
      </c>
      <c r="R17" s="21">
        <f>(OPTI4_UPI_OOS[[#This Row], [SORTINO AJUSTADO]]-K$74)/ABS(K$74)</f>
      </c>
      <c r="S17" s="21">
        <f>(OPTI4_UPI_OOS[[#This Row], [RECOVERY]]-L$74)/ABS(L$74)</f>
      </c>
      <c r="T17" s="21">
        <f>(OPTI4_UPI_OOS[[#This Row], [ROB]]-O$74)/ABS(O$74)</f>
      </c>
      <c r="U17" s="21">
        <f>SUM(OPTI4_UPI_OOS[[#This Row], [VAR NET PROFIT]:[VAR ROB]])</f>
      </c>
      <c r="V17" s="21">
        <f>OPTI4_UPI_OOS[[#This Row], [SUMA]]-OPTI4_UPI_OOS[[#This Row], [VAR ROB]]</f>
      </c>
    </row>
    <row x14ac:dyDescent="0.25" r="18" customHeight="1" ht="18.75">
      <c r="A18" s="21"/>
      <c r="B18" s="36">
        <v>61843.58</v>
      </c>
      <c r="C18" s="36">
        <v>186481.34</v>
      </c>
      <c r="D18" s="36">
        <v>-124637.76</v>
      </c>
      <c r="E18" s="37">
        <v>661</v>
      </c>
      <c r="F18" s="38">
        <v>42.0574886535552</v>
      </c>
      <c r="G18" s="39">
        <v>278</v>
      </c>
      <c r="H18" s="39">
        <v>383</v>
      </c>
      <c r="I18" s="36">
        <v>-98055.9499999999</v>
      </c>
      <c r="J18" s="40">
        <v>0.11189935795877</v>
      </c>
      <c r="K18" s="40">
        <v>0.360408457716089</v>
      </c>
      <c r="L18" s="38">
        <f>-OPTI4_UPI_OOS[[#This Row], [Net Profit]]/OPTI4_UPI_OOS[[#This Row], [Max Intraday Drawdown]]</f>
      </c>
      <c r="M18" s="41">
        <v>1.5</v>
      </c>
      <c r="N18" s="38">
        <v>0.2</v>
      </c>
      <c r="O18" s="42">
        <v>0.32332822486331086</v>
      </c>
      <c r="P18" s="21">
        <f>(OPTI4_UPI_OOS[[#This Row], [Net Profit]]-B$74)/ABS(B$74)</f>
      </c>
      <c r="Q18" s="21">
        <f>(OPTI4_UPI_OOS[[#This Row], [UPI]]-J$74)/ABS(J$74)</f>
      </c>
      <c r="R18" s="21">
        <f>(OPTI4_UPI_OOS[[#This Row], [SORTINO AJUSTADO]]-K$74)/ABS(K$74)</f>
      </c>
      <c r="S18" s="21">
        <f>(OPTI4_UPI_OOS[[#This Row], [RECOVERY]]-L$74)/ABS(L$74)</f>
      </c>
      <c r="T18" s="21">
        <f>(OPTI4_UPI_OOS[[#This Row], [ROB]]-O$74)/ABS(O$74)</f>
      </c>
      <c r="U18" s="21">
        <f>SUM(OPTI4_UPI_OOS[[#This Row], [VAR NET PROFIT]:[VAR ROB]])</f>
      </c>
      <c r="V18" s="21">
        <f>OPTI4_UPI_OOS[[#This Row], [SUMA]]-OPTI4_UPI_OOS[[#This Row], [VAR ROB]]</f>
      </c>
    </row>
    <row x14ac:dyDescent="0.25" r="19" customHeight="1" ht="18.75">
      <c r="A19" s="21"/>
      <c r="B19" s="36">
        <v>59953.93</v>
      </c>
      <c r="C19" s="36">
        <v>172484.44</v>
      </c>
      <c r="D19" s="36">
        <v>-112530.51</v>
      </c>
      <c r="E19" s="37">
        <v>591</v>
      </c>
      <c r="F19" s="38">
        <v>43.4856175972927</v>
      </c>
      <c r="G19" s="39">
        <v>257</v>
      </c>
      <c r="H19" s="39">
        <v>334</v>
      </c>
      <c r="I19" s="36">
        <v>-96727.38</v>
      </c>
      <c r="J19" s="40">
        <v>0.114992447850317</v>
      </c>
      <c r="K19" s="40">
        <v>0.372775365827716</v>
      </c>
      <c r="L19" s="38">
        <f>-OPTI4_UPI_OOS[[#This Row], [Net Profit]]/OPTI4_UPI_OOS[[#This Row], [Max Intraday Drawdown]]</f>
      </c>
      <c r="M19" s="41">
        <v>1</v>
      </c>
      <c r="N19" s="38">
        <v>0.2</v>
      </c>
      <c r="O19" s="42">
        <v>0.2862278736182303</v>
      </c>
      <c r="P19" s="21">
        <f>(OPTI4_UPI_OOS[[#This Row], [Net Profit]]-B$74)/ABS(B$74)</f>
      </c>
      <c r="Q19" s="21">
        <f>(OPTI4_UPI_OOS[[#This Row], [UPI]]-J$74)/ABS(J$74)</f>
      </c>
      <c r="R19" s="21">
        <f>(OPTI4_UPI_OOS[[#This Row], [SORTINO AJUSTADO]]-K$74)/ABS(K$74)</f>
      </c>
      <c r="S19" s="21">
        <f>(OPTI4_UPI_OOS[[#This Row], [RECOVERY]]-L$74)/ABS(L$74)</f>
      </c>
      <c r="T19" s="21">
        <f>(OPTI4_UPI_OOS[[#This Row], [ROB]]-O$74)/ABS(O$74)</f>
      </c>
      <c r="U19" s="21">
        <f>SUM(OPTI4_UPI_OOS[[#This Row], [VAR NET PROFIT]:[VAR ROB]])</f>
      </c>
      <c r="V19" s="21">
        <f>OPTI4_UPI_OOS[[#This Row], [SUMA]]-OPTI4_UPI_OOS[[#This Row], [VAR ROB]]</f>
      </c>
    </row>
    <row x14ac:dyDescent="0.25" r="20" customHeight="1" ht="18.75">
      <c r="A20" s="21"/>
      <c r="B20" s="36">
        <v>56513.9</v>
      </c>
      <c r="C20" s="36">
        <v>189165.75</v>
      </c>
      <c r="D20" s="36">
        <v>-132651.85</v>
      </c>
      <c r="E20" s="37">
        <v>815</v>
      </c>
      <c r="F20" s="38">
        <v>40.4907975460123</v>
      </c>
      <c r="G20" s="39">
        <v>330</v>
      </c>
      <c r="H20" s="39">
        <v>485</v>
      </c>
      <c r="I20" s="36">
        <v>-84992.5200000001</v>
      </c>
      <c r="J20" s="40">
        <v>0.115369768328668</v>
      </c>
      <c r="K20" s="40">
        <v>0.349802909828221</v>
      </c>
      <c r="L20" s="38">
        <f>-OPTI4_UPI_OOS[[#This Row], [Net Profit]]/OPTI4_UPI_OOS[[#This Row], [Max Intraday Drawdown]]</f>
      </c>
      <c r="M20" s="41">
        <v>0</v>
      </c>
      <c r="N20" s="38">
        <v>0.18</v>
      </c>
      <c r="O20" s="42">
        <v>0.38458222993174446</v>
      </c>
      <c r="P20" s="21">
        <f>(OPTI4_UPI_OOS[[#This Row], [Net Profit]]-B$74)/ABS(B$74)</f>
      </c>
      <c r="Q20" s="21">
        <f>(OPTI4_UPI_OOS[[#This Row], [UPI]]-J$74)/ABS(J$74)</f>
      </c>
      <c r="R20" s="21">
        <f>(OPTI4_UPI_OOS[[#This Row], [SORTINO AJUSTADO]]-K$74)/ABS(K$74)</f>
      </c>
      <c r="S20" s="21">
        <f>(OPTI4_UPI_OOS[[#This Row], [RECOVERY]]-L$74)/ABS(L$74)</f>
      </c>
      <c r="T20" s="21">
        <f>(OPTI4_UPI_OOS[[#This Row], [ROB]]-O$74)/ABS(O$74)</f>
      </c>
      <c r="U20" s="21">
        <f>SUM(OPTI4_UPI_OOS[[#This Row], [VAR NET PROFIT]:[VAR ROB]])</f>
      </c>
      <c r="V20" s="21">
        <f>OPTI4_UPI_OOS[[#This Row], [SUMA]]-OPTI4_UPI_OOS[[#This Row], [VAR ROB]]</f>
      </c>
    </row>
    <row x14ac:dyDescent="0.25" r="21" customHeight="1" ht="18.75">
      <c r="A21" s="21"/>
      <c r="B21" s="36">
        <v>53881.17</v>
      </c>
      <c r="C21" s="36">
        <v>177124.87</v>
      </c>
      <c r="D21" s="36">
        <v>-123243.7</v>
      </c>
      <c r="E21" s="37">
        <v>836</v>
      </c>
      <c r="F21" s="38">
        <v>39.7129186602871</v>
      </c>
      <c r="G21" s="39">
        <v>332</v>
      </c>
      <c r="H21" s="39">
        <v>504</v>
      </c>
      <c r="I21" s="36">
        <v>-77415.78</v>
      </c>
      <c r="J21" s="40">
        <v>0.112402207854127</v>
      </c>
      <c r="K21" s="40">
        <v>0.341207521479404</v>
      </c>
      <c r="L21" s="38">
        <f>-OPTI4_UPI_OOS[[#This Row], [Net Profit]]/OPTI4_UPI_OOS[[#This Row], [Max Intraday Drawdown]]</f>
      </c>
      <c r="M21" s="41">
        <v>1</v>
      </c>
      <c r="N21" s="38">
        <v>0.16</v>
      </c>
      <c r="O21" s="42">
        <v>0.45177659975126927</v>
      </c>
      <c r="P21" s="21">
        <f>(OPTI4_UPI_OOS[[#This Row], [Net Profit]]-B$74)/ABS(B$74)</f>
      </c>
      <c r="Q21" s="21">
        <f>(OPTI4_UPI_OOS[[#This Row], [UPI]]-J$74)/ABS(J$74)</f>
      </c>
      <c r="R21" s="21">
        <f>(OPTI4_UPI_OOS[[#This Row], [SORTINO AJUSTADO]]-K$74)/ABS(K$74)</f>
      </c>
      <c r="S21" s="21">
        <f>(OPTI4_UPI_OOS[[#This Row], [RECOVERY]]-L$74)/ABS(L$74)</f>
      </c>
      <c r="T21" s="21">
        <f>(OPTI4_UPI_OOS[[#This Row], [ROB]]-O$74)/ABS(O$74)</f>
      </c>
      <c r="U21" s="21">
        <f>SUM(OPTI4_UPI_OOS[[#This Row], [VAR NET PROFIT]:[VAR ROB]])</f>
      </c>
      <c r="V21" s="21">
        <f>OPTI4_UPI_OOS[[#This Row], [SUMA]]-OPTI4_UPI_OOS[[#This Row], [VAR ROB]]</f>
      </c>
    </row>
    <row x14ac:dyDescent="0.25" r="22" customHeight="1" ht="18.75">
      <c r="A22" s="21"/>
      <c r="B22" s="36">
        <v>53588.5500000001</v>
      </c>
      <c r="C22" s="36">
        <v>193355.81</v>
      </c>
      <c r="D22" s="36">
        <v>-139767.26</v>
      </c>
      <c r="E22" s="37">
        <v>1073</v>
      </c>
      <c r="F22" s="38">
        <v>39.4221808014911</v>
      </c>
      <c r="G22" s="39">
        <v>423</v>
      </c>
      <c r="H22" s="39">
        <v>650</v>
      </c>
      <c r="I22" s="36">
        <v>-71495.91</v>
      </c>
      <c r="J22" s="40">
        <v>0.0988249576715885</v>
      </c>
      <c r="K22" s="40">
        <v>0.304724746206546</v>
      </c>
      <c r="L22" s="38">
        <f>-OPTI4_UPI_OOS[[#This Row], [Net Profit]]/OPTI4_UPI_OOS[[#This Row], [Max Intraday Drawdown]]</f>
      </c>
      <c r="M22" s="41">
        <v>0</v>
      </c>
      <c r="N22" s="38">
        <v>0.15</v>
      </c>
      <c r="O22" s="42">
        <v>0.6809460809966548</v>
      </c>
      <c r="P22" s="21">
        <f>(OPTI4_UPI_OOS[[#This Row], [Net Profit]]-B$74)/ABS(B$74)</f>
      </c>
      <c r="Q22" s="21">
        <f>(OPTI4_UPI_OOS[[#This Row], [UPI]]-J$74)/ABS(J$74)</f>
      </c>
      <c r="R22" s="21">
        <f>(OPTI4_UPI_OOS[[#This Row], [SORTINO AJUSTADO]]-K$74)/ABS(K$74)</f>
      </c>
      <c r="S22" s="21">
        <f>(OPTI4_UPI_OOS[[#This Row], [RECOVERY]]-L$74)/ABS(L$74)</f>
      </c>
      <c r="T22" s="21">
        <f>(OPTI4_UPI_OOS[[#This Row], [ROB]]-O$74)/ABS(O$74)</f>
      </c>
      <c r="U22" s="21">
        <f>SUM(OPTI4_UPI_OOS[[#This Row], [VAR NET PROFIT]:[VAR ROB]])</f>
      </c>
      <c r="V22" s="21">
        <f>OPTI4_UPI_OOS[[#This Row], [SUMA]]-OPTI4_UPI_OOS[[#This Row], [VAR ROB]]</f>
      </c>
    </row>
    <row x14ac:dyDescent="0.25" r="23" customHeight="1" ht="18.75">
      <c r="A23" s="21"/>
      <c r="B23" s="36">
        <v>61969.59</v>
      </c>
      <c r="C23" s="36">
        <v>185664.3</v>
      </c>
      <c r="D23" s="36">
        <v>-123694.71</v>
      </c>
      <c r="E23" s="37">
        <v>630</v>
      </c>
      <c r="F23" s="38">
        <v>40.3174603174603</v>
      </c>
      <c r="G23" s="39">
        <v>254</v>
      </c>
      <c r="H23" s="39">
        <v>376</v>
      </c>
      <c r="I23" s="36">
        <v>-104522.06</v>
      </c>
      <c r="J23" s="40">
        <v>0.113525983285949</v>
      </c>
      <c r="K23" s="40">
        <v>0.36593204807711</v>
      </c>
      <c r="L23" s="38">
        <f>-OPTI4_UPI_OOS[[#This Row], [Net Profit]]/OPTI4_UPI_OOS[[#This Row], [Max Intraday Drawdown]]</f>
      </c>
      <c r="M23" s="41">
        <v>0</v>
      </c>
      <c r="N23" s="38">
        <v>0.21</v>
      </c>
      <c r="O23" s="42">
        <v>0.2801130001388636</v>
      </c>
      <c r="P23" s="21">
        <f>(OPTI4_UPI_OOS[[#This Row], [Net Profit]]-B$74)/ABS(B$74)</f>
      </c>
      <c r="Q23" s="21">
        <f>(OPTI4_UPI_OOS[[#This Row], [UPI]]-J$74)/ABS(J$74)</f>
      </c>
      <c r="R23" s="21">
        <f>(OPTI4_UPI_OOS[[#This Row], [SORTINO AJUSTADO]]-K$74)/ABS(K$74)</f>
      </c>
      <c r="S23" s="21">
        <f>(OPTI4_UPI_OOS[[#This Row], [RECOVERY]]-L$74)/ABS(L$74)</f>
      </c>
      <c r="T23" s="21">
        <f>(OPTI4_UPI_OOS[[#This Row], [ROB]]-O$74)/ABS(O$74)</f>
      </c>
      <c r="U23" s="21">
        <f>SUM(OPTI4_UPI_OOS[[#This Row], [VAR NET PROFIT]:[VAR ROB]])</f>
      </c>
      <c r="V23" s="21">
        <f>OPTI4_UPI_OOS[[#This Row], [SUMA]]-OPTI4_UPI_OOS[[#This Row], [VAR ROB]]</f>
      </c>
    </row>
    <row x14ac:dyDescent="0.25" r="24" customHeight="1" ht="18.75">
      <c r="A24" s="21"/>
      <c r="B24" s="36">
        <v>64899.35</v>
      </c>
      <c r="C24" s="36">
        <v>177297.8</v>
      </c>
      <c r="D24" s="36">
        <v>-112398.45</v>
      </c>
      <c r="E24" s="37">
        <v>491</v>
      </c>
      <c r="F24" s="38">
        <v>41.7515274949084</v>
      </c>
      <c r="G24" s="39">
        <v>205</v>
      </c>
      <c r="H24" s="39">
        <v>286</v>
      </c>
      <c r="I24" s="36">
        <v>-111420.74</v>
      </c>
      <c r="J24" s="40">
        <v>0.117904551219877</v>
      </c>
      <c r="K24" s="40">
        <v>0.326127546766734</v>
      </c>
      <c r="L24" s="38">
        <f>-OPTI4_UPI_OOS[[#This Row], [Net Profit]]/OPTI4_UPI_OOS[[#This Row], [Max Intraday Drawdown]]</f>
      </c>
      <c r="M24" s="41">
        <v>1.5</v>
      </c>
      <c r="N24" s="38">
        <v>0.24</v>
      </c>
      <c r="O24" s="42">
        <v>0.28553399567512605</v>
      </c>
      <c r="P24" s="21">
        <f>(OPTI4_UPI_OOS[[#This Row], [Net Profit]]-B$74)/ABS(B$74)</f>
      </c>
      <c r="Q24" s="21">
        <f>(OPTI4_UPI_OOS[[#This Row], [UPI]]-J$74)/ABS(J$74)</f>
      </c>
      <c r="R24" s="21">
        <f>(OPTI4_UPI_OOS[[#This Row], [SORTINO AJUSTADO]]-K$74)/ABS(K$74)</f>
      </c>
      <c r="S24" s="21">
        <f>(OPTI4_UPI_OOS[[#This Row], [RECOVERY]]-L$74)/ABS(L$74)</f>
      </c>
      <c r="T24" s="21">
        <f>(OPTI4_UPI_OOS[[#This Row], [ROB]]-O$74)/ABS(O$74)</f>
      </c>
      <c r="U24" s="21">
        <f>SUM(OPTI4_UPI_OOS[[#This Row], [VAR NET PROFIT]:[VAR ROB]])</f>
      </c>
      <c r="V24" s="21">
        <f>OPTI4_UPI_OOS[[#This Row], [SUMA]]-OPTI4_UPI_OOS[[#This Row], [VAR ROB]]</f>
      </c>
    </row>
    <row x14ac:dyDescent="0.25" r="25" customHeight="1" ht="18.75">
      <c r="A25" s="21"/>
      <c r="B25" s="36">
        <v>63638.24</v>
      </c>
      <c r="C25" s="36">
        <v>177373.65</v>
      </c>
      <c r="D25" s="36">
        <v>-113735.41</v>
      </c>
      <c r="E25" s="37">
        <v>510</v>
      </c>
      <c r="F25" s="38">
        <v>40.5882352941176</v>
      </c>
      <c r="G25" s="39">
        <v>207</v>
      </c>
      <c r="H25" s="39">
        <v>303</v>
      </c>
      <c r="I25" s="36">
        <v>-109195.4</v>
      </c>
      <c r="J25" s="40">
        <v>0.120554215689128</v>
      </c>
      <c r="K25" s="40">
        <v>0.3214772661378</v>
      </c>
      <c r="L25" s="38">
        <f>-OPTI4_UPI_OOS[[#This Row], [Net Profit]]/OPTI4_UPI_OOS[[#This Row], [Max Intraday Drawdown]]</f>
      </c>
      <c r="M25" s="41">
        <v>0</v>
      </c>
      <c r="N25" s="38">
        <v>0.24</v>
      </c>
      <c r="O25" s="42">
        <v>0.2644732839614173</v>
      </c>
      <c r="P25" s="21">
        <f>(OPTI4_UPI_OOS[[#This Row], [Net Profit]]-B$74)/ABS(B$74)</f>
      </c>
      <c r="Q25" s="21">
        <f>(OPTI4_UPI_OOS[[#This Row], [UPI]]-J$74)/ABS(J$74)</f>
      </c>
      <c r="R25" s="21">
        <f>(OPTI4_UPI_OOS[[#This Row], [SORTINO AJUSTADO]]-K$74)/ABS(K$74)</f>
      </c>
      <c r="S25" s="21">
        <f>(OPTI4_UPI_OOS[[#This Row], [RECOVERY]]-L$74)/ABS(L$74)</f>
      </c>
      <c r="T25" s="21">
        <f>(OPTI4_UPI_OOS[[#This Row], [ROB]]-O$74)/ABS(O$74)</f>
      </c>
      <c r="U25" s="21">
        <f>SUM(OPTI4_UPI_OOS[[#This Row], [VAR NET PROFIT]:[VAR ROB]])</f>
      </c>
      <c r="V25" s="21">
        <f>OPTI4_UPI_OOS[[#This Row], [SUMA]]-OPTI4_UPI_OOS[[#This Row], [VAR ROB]]</f>
      </c>
    </row>
    <row x14ac:dyDescent="0.25" r="26" customHeight="1" ht="18.75">
      <c r="A26" s="21"/>
      <c r="B26" s="36">
        <v>63777.67</v>
      </c>
      <c r="C26" s="36">
        <v>185308.07</v>
      </c>
      <c r="D26" s="36">
        <v>-121530.4</v>
      </c>
      <c r="E26" s="37">
        <v>555</v>
      </c>
      <c r="F26" s="38">
        <v>43.4234234234234</v>
      </c>
      <c r="G26" s="39">
        <v>241</v>
      </c>
      <c r="H26" s="39">
        <v>314</v>
      </c>
      <c r="I26" s="36">
        <v>-109349.88</v>
      </c>
      <c r="J26" s="40">
        <v>0.110161796350271</v>
      </c>
      <c r="K26" s="40">
        <v>0.344943836796544</v>
      </c>
      <c r="L26" s="38">
        <f>-OPTI4_UPI_OOS[[#This Row], [Net Profit]]/OPTI4_UPI_OOS[[#This Row], [Max Intraday Drawdown]]</f>
      </c>
      <c r="M26" s="41">
        <v>1.5</v>
      </c>
      <c r="N26" s="38">
        <v>0.22</v>
      </c>
      <c r="O26" s="42">
        <v>0.27924203757236116</v>
      </c>
      <c r="P26" s="21">
        <f>(OPTI4_UPI_OOS[[#This Row], [Net Profit]]-B$74)/ABS(B$74)</f>
      </c>
      <c r="Q26" s="21">
        <f>(OPTI4_UPI_OOS[[#This Row], [UPI]]-J$74)/ABS(J$74)</f>
      </c>
      <c r="R26" s="21">
        <f>(OPTI4_UPI_OOS[[#This Row], [SORTINO AJUSTADO]]-K$74)/ABS(K$74)</f>
      </c>
      <c r="S26" s="21">
        <f>(OPTI4_UPI_OOS[[#This Row], [RECOVERY]]-L$74)/ABS(L$74)</f>
      </c>
      <c r="T26" s="21">
        <f>(OPTI4_UPI_OOS[[#This Row], [ROB]]-O$74)/ABS(O$74)</f>
      </c>
      <c r="U26" s="21">
        <f>SUM(OPTI4_UPI_OOS[[#This Row], [VAR NET PROFIT]:[VAR ROB]])</f>
      </c>
      <c r="V26" s="21">
        <f>OPTI4_UPI_OOS[[#This Row], [SUMA]]-OPTI4_UPI_OOS[[#This Row], [VAR ROB]]</f>
      </c>
    </row>
    <row x14ac:dyDescent="0.25" r="27" customHeight="1" ht="18.75">
      <c r="A27" s="21"/>
      <c r="B27" s="36">
        <v>46834.86</v>
      </c>
      <c r="C27" s="36">
        <v>189121.73</v>
      </c>
      <c r="D27" s="36">
        <v>-142286.87</v>
      </c>
      <c r="E27" s="37">
        <v>1408</v>
      </c>
      <c r="F27" s="38">
        <v>37.5</v>
      </c>
      <c r="G27" s="39">
        <v>528</v>
      </c>
      <c r="H27" s="39">
        <v>880</v>
      </c>
      <c r="I27" s="36">
        <v>-59394.98</v>
      </c>
      <c r="J27" s="40">
        <v>0.0885291686699513</v>
      </c>
      <c r="K27" s="40">
        <v>0.314030032253582</v>
      </c>
      <c r="L27" s="38">
        <f>-OPTI4_UPI_OOS[[#This Row], [Net Profit]]/OPTI4_UPI_OOS[[#This Row], [Max Intraday Drawdown]]</f>
      </c>
      <c r="M27" s="41">
        <v>1.5</v>
      </c>
      <c r="N27" s="38">
        <v>0.12</v>
      </c>
      <c r="O27" s="42">
        <v>0.7408660512728789</v>
      </c>
      <c r="P27" s="21">
        <f>(OPTI4_UPI_OOS[[#This Row], [Net Profit]]-B$74)/ABS(B$74)</f>
      </c>
      <c r="Q27" s="21">
        <f>(OPTI4_UPI_OOS[[#This Row], [UPI]]-J$74)/ABS(J$74)</f>
      </c>
      <c r="R27" s="21">
        <f>(OPTI4_UPI_OOS[[#This Row], [SORTINO AJUSTADO]]-K$74)/ABS(K$74)</f>
      </c>
      <c r="S27" s="21">
        <f>(OPTI4_UPI_OOS[[#This Row], [RECOVERY]]-L$74)/ABS(L$74)</f>
      </c>
      <c r="T27" s="21">
        <f>(OPTI4_UPI_OOS[[#This Row], [ROB]]-O$74)/ABS(O$74)</f>
      </c>
      <c r="U27" s="21">
        <f>SUM(OPTI4_UPI_OOS[[#This Row], [VAR NET PROFIT]:[VAR ROB]])</f>
      </c>
      <c r="V27" s="21">
        <f>OPTI4_UPI_OOS[[#This Row], [SUMA]]-OPTI4_UPI_OOS[[#This Row], [VAR ROB]]</f>
      </c>
    </row>
    <row x14ac:dyDescent="0.25" r="28" customHeight="1" ht="18.75">
      <c r="A28" s="21"/>
      <c r="B28" s="36">
        <v>60828.68</v>
      </c>
      <c r="C28" s="36">
        <v>183803.44</v>
      </c>
      <c r="D28" s="36">
        <v>-122974.76</v>
      </c>
      <c r="E28" s="37">
        <v>607</v>
      </c>
      <c r="F28" s="38">
        <v>41.6803953871499</v>
      </c>
      <c r="G28" s="39">
        <v>253</v>
      </c>
      <c r="H28" s="39">
        <v>354</v>
      </c>
      <c r="I28" s="36">
        <v>-104215.25</v>
      </c>
      <c r="J28" s="40">
        <v>0.112035060230566</v>
      </c>
      <c r="K28" s="40">
        <v>0.341563335711297</v>
      </c>
      <c r="L28" s="38">
        <f>-OPTI4_UPI_OOS[[#This Row], [Net Profit]]/OPTI4_UPI_OOS[[#This Row], [Max Intraday Drawdown]]</f>
      </c>
      <c r="M28" s="41">
        <v>1.5</v>
      </c>
      <c r="N28" s="38">
        <v>0.21</v>
      </c>
      <c r="O28" s="42">
        <v>0.26736515210026124</v>
      </c>
      <c r="P28" s="21">
        <f>(OPTI4_UPI_OOS[[#This Row], [Net Profit]]-B$74)/ABS(B$74)</f>
      </c>
      <c r="Q28" s="21">
        <f>(OPTI4_UPI_OOS[[#This Row], [UPI]]-J$74)/ABS(J$74)</f>
      </c>
      <c r="R28" s="21">
        <f>(OPTI4_UPI_OOS[[#This Row], [SORTINO AJUSTADO]]-K$74)/ABS(K$74)</f>
      </c>
      <c r="S28" s="21">
        <f>(OPTI4_UPI_OOS[[#This Row], [RECOVERY]]-L$74)/ABS(L$74)</f>
      </c>
      <c r="T28" s="21">
        <f>(OPTI4_UPI_OOS[[#This Row], [ROB]]-O$74)/ABS(O$74)</f>
      </c>
      <c r="U28" s="21">
        <f>SUM(OPTI4_UPI_OOS[[#This Row], [VAR NET PROFIT]:[VAR ROB]])</f>
      </c>
      <c r="V28" s="21">
        <f>OPTI4_UPI_OOS[[#This Row], [SUMA]]-OPTI4_UPI_OOS[[#This Row], [VAR ROB]]</f>
      </c>
    </row>
    <row x14ac:dyDescent="0.25" r="29" customHeight="1" ht="18.75">
      <c r="A29" s="21"/>
      <c r="B29" s="36">
        <v>35774.71</v>
      </c>
      <c r="C29" s="36">
        <v>182583.06</v>
      </c>
      <c r="D29" s="36">
        <v>-146808.35</v>
      </c>
      <c r="E29" s="37">
        <v>1484</v>
      </c>
      <c r="F29" s="38">
        <v>37.3315363881402</v>
      </c>
      <c r="G29" s="39">
        <v>554</v>
      </c>
      <c r="H29" s="39">
        <v>930</v>
      </c>
      <c r="I29" s="36">
        <v>-24065.06</v>
      </c>
      <c r="J29" s="40">
        <v>0.0753856212364657</v>
      </c>
      <c r="K29" s="40">
        <v>0.278481992043339</v>
      </c>
      <c r="L29" s="38">
        <f>-OPTI4_UPI_OOS[[#This Row], [Net Profit]]/OPTI4_UPI_OOS[[#This Row], [Max Intraday Drawdown]]</f>
      </c>
      <c r="M29" s="41">
        <v>0</v>
      </c>
      <c r="N29" s="38">
        <v>0.12</v>
      </c>
      <c r="O29" s="42">
        <v>0.6457498283381452</v>
      </c>
      <c r="P29" s="21">
        <f>(OPTI4_UPI_OOS[[#This Row], [Net Profit]]-B$74)/ABS(B$74)</f>
      </c>
      <c r="Q29" s="21">
        <f>(OPTI4_UPI_OOS[[#This Row], [UPI]]-J$74)/ABS(J$74)</f>
      </c>
      <c r="R29" s="21">
        <f>(OPTI4_UPI_OOS[[#This Row], [SORTINO AJUSTADO]]-K$74)/ABS(K$74)</f>
      </c>
      <c r="S29" s="21">
        <f>(OPTI4_UPI_OOS[[#This Row], [RECOVERY]]-L$74)/ABS(L$74)</f>
      </c>
      <c r="T29" s="21">
        <f>(OPTI4_UPI_OOS[[#This Row], [ROB]]-O$74)/ABS(O$74)</f>
      </c>
      <c r="U29" s="21">
        <f>SUM(OPTI4_UPI_OOS[[#This Row], [VAR NET PROFIT]:[VAR ROB]])</f>
      </c>
      <c r="V29" s="21">
        <f>OPTI4_UPI_OOS[[#This Row], [SUMA]]-OPTI4_UPI_OOS[[#This Row], [VAR ROB]]</f>
      </c>
    </row>
    <row x14ac:dyDescent="0.25" r="30" customHeight="1" ht="18.75">
      <c r="A30" s="21"/>
      <c r="B30" s="36">
        <v>52706.13</v>
      </c>
      <c r="C30" s="36">
        <v>183154.97</v>
      </c>
      <c r="D30" s="36">
        <v>-130448.84</v>
      </c>
      <c r="E30" s="37">
        <v>927</v>
      </c>
      <c r="F30" s="38">
        <v>39.4822006472492</v>
      </c>
      <c r="G30" s="39">
        <v>366</v>
      </c>
      <c r="H30" s="39">
        <v>561</v>
      </c>
      <c r="I30" s="36">
        <v>-78488.6599999999</v>
      </c>
      <c r="J30" s="40">
        <v>0.106166348530946</v>
      </c>
      <c r="K30" s="40">
        <v>0.339516225736551</v>
      </c>
      <c r="L30" s="38">
        <f>-OPTI4_UPI_OOS[[#This Row], [Net Profit]]/OPTI4_UPI_OOS[[#This Row], [Max Intraday Drawdown]]</f>
      </c>
      <c r="M30" s="41">
        <v>1.5</v>
      </c>
      <c r="N30" s="38">
        <v>0.16</v>
      </c>
      <c r="O30" s="42">
        <v>0.4124637455207084</v>
      </c>
      <c r="P30" s="21">
        <f>(OPTI4_UPI_OOS[[#This Row], [Net Profit]]-B$74)/ABS(B$74)</f>
      </c>
      <c r="Q30" s="21">
        <f>(OPTI4_UPI_OOS[[#This Row], [UPI]]-J$74)/ABS(J$74)</f>
      </c>
      <c r="R30" s="21">
        <f>(OPTI4_UPI_OOS[[#This Row], [SORTINO AJUSTADO]]-K$74)/ABS(K$74)</f>
      </c>
      <c r="S30" s="21">
        <f>(OPTI4_UPI_OOS[[#This Row], [RECOVERY]]-L$74)/ABS(L$74)</f>
      </c>
      <c r="T30" s="21">
        <f>(OPTI4_UPI_OOS[[#This Row], [ROB]]-O$74)/ABS(O$74)</f>
      </c>
      <c r="U30" s="21">
        <f>SUM(OPTI4_UPI_OOS[[#This Row], [VAR NET PROFIT]:[VAR ROB]])</f>
      </c>
      <c r="V30" s="21">
        <f>OPTI4_UPI_OOS[[#This Row], [SUMA]]-OPTI4_UPI_OOS[[#This Row], [VAR ROB]]</f>
      </c>
    </row>
    <row x14ac:dyDescent="0.25" r="31" customHeight="1" ht="18.75">
      <c r="A31" s="21"/>
      <c r="B31" s="36">
        <v>51405.62</v>
      </c>
      <c r="C31" s="36">
        <v>177258.85</v>
      </c>
      <c r="D31" s="36">
        <v>-125853.23</v>
      </c>
      <c r="E31" s="37">
        <v>852</v>
      </c>
      <c r="F31" s="38">
        <v>40.1408450704225</v>
      </c>
      <c r="G31" s="39">
        <v>342</v>
      </c>
      <c r="H31" s="39">
        <v>510</v>
      </c>
      <c r="I31" s="36">
        <v>-82218.89</v>
      </c>
      <c r="J31" s="40">
        <v>0.109646945853301</v>
      </c>
      <c r="K31" s="40">
        <v>0.354732080224445</v>
      </c>
      <c r="L31" s="38">
        <f>-OPTI4_UPI_OOS[[#This Row], [Net Profit]]/OPTI4_UPI_OOS[[#This Row], [Max Intraday Drawdown]]</f>
      </c>
      <c r="M31" s="41">
        <v>1.5</v>
      </c>
      <c r="N31" s="38">
        <v>0.17</v>
      </c>
      <c r="O31" s="42">
        <v>0.34506410571863366</v>
      </c>
      <c r="P31" s="21">
        <f>(OPTI4_UPI_OOS[[#This Row], [Net Profit]]-B$74)/ABS(B$74)</f>
      </c>
      <c r="Q31" s="21">
        <f>(OPTI4_UPI_OOS[[#This Row], [UPI]]-J$74)/ABS(J$74)</f>
      </c>
      <c r="R31" s="21">
        <f>(OPTI4_UPI_OOS[[#This Row], [SORTINO AJUSTADO]]-K$74)/ABS(K$74)</f>
      </c>
      <c r="S31" s="21">
        <f>(OPTI4_UPI_OOS[[#This Row], [RECOVERY]]-L$74)/ABS(L$74)</f>
      </c>
      <c r="T31" s="21">
        <f>(OPTI4_UPI_OOS[[#This Row], [ROB]]-O$74)/ABS(O$74)</f>
      </c>
      <c r="U31" s="21">
        <f>SUM(OPTI4_UPI_OOS[[#This Row], [VAR NET PROFIT]:[VAR ROB]])</f>
      </c>
      <c r="V31" s="21">
        <f>OPTI4_UPI_OOS[[#This Row], [SUMA]]-OPTI4_UPI_OOS[[#This Row], [VAR ROB]]</f>
      </c>
    </row>
    <row x14ac:dyDescent="0.25" r="32" customHeight="1" ht="18.75">
      <c r="A32" s="21"/>
      <c r="B32" s="36">
        <v>55899.8</v>
      </c>
      <c r="C32" s="36">
        <v>184321.77</v>
      </c>
      <c r="D32" s="36">
        <v>-128421.97</v>
      </c>
      <c r="E32" s="37">
        <v>746</v>
      </c>
      <c r="F32" s="38">
        <v>40.8847184986595</v>
      </c>
      <c r="G32" s="39">
        <v>305</v>
      </c>
      <c r="H32" s="39">
        <v>441</v>
      </c>
      <c r="I32" s="36">
        <v>-86891.04</v>
      </c>
      <c r="J32" s="40">
        <v>0.103783044819443</v>
      </c>
      <c r="K32" s="40">
        <v>0.332389192137101</v>
      </c>
      <c r="L32" s="38">
        <f>-OPTI4_UPI_OOS[[#This Row], [Net Profit]]/OPTI4_UPI_OOS[[#This Row], [Max Intraday Drawdown]]</f>
      </c>
      <c r="M32" s="41">
        <v>0</v>
      </c>
      <c r="N32" s="38">
        <v>0.19</v>
      </c>
      <c r="O32" s="42">
        <v>0.3471243273923221</v>
      </c>
      <c r="P32" s="21">
        <f>(OPTI4_UPI_OOS[[#This Row], [Net Profit]]-B$74)/ABS(B$74)</f>
      </c>
      <c r="Q32" s="21">
        <f>(OPTI4_UPI_OOS[[#This Row], [UPI]]-J$74)/ABS(J$74)</f>
      </c>
      <c r="R32" s="21">
        <f>(OPTI4_UPI_OOS[[#This Row], [SORTINO AJUSTADO]]-K$74)/ABS(K$74)</f>
      </c>
      <c r="S32" s="21">
        <f>(OPTI4_UPI_OOS[[#This Row], [RECOVERY]]-L$74)/ABS(L$74)</f>
      </c>
      <c r="T32" s="21">
        <f>(OPTI4_UPI_OOS[[#This Row], [ROB]]-O$74)/ABS(O$74)</f>
      </c>
      <c r="U32" s="21">
        <f>SUM(OPTI4_UPI_OOS[[#This Row], [VAR NET PROFIT]:[VAR ROB]])</f>
      </c>
      <c r="V32" s="21">
        <f>OPTI4_UPI_OOS[[#This Row], [SUMA]]-OPTI4_UPI_OOS[[#This Row], [VAR ROB]]</f>
      </c>
    </row>
    <row x14ac:dyDescent="0.25" r="33" customHeight="1" ht="18.75">
      <c r="A33" s="21"/>
      <c r="B33" s="36">
        <v>50260.23</v>
      </c>
      <c r="C33" s="36">
        <v>168361.74</v>
      </c>
      <c r="D33" s="36">
        <v>-118101.51</v>
      </c>
      <c r="E33" s="37">
        <v>763</v>
      </c>
      <c r="F33" s="38">
        <v>39.0563564875491</v>
      </c>
      <c r="G33" s="39">
        <v>298</v>
      </c>
      <c r="H33" s="39">
        <v>465</v>
      </c>
      <c r="I33" s="36">
        <v>-80229.56</v>
      </c>
      <c r="J33" s="40">
        <v>0.109049301092366</v>
      </c>
      <c r="K33" s="40">
        <v>0.333970393829403</v>
      </c>
      <c r="L33" s="38">
        <f>-OPTI4_UPI_OOS[[#This Row], [Net Profit]]/OPTI4_UPI_OOS[[#This Row], [Max Intraday Drawdown]]</f>
      </c>
      <c r="M33" s="41">
        <v>1</v>
      </c>
      <c r="N33" s="38">
        <v>0.17</v>
      </c>
      <c r="O33" s="42">
        <v>0.4032986598167322</v>
      </c>
      <c r="P33" s="21">
        <f>(OPTI4_UPI_OOS[[#This Row], [Net Profit]]-B$74)/ABS(B$74)</f>
      </c>
      <c r="Q33" s="21">
        <f>(OPTI4_UPI_OOS[[#This Row], [UPI]]-J$74)/ABS(J$74)</f>
      </c>
      <c r="R33" s="21">
        <f>(OPTI4_UPI_OOS[[#This Row], [SORTINO AJUSTADO]]-K$74)/ABS(K$74)</f>
      </c>
      <c r="S33" s="21">
        <f>(OPTI4_UPI_OOS[[#This Row], [RECOVERY]]-L$74)/ABS(L$74)</f>
      </c>
      <c r="T33" s="21">
        <f>(OPTI4_UPI_OOS[[#This Row], [ROB]]-O$74)/ABS(O$74)</f>
      </c>
      <c r="U33" s="21">
        <f>SUM(OPTI4_UPI_OOS[[#This Row], [VAR NET PROFIT]:[VAR ROB]])</f>
      </c>
      <c r="V33" s="21">
        <f>OPTI4_UPI_OOS[[#This Row], [SUMA]]-OPTI4_UPI_OOS[[#This Row], [VAR ROB]]</f>
      </c>
    </row>
    <row x14ac:dyDescent="0.25" r="34" customHeight="1" ht="18.75">
      <c r="A34" s="21"/>
      <c r="B34" s="36">
        <v>57259.74</v>
      </c>
      <c r="C34" s="36">
        <v>171803.84</v>
      </c>
      <c r="D34" s="36">
        <v>-114544.1</v>
      </c>
      <c r="E34" s="37">
        <v>549</v>
      </c>
      <c r="F34" s="38">
        <v>43.3515482695811</v>
      </c>
      <c r="G34" s="39">
        <v>238</v>
      </c>
      <c r="H34" s="39">
        <v>311</v>
      </c>
      <c r="I34" s="36">
        <v>-105909.17</v>
      </c>
      <c r="J34" s="40">
        <v>0.108819050415043</v>
      </c>
      <c r="K34" s="40">
        <v>0.348195908606493</v>
      </c>
      <c r="L34" s="38">
        <f>-OPTI4_UPI_OOS[[#This Row], [Net Profit]]/OPTI4_UPI_OOS[[#This Row], [Max Intraday Drawdown]]</f>
      </c>
      <c r="M34" s="41">
        <v>1</v>
      </c>
      <c r="N34" s="38">
        <v>0.21</v>
      </c>
      <c r="O34" s="42">
        <v>0.2620577827816989</v>
      </c>
      <c r="P34" s="21">
        <f>(OPTI4_UPI_OOS[[#This Row], [Net Profit]]-B$74)/ABS(B$74)</f>
      </c>
      <c r="Q34" s="21">
        <f>(OPTI4_UPI_OOS[[#This Row], [UPI]]-J$74)/ABS(J$74)</f>
      </c>
      <c r="R34" s="21">
        <f>(OPTI4_UPI_OOS[[#This Row], [SORTINO AJUSTADO]]-K$74)/ABS(K$74)</f>
      </c>
      <c r="S34" s="21">
        <f>(OPTI4_UPI_OOS[[#This Row], [RECOVERY]]-L$74)/ABS(L$74)</f>
      </c>
      <c r="T34" s="21">
        <f>(OPTI4_UPI_OOS[[#This Row], [ROB]]-O$74)/ABS(O$74)</f>
      </c>
      <c r="U34" s="21">
        <f>SUM(OPTI4_UPI_OOS[[#This Row], [VAR NET PROFIT]:[VAR ROB]])</f>
      </c>
      <c r="V34" s="21">
        <f>OPTI4_UPI_OOS[[#This Row], [SUMA]]-OPTI4_UPI_OOS[[#This Row], [VAR ROB]]</f>
      </c>
    </row>
    <row x14ac:dyDescent="0.25" r="35" customHeight="1" ht="18.75">
      <c r="A35" s="21"/>
      <c r="B35" s="36">
        <v>56695.57</v>
      </c>
      <c r="C35" s="36">
        <v>181063.04</v>
      </c>
      <c r="D35" s="36">
        <v>-124367.47</v>
      </c>
      <c r="E35" s="37">
        <v>571</v>
      </c>
      <c r="F35" s="38">
        <v>41.6812609457093</v>
      </c>
      <c r="G35" s="39">
        <v>238</v>
      </c>
      <c r="H35" s="39">
        <v>333</v>
      </c>
      <c r="I35" s="36">
        <v>-112473.53</v>
      </c>
      <c r="J35" s="40">
        <v>0.107402708194359</v>
      </c>
      <c r="K35" s="40">
        <v>0.344973634978239</v>
      </c>
      <c r="L35" s="38">
        <f>-OPTI4_UPI_OOS[[#This Row], [Net Profit]]/OPTI4_UPI_OOS[[#This Row], [Max Intraday Drawdown]]</f>
      </c>
      <c r="M35" s="41">
        <v>0</v>
      </c>
      <c r="N35" s="38">
        <v>0.22</v>
      </c>
      <c r="O35" s="42">
        <v>0.25517226964263057</v>
      </c>
      <c r="P35" s="21">
        <f>(OPTI4_UPI_OOS[[#This Row], [Net Profit]]-B$74)/ABS(B$74)</f>
      </c>
      <c r="Q35" s="21">
        <f>(OPTI4_UPI_OOS[[#This Row], [UPI]]-J$74)/ABS(J$74)</f>
      </c>
      <c r="R35" s="21">
        <f>(OPTI4_UPI_OOS[[#This Row], [SORTINO AJUSTADO]]-K$74)/ABS(K$74)</f>
      </c>
      <c r="S35" s="21">
        <f>(OPTI4_UPI_OOS[[#This Row], [RECOVERY]]-L$74)/ABS(L$74)</f>
      </c>
      <c r="T35" s="21">
        <f>(OPTI4_UPI_OOS[[#This Row], [ROB]]-O$74)/ABS(O$74)</f>
      </c>
      <c r="U35" s="21">
        <f>SUM(OPTI4_UPI_OOS[[#This Row], [VAR NET PROFIT]:[VAR ROB]])</f>
      </c>
      <c r="V35" s="21">
        <f>OPTI4_UPI_OOS[[#This Row], [SUMA]]-OPTI4_UPI_OOS[[#This Row], [VAR ROB]]</f>
      </c>
    </row>
    <row x14ac:dyDescent="0.25" r="36" customHeight="1" ht="18.75">
      <c r="A36" s="21"/>
      <c r="B36" s="36">
        <v>48108.87</v>
      </c>
      <c r="C36" s="36">
        <v>175573.16</v>
      </c>
      <c r="D36" s="36">
        <v>-127464.29</v>
      </c>
      <c r="E36" s="37">
        <v>887</v>
      </c>
      <c r="F36" s="38">
        <v>40.2480270574972</v>
      </c>
      <c r="G36" s="39">
        <v>357</v>
      </c>
      <c r="H36" s="39">
        <v>530</v>
      </c>
      <c r="I36" s="36">
        <v>-77771.38</v>
      </c>
      <c r="J36" s="40">
        <v>0.10373438507619</v>
      </c>
      <c r="K36" s="40">
        <v>0.325029857864806</v>
      </c>
      <c r="L36" s="38">
        <f>-OPTI4_UPI_OOS[[#This Row], [Net Profit]]/OPTI4_UPI_OOS[[#This Row], [Max Intraday Drawdown]]</f>
      </c>
      <c r="M36" s="41">
        <v>0</v>
      </c>
      <c r="N36" s="38">
        <v>0.17</v>
      </c>
      <c r="O36" s="42">
        <v>0.4094195290822924</v>
      </c>
      <c r="P36" s="21">
        <f>(OPTI4_UPI_OOS[[#This Row], [Net Profit]]-B$74)/ABS(B$74)</f>
      </c>
      <c r="Q36" s="21">
        <f>(OPTI4_UPI_OOS[[#This Row], [UPI]]-J$74)/ABS(J$74)</f>
      </c>
      <c r="R36" s="21">
        <f>(OPTI4_UPI_OOS[[#This Row], [SORTINO AJUSTADO]]-K$74)/ABS(K$74)</f>
      </c>
      <c r="S36" s="21">
        <f>(OPTI4_UPI_OOS[[#This Row], [RECOVERY]]-L$74)/ABS(L$74)</f>
      </c>
      <c r="T36" s="21">
        <f>(OPTI4_UPI_OOS[[#This Row], [ROB]]-O$74)/ABS(O$74)</f>
      </c>
      <c r="U36" s="21">
        <f>SUM(OPTI4_UPI_OOS[[#This Row], [VAR NET PROFIT]:[VAR ROB]])</f>
      </c>
      <c r="V36" s="21">
        <f>OPTI4_UPI_OOS[[#This Row], [SUMA]]-OPTI4_UPI_OOS[[#This Row], [VAR ROB]]</f>
      </c>
    </row>
    <row x14ac:dyDescent="0.25" r="37" customHeight="1" ht="18.75">
      <c r="A37" s="21"/>
      <c r="B37" s="36">
        <v>27433.52</v>
      </c>
      <c r="C37" s="36">
        <v>180071.68</v>
      </c>
      <c r="D37" s="36">
        <v>-152638.16</v>
      </c>
      <c r="E37" s="37">
        <v>1919</v>
      </c>
      <c r="F37" s="38">
        <v>37.0505471599792</v>
      </c>
      <c r="G37" s="39">
        <v>711</v>
      </c>
      <c r="H37" s="39">
        <v>1208</v>
      </c>
      <c r="I37" s="36">
        <v>-22487.79</v>
      </c>
      <c r="J37" s="40">
        <v>0.0683885378498276</v>
      </c>
      <c r="K37" s="40">
        <v>0.240710544674309</v>
      </c>
      <c r="L37" s="38">
        <f>-OPTI4_UPI_OOS[[#This Row], [Net Profit]]/OPTI4_UPI_OOS[[#This Row], [Max Intraday Drawdown]]</f>
      </c>
      <c r="M37" s="41">
        <v>0</v>
      </c>
      <c r="N37" s="38">
        <v>0.1</v>
      </c>
      <c r="O37" s="42">
        <v>0.9801824382366405</v>
      </c>
      <c r="P37" s="21">
        <f>(OPTI4_UPI_OOS[[#This Row], [Net Profit]]-B$74)/ABS(B$74)</f>
      </c>
      <c r="Q37" s="21">
        <f>(OPTI4_UPI_OOS[[#This Row], [UPI]]-J$74)/ABS(J$74)</f>
      </c>
      <c r="R37" s="21">
        <f>(OPTI4_UPI_OOS[[#This Row], [SORTINO AJUSTADO]]-K$74)/ABS(K$74)</f>
      </c>
      <c r="S37" s="21">
        <f>(OPTI4_UPI_OOS[[#This Row], [RECOVERY]]-L$74)/ABS(L$74)</f>
      </c>
      <c r="T37" s="21">
        <f>(OPTI4_UPI_OOS[[#This Row], [ROB]]-O$74)/ABS(O$74)</f>
      </c>
      <c r="U37" s="21">
        <f>SUM(OPTI4_UPI_OOS[[#This Row], [VAR NET PROFIT]:[VAR ROB]])</f>
      </c>
      <c r="V37" s="21">
        <f>OPTI4_UPI_OOS[[#This Row], [SUMA]]-OPTI4_UPI_OOS[[#This Row], [VAR ROB]]</f>
      </c>
    </row>
    <row x14ac:dyDescent="0.25" r="38" customHeight="1" ht="18.75">
      <c r="A38" s="21"/>
      <c r="B38" s="36">
        <v>37144.77</v>
      </c>
      <c r="C38" s="36">
        <v>193467.81</v>
      </c>
      <c r="D38" s="36">
        <v>-156323.04</v>
      </c>
      <c r="E38" s="37">
        <v>1697</v>
      </c>
      <c r="F38" s="38">
        <v>36.7118444313494</v>
      </c>
      <c r="G38" s="39">
        <v>623</v>
      </c>
      <c r="H38" s="39">
        <v>1074</v>
      </c>
      <c r="I38" s="36">
        <v>-54497.72</v>
      </c>
      <c r="J38" s="40">
        <v>0.0758865144803199</v>
      </c>
      <c r="K38" s="40">
        <v>0.278450477332617</v>
      </c>
      <c r="L38" s="38">
        <f>-OPTI4_UPI_OOS[[#This Row], [Net Profit]]/OPTI4_UPI_OOS[[#This Row], [Max Intraday Drawdown]]</f>
      </c>
      <c r="M38" s="41">
        <v>0</v>
      </c>
      <c r="N38" s="38">
        <v>0.11</v>
      </c>
      <c r="O38" s="42">
        <v>0.9917184527486009</v>
      </c>
      <c r="P38" s="21">
        <f>(OPTI4_UPI_OOS[[#This Row], [Net Profit]]-B$74)/ABS(B$74)</f>
      </c>
      <c r="Q38" s="21">
        <f>(OPTI4_UPI_OOS[[#This Row], [UPI]]-J$74)/ABS(J$74)</f>
      </c>
      <c r="R38" s="21">
        <f>(OPTI4_UPI_OOS[[#This Row], [SORTINO AJUSTADO]]-K$74)/ABS(K$74)</f>
      </c>
      <c r="S38" s="21">
        <f>(OPTI4_UPI_OOS[[#This Row], [RECOVERY]]-L$74)/ABS(L$74)</f>
      </c>
      <c r="T38" s="21">
        <f>(OPTI4_UPI_OOS[[#This Row], [ROB]]-O$74)/ABS(O$74)</f>
      </c>
      <c r="U38" s="21">
        <f>SUM(OPTI4_UPI_OOS[[#This Row], [VAR NET PROFIT]:[VAR ROB]])</f>
      </c>
      <c r="V38" s="21">
        <f>OPTI4_UPI_OOS[[#This Row], [SUMA]]-OPTI4_UPI_OOS[[#This Row], [VAR ROB]]</f>
      </c>
    </row>
    <row x14ac:dyDescent="0.25" r="39" customHeight="1" ht="18.75">
      <c r="A39" s="21"/>
      <c r="B39" s="36">
        <v>52443.31</v>
      </c>
      <c r="C39" s="36">
        <v>173789.41</v>
      </c>
      <c r="D39" s="36">
        <v>-121346.1</v>
      </c>
      <c r="E39" s="37">
        <v>533</v>
      </c>
      <c r="F39" s="38">
        <v>41.2757973733584</v>
      </c>
      <c r="G39" s="39">
        <v>220</v>
      </c>
      <c r="H39" s="39">
        <v>313</v>
      </c>
      <c r="I39" s="36">
        <v>-111638.02</v>
      </c>
      <c r="J39" s="40">
        <v>0.109524225508168</v>
      </c>
      <c r="K39" s="40">
        <v>0.332195420916532</v>
      </c>
      <c r="L39" s="38">
        <f>-OPTI4_UPI_OOS[[#This Row], [Net Profit]]/OPTI4_UPI_OOS[[#This Row], [Max Intraday Drawdown]]</f>
      </c>
      <c r="M39" s="41">
        <v>0</v>
      </c>
      <c r="N39" s="38">
        <v>0.23</v>
      </c>
      <c r="O39" s="42">
        <v>0.24905645052055322</v>
      </c>
      <c r="P39" s="21">
        <f>(OPTI4_UPI_OOS[[#This Row], [Net Profit]]-B$74)/ABS(B$74)</f>
      </c>
      <c r="Q39" s="21">
        <f>(OPTI4_UPI_OOS[[#This Row], [UPI]]-J$74)/ABS(J$74)</f>
      </c>
      <c r="R39" s="21">
        <f>(OPTI4_UPI_OOS[[#This Row], [SORTINO AJUSTADO]]-K$74)/ABS(K$74)</f>
      </c>
      <c r="S39" s="21">
        <f>(OPTI4_UPI_OOS[[#This Row], [RECOVERY]]-L$74)/ABS(L$74)</f>
      </c>
      <c r="T39" s="21">
        <f>(OPTI4_UPI_OOS[[#This Row], [ROB]]-O$74)/ABS(O$74)</f>
      </c>
      <c r="U39" s="21">
        <f>SUM(OPTI4_UPI_OOS[[#This Row], [VAR NET PROFIT]:[VAR ROB]])</f>
      </c>
      <c r="V39" s="21">
        <f>OPTI4_UPI_OOS[[#This Row], [SUMA]]-OPTI4_UPI_OOS[[#This Row], [VAR ROB]]</f>
      </c>
    </row>
    <row x14ac:dyDescent="0.25" r="40" customHeight="1" ht="18.75">
      <c r="A40" s="21"/>
      <c r="B40" s="36">
        <v>57608.66</v>
      </c>
      <c r="C40" s="36">
        <v>180618.2</v>
      </c>
      <c r="D40" s="36">
        <v>-123009.54</v>
      </c>
      <c r="E40" s="37">
        <v>521</v>
      </c>
      <c r="F40" s="38">
        <v>41.6506717850288</v>
      </c>
      <c r="G40" s="39">
        <v>217</v>
      </c>
      <c r="H40" s="39">
        <v>304</v>
      </c>
      <c r="I40" s="36">
        <v>-120435.77</v>
      </c>
      <c r="J40" s="40">
        <v>0.101332813832814</v>
      </c>
      <c r="K40" s="40">
        <v>0.306090463479463</v>
      </c>
      <c r="L40" s="38">
        <f>-OPTI4_UPI_OOS[[#This Row], [Net Profit]]/OPTI4_UPI_OOS[[#This Row], [Max Intraday Drawdown]]</f>
      </c>
      <c r="M40" s="41">
        <v>1.5</v>
      </c>
      <c r="N40" s="38">
        <v>0.23</v>
      </c>
      <c r="O40" s="42">
        <v>0.270918043386748</v>
      </c>
      <c r="P40" s="21">
        <f>(OPTI4_UPI_OOS[[#This Row], [Net Profit]]-B$74)/ABS(B$74)</f>
      </c>
      <c r="Q40" s="21">
        <f>(OPTI4_UPI_OOS[[#This Row], [UPI]]-J$74)/ABS(J$74)</f>
      </c>
      <c r="R40" s="21">
        <f>(OPTI4_UPI_OOS[[#This Row], [SORTINO AJUSTADO]]-K$74)/ABS(K$74)</f>
      </c>
      <c r="S40" s="21">
        <f>(OPTI4_UPI_OOS[[#This Row], [RECOVERY]]-L$74)/ABS(L$74)</f>
      </c>
      <c r="T40" s="21">
        <f>(OPTI4_UPI_OOS[[#This Row], [ROB]]-O$74)/ABS(O$74)</f>
      </c>
      <c r="U40" s="21">
        <f>SUM(OPTI4_UPI_OOS[[#This Row], [VAR NET PROFIT]:[VAR ROB]])</f>
      </c>
      <c r="V40" s="21">
        <f>OPTI4_UPI_OOS[[#This Row], [SUMA]]-OPTI4_UPI_OOS[[#This Row], [VAR ROB]]</f>
      </c>
    </row>
    <row x14ac:dyDescent="0.25" r="41" customHeight="1" ht="18.75">
      <c r="A41" s="21"/>
      <c r="B41" s="36">
        <v>55291.47</v>
      </c>
      <c r="C41" s="36">
        <v>159704.73</v>
      </c>
      <c r="D41" s="36">
        <v>-104413.26</v>
      </c>
      <c r="E41" s="37">
        <v>450</v>
      </c>
      <c r="F41" s="38">
        <v>43.7777777777778</v>
      </c>
      <c r="G41" s="39">
        <v>197</v>
      </c>
      <c r="H41" s="39">
        <v>253</v>
      </c>
      <c r="I41" s="36">
        <v>-110427</v>
      </c>
      <c r="J41" s="40">
        <v>0.106316520260419</v>
      </c>
      <c r="K41" s="40">
        <v>0.311467909556595</v>
      </c>
      <c r="L41" s="38">
        <f>-OPTI4_UPI_OOS[[#This Row], [Net Profit]]/OPTI4_UPI_OOS[[#This Row], [Max Intraday Drawdown]]</f>
      </c>
      <c r="M41" s="41">
        <v>1</v>
      </c>
      <c r="N41" s="38">
        <v>0.24</v>
      </c>
      <c r="O41" s="42">
        <v>0.22022668791040578</v>
      </c>
      <c r="P41" s="21">
        <f>(OPTI4_UPI_OOS[[#This Row], [Net Profit]]-B$74)/ABS(B$74)</f>
      </c>
      <c r="Q41" s="21">
        <f>(OPTI4_UPI_OOS[[#This Row], [UPI]]-J$74)/ABS(J$74)</f>
      </c>
      <c r="R41" s="21">
        <f>(OPTI4_UPI_OOS[[#This Row], [SORTINO AJUSTADO]]-K$74)/ABS(K$74)</f>
      </c>
      <c r="S41" s="21">
        <f>(OPTI4_UPI_OOS[[#This Row], [RECOVERY]]-L$74)/ABS(L$74)</f>
      </c>
      <c r="T41" s="21">
        <f>(OPTI4_UPI_OOS[[#This Row], [ROB]]-O$74)/ABS(O$74)</f>
      </c>
      <c r="U41" s="21">
        <f>SUM(OPTI4_UPI_OOS[[#This Row], [VAR NET PROFIT]:[VAR ROB]])</f>
      </c>
      <c r="V41" s="21">
        <f>OPTI4_UPI_OOS[[#This Row], [SUMA]]-OPTI4_UPI_OOS[[#This Row], [VAR ROB]]</f>
      </c>
    </row>
    <row x14ac:dyDescent="0.25" r="42" customHeight="1" ht="18.75">
      <c r="A42" s="21"/>
      <c r="B42" s="36">
        <v>29614.81</v>
      </c>
      <c r="C42" s="36">
        <v>175292.17</v>
      </c>
      <c r="D42" s="36">
        <v>-145677.36</v>
      </c>
      <c r="E42" s="37">
        <v>1813</v>
      </c>
      <c r="F42" s="38">
        <v>36.900165471594</v>
      </c>
      <c r="G42" s="39">
        <v>669</v>
      </c>
      <c r="H42" s="39">
        <v>1144</v>
      </c>
      <c r="I42" s="36">
        <v>-42763.72</v>
      </c>
      <c r="J42" s="40">
        <v>0.0774882321845127</v>
      </c>
      <c r="K42" s="40">
        <v>0.257478407198794</v>
      </c>
      <c r="L42" s="38">
        <f>-OPTI4_UPI_OOS[[#This Row], [Net Profit]]/OPTI4_UPI_OOS[[#This Row], [Max Intraday Drawdown]]</f>
      </c>
      <c r="M42" s="41">
        <v>1.5</v>
      </c>
      <c r="N42" s="38">
        <v>0.1</v>
      </c>
      <c r="O42" s="42">
        <v>1.0085783771605488</v>
      </c>
      <c r="P42" s="21">
        <f>(OPTI4_UPI_OOS[[#This Row], [Net Profit]]-B$74)/ABS(B$74)</f>
      </c>
      <c r="Q42" s="21">
        <f>(OPTI4_UPI_OOS[[#This Row], [UPI]]-J$74)/ABS(J$74)</f>
      </c>
      <c r="R42" s="21">
        <f>(OPTI4_UPI_OOS[[#This Row], [SORTINO AJUSTADO]]-K$74)/ABS(K$74)</f>
      </c>
      <c r="S42" s="21">
        <f>(OPTI4_UPI_OOS[[#This Row], [RECOVERY]]-L$74)/ABS(L$74)</f>
      </c>
      <c r="T42" s="21">
        <f>(OPTI4_UPI_OOS[[#This Row], [ROB]]-O$74)/ABS(O$74)</f>
      </c>
      <c r="U42" s="21">
        <f>SUM(OPTI4_UPI_OOS[[#This Row], [VAR NET PROFIT]:[VAR ROB]])</f>
      </c>
      <c r="V42" s="21">
        <f>OPTI4_UPI_OOS[[#This Row], [SUMA]]-OPTI4_UPI_OOS[[#This Row], [VAR ROB]]</f>
      </c>
    </row>
    <row x14ac:dyDescent="0.25" r="43" customHeight="1" ht="18.75">
      <c r="A43" s="21"/>
      <c r="B43" s="36">
        <v>54134.4</v>
      </c>
      <c r="C43" s="36">
        <v>163627.26</v>
      </c>
      <c r="D43" s="36">
        <v>-109492.86</v>
      </c>
      <c r="E43" s="37">
        <v>502</v>
      </c>
      <c r="F43" s="38">
        <v>44.2231075697211</v>
      </c>
      <c r="G43" s="39">
        <v>222</v>
      </c>
      <c r="H43" s="39">
        <v>280</v>
      </c>
      <c r="I43" s="36">
        <v>-109852.67</v>
      </c>
      <c r="J43" s="40">
        <v>0.101733377643202</v>
      </c>
      <c r="K43" s="40">
        <v>0.315039402284604</v>
      </c>
      <c r="L43" s="38">
        <f>-OPTI4_UPI_OOS[[#This Row], [Net Profit]]/OPTI4_UPI_OOS[[#This Row], [Max Intraday Drawdown]]</f>
      </c>
      <c r="M43" s="41">
        <v>1</v>
      </c>
      <c r="N43" s="38">
        <v>0.22</v>
      </c>
      <c r="O43" s="42">
        <v>0.22676013055247946</v>
      </c>
      <c r="P43" s="21">
        <f>(OPTI4_UPI_OOS[[#This Row], [Net Profit]]-B$74)/ABS(B$74)</f>
      </c>
      <c r="Q43" s="21">
        <f>(OPTI4_UPI_OOS[[#This Row], [UPI]]-J$74)/ABS(J$74)</f>
      </c>
      <c r="R43" s="21">
        <f>(OPTI4_UPI_OOS[[#This Row], [SORTINO AJUSTADO]]-K$74)/ABS(K$74)</f>
      </c>
      <c r="S43" s="21">
        <f>(OPTI4_UPI_OOS[[#This Row], [RECOVERY]]-L$74)/ABS(L$74)</f>
      </c>
      <c r="T43" s="21">
        <f>(OPTI4_UPI_OOS[[#This Row], [ROB]]-O$74)/ABS(O$74)</f>
      </c>
      <c r="U43" s="21">
        <f>SUM(OPTI4_UPI_OOS[[#This Row], [VAR NET PROFIT]:[VAR ROB]])</f>
      </c>
      <c r="V43" s="21">
        <f>OPTI4_UPI_OOS[[#This Row], [SUMA]]-OPTI4_UPI_OOS[[#This Row], [VAR ROB]]</f>
      </c>
    </row>
    <row x14ac:dyDescent="0.25" r="44" customHeight="1" ht="18.75">
      <c r="A44" s="21"/>
      <c r="B44" s="36">
        <v>52118.62</v>
      </c>
      <c r="C44" s="36">
        <v>164234.78</v>
      </c>
      <c r="D44" s="36">
        <v>-112116.16</v>
      </c>
      <c r="E44" s="37">
        <v>474</v>
      </c>
      <c r="F44" s="38">
        <v>43.0379746835443</v>
      </c>
      <c r="G44" s="39">
        <v>204</v>
      </c>
      <c r="H44" s="39">
        <v>270</v>
      </c>
      <c r="I44" s="36">
        <v>-113744.03</v>
      </c>
      <c r="J44" s="40">
        <v>0.102773644083323</v>
      </c>
      <c r="K44" s="40">
        <v>0.326355687056784</v>
      </c>
      <c r="L44" s="38">
        <f>-OPTI4_UPI_OOS[[#This Row], [Net Profit]]/OPTI4_UPI_OOS[[#This Row], [Max Intraday Drawdown]]</f>
      </c>
      <c r="M44" s="41">
        <v>1</v>
      </c>
      <c r="N44" s="38">
        <v>0.23</v>
      </c>
      <c r="O44" s="42">
        <v>0.24033095834894042</v>
      </c>
      <c r="P44" s="21">
        <f>(OPTI4_UPI_OOS[[#This Row], [Net Profit]]-B$74)/ABS(B$74)</f>
      </c>
      <c r="Q44" s="21">
        <f>(OPTI4_UPI_OOS[[#This Row], [UPI]]-J$74)/ABS(J$74)</f>
      </c>
      <c r="R44" s="21">
        <f>(OPTI4_UPI_OOS[[#This Row], [SORTINO AJUSTADO]]-K$74)/ABS(K$74)</f>
      </c>
      <c r="S44" s="21">
        <f>(OPTI4_UPI_OOS[[#This Row], [RECOVERY]]-L$74)/ABS(L$74)</f>
      </c>
      <c r="T44" s="21">
        <f>(OPTI4_UPI_OOS[[#This Row], [ROB]]-O$74)/ABS(O$74)</f>
      </c>
      <c r="U44" s="21">
        <f>SUM(OPTI4_UPI_OOS[[#This Row], [VAR NET PROFIT]:[VAR ROB]])</f>
      </c>
      <c r="V44" s="21">
        <f>OPTI4_UPI_OOS[[#This Row], [SUMA]]-OPTI4_UPI_OOS[[#This Row], [VAR ROB]]</f>
      </c>
    </row>
    <row x14ac:dyDescent="0.25" r="45" customHeight="1" ht="18.75">
      <c r="A45" s="21"/>
      <c r="B45" s="36">
        <v>44391.61</v>
      </c>
      <c r="C45" s="36">
        <v>179976.69</v>
      </c>
      <c r="D45" s="36">
        <v>-135585.08</v>
      </c>
      <c r="E45" s="37">
        <v>967</v>
      </c>
      <c r="F45" s="38">
        <v>39.9172699069286</v>
      </c>
      <c r="G45" s="39">
        <v>386</v>
      </c>
      <c r="H45" s="39">
        <v>581</v>
      </c>
      <c r="I45" s="36">
        <v>-75579.5600000001</v>
      </c>
      <c r="J45" s="40">
        <v>0.0951726958372077</v>
      </c>
      <c r="K45" s="40">
        <v>0.309221793887197</v>
      </c>
      <c r="L45" s="38">
        <f>-OPTI4_UPI_OOS[[#This Row], [Net Profit]]/OPTI4_UPI_OOS[[#This Row], [Max Intraday Drawdown]]</f>
      </c>
      <c r="M45" s="41">
        <v>0</v>
      </c>
      <c r="N45" s="38">
        <v>0.16</v>
      </c>
      <c r="O45" s="42">
        <v>0.40587391443805165</v>
      </c>
      <c r="P45" s="21">
        <f>(OPTI4_UPI_OOS[[#This Row], [Net Profit]]-B$74)/ABS(B$74)</f>
      </c>
      <c r="Q45" s="21">
        <f>(OPTI4_UPI_OOS[[#This Row], [UPI]]-J$74)/ABS(J$74)</f>
      </c>
      <c r="R45" s="21">
        <f>(OPTI4_UPI_OOS[[#This Row], [SORTINO AJUSTADO]]-K$74)/ABS(K$74)</f>
      </c>
      <c r="S45" s="21">
        <f>(OPTI4_UPI_OOS[[#This Row], [RECOVERY]]-L$74)/ABS(L$74)</f>
      </c>
      <c r="T45" s="21">
        <f>(OPTI4_UPI_OOS[[#This Row], [ROB]]-O$74)/ABS(O$74)</f>
      </c>
      <c r="U45" s="21">
        <f>SUM(OPTI4_UPI_OOS[[#This Row], [VAR NET PROFIT]:[VAR ROB]])</f>
      </c>
      <c r="V45" s="21">
        <f>OPTI4_UPI_OOS[[#This Row], [SUMA]]-OPTI4_UPI_OOS[[#This Row], [VAR ROB]]</f>
      </c>
    </row>
    <row x14ac:dyDescent="0.25" r="46" customHeight="1" ht="18.75">
      <c r="A46" s="21"/>
      <c r="B46" s="36">
        <v>27207.12</v>
      </c>
      <c r="C46" s="36">
        <v>157445.13</v>
      </c>
      <c r="D46" s="36">
        <v>-130238.01</v>
      </c>
      <c r="E46" s="37">
        <v>1602</v>
      </c>
      <c r="F46" s="38">
        <v>37.5780274656679</v>
      </c>
      <c r="G46" s="39">
        <v>602</v>
      </c>
      <c r="H46" s="39">
        <v>1000</v>
      </c>
      <c r="I46" s="36">
        <v>-41242.51</v>
      </c>
      <c r="J46" s="40">
        <v>0.0711673868950781</v>
      </c>
      <c r="K46" s="40">
        <v>0.268969520561569</v>
      </c>
      <c r="L46" s="38">
        <f>-OPTI4_UPI_OOS[[#This Row], [Net Profit]]/OPTI4_UPI_OOS[[#This Row], [Max Intraday Drawdown]]</f>
      </c>
      <c r="M46" s="41">
        <v>1</v>
      </c>
      <c r="N46" s="38">
        <v>0.1</v>
      </c>
      <c r="O46" s="42">
        <v>1.0548351301119496</v>
      </c>
      <c r="P46" s="21">
        <f>(OPTI4_UPI_OOS[[#This Row], [Net Profit]]-B$74)/ABS(B$74)</f>
      </c>
      <c r="Q46" s="21">
        <f>(OPTI4_UPI_OOS[[#This Row], [UPI]]-J$74)/ABS(J$74)</f>
      </c>
      <c r="R46" s="21">
        <f>(OPTI4_UPI_OOS[[#This Row], [SORTINO AJUSTADO]]-K$74)/ABS(K$74)</f>
      </c>
      <c r="S46" s="21">
        <f>(OPTI4_UPI_OOS[[#This Row], [RECOVERY]]-L$74)/ABS(L$74)</f>
      </c>
      <c r="T46" s="21">
        <f>(OPTI4_UPI_OOS[[#This Row], [ROB]]-O$74)/ABS(O$74)</f>
      </c>
      <c r="U46" s="21">
        <f>SUM(OPTI4_UPI_OOS[[#This Row], [VAR NET PROFIT]:[VAR ROB]])</f>
      </c>
      <c r="V46" s="21">
        <f>OPTI4_UPI_OOS[[#This Row], [SUMA]]-OPTI4_UPI_OOS[[#This Row], [VAR ROB]]</f>
      </c>
    </row>
    <row x14ac:dyDescent="0.25" r="47" customHeight="1" ht="18.75">
      <c r="A47" s="21"/>
      <c r="B47" s="36">
        <v>34234.61</v>
      </c>
      <c r="C47" s="36">
        <v>91617.36</v>
      </c>
      <c r="D47" s="36">
        <v>-57382.75</v>
      </c>
      <c r="E47" s="37">
        <v>356</v>
      </c>
      <c r="F47" s="38">
        <v>43.5393258426966</v>
      </c>
      <c r="G47" s="39">
        <v>155</v>
      </c>
      <c r="H47" s="39">
        <v>201</v>
      </c>
      <c r="I47" s="36">
        <v>-42484.5900000001</v>
      </c>
      <c r="J47" s="40">
        <v>0.0888786698423878</v>
      </c>
      <c r="K47" s="40">
        <v>0.288366091831726</v>
      </c>
      <c r="L47" s="38">
        <f>-OPTI4_UPI_OOS[[#This Row], [Net Profit]]/OPTI4_UPI_OOS[[#This Row], [Max Intraday Drawdown]]</f>
      </c>
      <c r="M47" s="41">
        <v>0.5</v>
      </c>
      <c r="N47" s="38">
        <v>0.16</v>
      </c>
      <c r="O47" s="42">
        <v>0.41740479519996254</v>
      </c>
      <c r="P47" s="21">
        <f>(OPTI4_UPI_OOS[[#This Row], [Net Profit]]-B$74)/ABS(B$74)</f>
      </c>
      <c r="Q47" s="21">
        <f>(OPTI4_UPI_OOS[[#This Row], [UPI]]-J$74)/ABS(J$74)</f>
      </c>
      <c r="R47" s="21">
        <f>(OPTI4_UPI_OOS[[#This Row], [SORTINO AJUSTADO]]-K$74)/ABS(K$74)</f>
      </c>
      <c r="S47" s="21">
        <f>(OPTI4_UPI_OOS[[#This Row], [RECOVERY]]-L$74)/ABS(L$74)</f>
      </c>
      <c r="T47" s="21">
        <f>(OPTI4_UPI_OOS[[#This Row], [ROB]]-O$74)/ABS(O$74)</f>
      </c>
      <c r="U47" s="21">
        <f>SUM(OPTI4_UPI_OOS[[#This Row], [VAR NET PROFIT]:[VAR ROB]])</f>
      </c>
      <c r="V47" s="21">
        <f>OPTI4_UPI_OOS[[#This Row], [SUMA]]-OPTI4_UPI_OOS[[#This Row], [VAR ROB]]</f>
      </c>
    </row>
    <row x14ac:dyDescent="0.25" r="48" customHeight="1" ht="18.75">
      <c r="A48" s="21"/>
      <c r="B48" s="36">
        <v>46797.07</v>
      </c>
      <c r="C48" s="36">
        <v>98940.67</v>
      </c>
      <c r="D48" s="36">
        <v>-52143.6</v>
      </c>
      <c r="E48" s="37">
        <v>239</v>
      </c>
      <c r="F48" s="38">
        <v>48.9539748953975</v>
      </c>
      <c r="G48" s="39">
        <v>117</v>
      </c>
      <c r="H48" s="39">
        <v>122</v>
      </c>
      <c r="I48" s="36">
        <v>-69003.28</v>
      </c>
      <c r="J48" s="40">
        <v>0.0887855095513028</v>
      </c>
      <c r="K48" s="40">
        <v>0.241096413378866</v>
      </c>
      <c r="L48" s="38">
        <f>-OPTI4_UPI_OOS[[#This Row], [Net Profit]]/OPTI4_UPI_OOS[[#This Row], [Max Intraday Drawdown]]</f>
      </c>
      <c r="M48" s="41">
        <v>0.5</v>
      </c>
      <c r="N48" s="38">
        <v>0.24</v>
      </c>
      <c r="O48" s="42">
        <v>0.3125557488178263</v>
      </c>
      <c r="P48" s="21">
        <f>(OPTI4_UPI_OOS[[#This Row], [Net Profit]]-B$74)/ABS(B$74)</f>
      </c>
      <c r="Q48" s="21">
        <f>(OPTI4_UPI_OOS[[#This Row], [UPI]]-J$74)/ABS(J$74)</f>
      </c>
      <c r="R48" s="21">
        <f>(OPTI4_UPI_OOS[[#This Row], [SORTINO AJUSTADO]]-K$74)/ABS(K$74)</f>
      </c>
      <c r="S48" s="21">
        <f>(OPTI4_UPI_OOS[[#This Row], [RECOVERY]]-L$74)/ABS(L$74)</f>
      </c>
      <c r="T48" s="21">
        <f>(OPTI4_UPI_OOS[[#This Row], [ROB]]-O$74)/ABS(O$74)</f>
      </c>
      <c r="U48" s="21">
        <f>SUM(OPTI4_UPI_OOS[[#This Row], [VAR NET PROFIT]:[VAR ROB]])</f>
      </c>
      <c r="V48" s="21">
        <f>OPTI4_UPI_OOS[[#This Row], [SUMA]]-OPTI4_UPI_OOS[[#This Row], [VAR ROB]]</f>
      </c>
    </row>
    <row x14ac:dyDescent="0.25" r="49" customHeight="1" ht="18.75">
      <c r="A49" s="21"/>
      <c r="B49" s="36">
        <v>35698.57</v>
      </c>
      <c r="C49" s="36">
        <v>95366.68</v>
      </c>
      <c r="D49" s="36">
        <v>-59668.11</v>
      </c>
      <c r="E49" s="37">
        <v>332</v>
      </c>
      <c r="F49" s="38">
        <v>44.8795180722892</v>
      </c>
      <c r="G49" s="39">
        <v>149</v>
      </c>
      <c r="H49" s="39">
        <v>183</v>
      </c>
      <c r="I49" s="36">
        <v>-49032.3499999999</v>
      </c>
      <c r="J49" s="40">
        <v>0.0874941860064904</v>
      </c>
      <c r="K49" s="40">
        <v>0.285942683204847</v>
      </c>
      <c r="L49" s="38">
        <f>-OPTI4_UPI_OOS[[#This Row], [Net Profit]]/OPTI4_UPI_OOS[[#This Row], [Max Intraday Drawdown]]</f>
      </c>
      <c r="M49" s="41">
        <v>0.5</v>
      </c>
      <c r="N49" s="38">
        <v>0.18</v>
      </c>
      <c r="O49" s="42">
        <v>0.33632118430705504</v>
      </c>
      <c r="P49" s="21">
        <f>(OPTI4_UPI_OOS[[#This Row], [Net Profit]]-B$74)/ABS(B$74)</f>
      </c>
      <c r="Q49" s="21">
        <f>(OPTI4_UPI_OOS[[#This Row], [UPI]]-J$74)/ABS(J$74)</f>
      </c>
      <c r="R49" s="21">
        <f>(OPTI4_UPI_OOS[[#This Row], [SORTINO AJUSTADO]]-K$74)/ABS(K$74)</f>
      </c>
      <c r="S49" s="21">
        <f>(OPTI4_UPI_OOS[[#This Row], [RECOVERY]]-L$74)/ABS(L$74)</f>
      </c>
      <c r="T49" s="21">
        <f>(OPTI4_UPI_OOS[[#This Row], [ROB]]-O$74)/ABS(O$74)</f>
      </c>
      <c r="U49" s="21">
        <f>SUM(OPTI4_UPI_OOS[[#This Row], [VAR NET PROFIT]:[VAR ROB]])</f>
      </c>
      <c r="V49" s="21">
        <f>OPTI4_UPI_OOS[[#This Row], [SUMA]]-OPTI4_UPI_OOS[[#This Row], [VAR ROB]]</f>
      </c>
    </row>
    <row x14ac:dyDescent="0.25" r="50" customHeight="1" ht="18.75">
      <c r="A50" s="21"/>
      <c r="B50" s="36">
        <v>34603.76</v>
      </c>
      <c r="C50" s="36">
        <v>92875.37</v>
      </c>
      <c r="D50" s="36">
        <v>-58271.61</v>
      </c>
      <c r="E50" s="37">
        <v>347</v>
      </c>
      <c r="F50" s="38">
        <v>44.6685878962536</v>
      </c>
      <c r="G50" s="39">
        <v>155</v>
      </c>
      <c r="H50" s="39">
        <v>192</v>
      </c>
      <c r="I50" s="36">
        <v>-46151.51</v>
      </c>
      <c r="J50" s="40">
        <v>0.0856184321906505</v>
      </c>
      <c r="K50" s="40">
        <v>0.276719402540792</v>
      </c>
      <c r="L50" s="38">
        <f>-OPTI4_UPI_OOS[[#This Row], [Net Profit]]/OPTI4_UPI_OOS[[#This Row], [Max Intraday Drawdown]]</f>
      </c>
      <c r="M50" s="41">
        <v>0.5</v>
      </c>
      <c r="N50" s="38">
        <v>0.17</v>
      </c>
      <c r="O50" s="42">
        <v>0.3853067538524451</v>
      </c>
      <c r="P50" s="21">
        <f>(OPTI4_UPI_OOS[[#This Row], [Net Profit]]-B$74)/ABS(B$74)</f>
      </c>
      <c r="Q50" s="21">
        <f>(OPTI4_UPI_OOS[[#This Row], [UPI]]-J$74)/ABS(J$74)</f>
      </c>
      <c r="R50" s="21">
        <f>(OPTI4_UPI_OOS[[#This Row], [SORTINO AJUSTADO]]-K$74)/ABS(K$74)</f>
      </c>
      <c r="S50" s="21">
        <f>(OPTI4_UPI_OOS[[#This Row], [RECOVERY]]-L$74)/ABS(L$74)</f>
      </c>
      <c r="T50" s="21">
        <f>(OPTI4_UPI_OOS[[#This Row], [ROB]]-O$74)/ABS(O$74)</f>
      </c>
      <c r="U50" s="21">
        <f>SUM(OPTI4_UPI_OOS[[#This Row], [VAR NET PROFIT]:[VAR ROB]])</f>
      </c>
      <c r="V50" s="21">
        <f>OPTI4_UPI_OOS[[#This Row], [SUMA]]-OPTI4_UPI_OOS[[#This Row], [VAR ROB]]</f>
      </c>
    </row>
    <row x14ac:dyDescent="0.25" r="51" customHeight="1" ht="18.75">
      <c r="A51" s="21"/>
      <c r="B51" s="36">
        <v>17496.54</v>
      </c>
      <c r="C51" s="36">
        <v>69224.57</v>
      </c>
      <c r="D51" s="36">
        <v>-51728.03</v>
      </c>
      <c r="E51" s="37">
        <v>434</v>
      </c>
      <c r="F51" s="38">
        <v>37.3271889400922</v>
      </c>
      <c r="G51" s="39">
        <v>162</v>
      </c>
      <c r="H51" s="39">
        <v>272</v>
      </c>
      <c r="I51" s="36">
        <v>-12104.65</v>
      </c>
      <c r="J51" s="40">
        <v>0.0661461084345543</v>
      </c>
      <c r="K51" s="40">
        <v>0.256707129393324</v>
      </c>
      <c r="L51" s="38">
        <f>-OPTI4_UPI_OOS[[#This Row], [Net Profit]]/OPTI4_UPI_OOS[[#This Row], [Max Intraday Drawdown]]</f>
      </c>
      <c r="M51" s="41">
        <v>0.5</v>
      </c>
      <c r="N51" s="38">
        <v>0.12</v>
      </c>
      <c r="O51" s="42">
        <v>0.42182509701984766</v>
      </c>
      <c r="P51" s="21">
        <f>(OPTI4_UPI_OOS[[#This Row], [Net Profit]]-B$74)/ABS(B$74)</f>
      </c>
      <c r="Q51" s="21">
        <f>(OPTI4_UPI_OOS[[#This Row], [UPI]]-J$74)/ABS(J$74)</f>
      </c>
      <c r="R51" s="21">
        <f>(OPTI4_UPI_OOS[[#This Row], [SORTINO AJUSTADO]]-K$74)/ABS(K$74)</f>
      </c>
      <c r="S51" s="21">
        <f>(OPTI4_UPI_OOS[[#This Row], [RECOVERY]]-L$74)/ABS(L$74)</f>
      </c>
      <c r="T51" s="21">
        <f>(OPTI4_UPI_OOS[[#This Row], [ROB]]-O$74)/ABS(O$74)</f>
      </c>
      <c r="U51" s="21">
        <f>SUM(OPTI4_UPI_OOS[[#This Row], [VAR NET PROFIT]:[VAR ROB]])</f>
      </c>
      <c r="V51" s="21">
        <f>OPTI4_UPI_OOS[[#This Row], [SUMA]]-OPTI4_UPI_OOS[[#This Row], [VAR ROB]]</f>
      </c>
    </row>
    <row x14ac:dyDescent="0.25" r="52" customHeight="1" ht="18.75">
      <c r="A52" s="21"/>
      <c r="B52" s="36">
        <v>28010.95</v>
      </c>
      <c r="C52" s="36">
        <v>84844.66</v>
      </c>
      <c r="D52" s="36">
        <v>-56833.71</v>
      </c>
      <c r="E52" s="37">
        <v>380</v>
      </c>
      <c r="F52" s="38">
        <v>42.1052631578947</v>
      </c>
      <c r="G52" s="39">
        <v>160</v>
      </c>
      <c r="H52" s="39">
        <v>220</v>
      </c>
      <c r="I52" s="36">
        <v>-36858.36</v>
      </c>
      <c r="J52" s="40">
        <v>0.0788026573022595</v>
      </c>
      <c r="K52" s="40">
        <v>0.268610599343522</v>
      </c>
      <c r="L52" s="38">
        <f>-OPTI4_UPI_OOS[[#This Row], [Net Profit]]/OPTI4_UPI_OOS[[#This Row], [Max Intraday Drawdown]]</f>
      </c>
      <c r="M52" s="41">
        <v>0.5</v>
      </c>
      <c r="N52" s="38">
        <v>0.15</v>
      </c>
      <c r="O52" s="42">
        <v>0.4213273516819357</v>
      </c>
      <c r="P52" s="21">
        <f>(OPTI4_UPI_OOS[[#This Row], [Net Profit]]-B$74)/ABS(B$74)</f>
      </c>
      <c r="Q52" s="21">
        <f>(OPTI4_UPI_OOS[[#This Row], [UPI]]-J$74)/ABS(J$74)</f>
      </c>
      <c r="R52" s="21">
        <f>(OPTI4_UPI_OOS[[#This Row], [SORTINO AJUSTADO]]-K$74)/ABS(K$74)</f>
      </c>
      <c r="S52" s="21">
        <f>(OPTI4_UPI_OOS[[#This Row], [RECOVERY]]-L$74)/ABS(L$74)</f>
      </c>
      <c r="T52" s="21">
        <f>(OPTI4_UPI_OOS[[#This Row], [ROB]]-O$74)/ABS(O$74)</f>
      </c>
      <c r="U52" s="21">
        <f>SUM(OPTI4_UPI_OOS[[#This Row], [VAR NET PROFIT]:[VAR ROB]])</f>
      </c>
      <c r="V52" s="21">
        <f>OPTI4_UPI_OOS[[#This Row], [SUMA]]-OPTI4_UPI_OOS[[#This Row], [VAR ROB]]</f>
      </c>
    </row>
    <row x14ac:dyDescent="0.25" r="53" customHeight="1" ht="18.75">
      <c r="A53" s="21"/>
      <c r="B53" s="36">
        <v>34213.49</v>
      </c>
      <c r="C53" s="36">
        <v>92492.99</v>
      </c>
      <c r="D53" s="36">
        <v>-58279.5</v>
      </c>
      <c r="E53" s="37">
        <v>313</v>
      </c>
      <c r="F53" s="38">
        <v>46.0063897763578</v>
      </c>
      <c r="G53" s="39">
        <v>144</v>
      </c>
      <c r="H53" s="39">
        <v>169</v>
      </c>
      <c r="I53" s="36">
        <v>-50455.2500000001</v>
      </c>
      <c r="J53" s="40">
        <v>0.0837045412522929</v>
      </c>
      <c r="K53" s="40">
        <v>0.266404104711594</v>
      </c>
      <c r="L53" s="38">
        <f>-OPTI4_UPI_OOS[[#This Row], [Net Profit]]/OPTI4_UPI_OOS[[#This Row], [Max Intraday Drawdown]]</f>
      </c>
      <c r="M53" s="41">
        <v>0.5</v>
      </c>
      <c r="N53" s="38">
        <v>0.19</v>
      </c>
      <c r="O53" s="42">
        <v>0.28646012112708824</v>
      </c>
      <c r="P53" s="21">
        <f>(OPTI4_UPI_OOS[[#This Row], [Net Profit]]-B$74)/ABS(B$74)</f>
      </c>
      <c r="Q53" s="21">
        <f>(OPTI4_UPI_OOS[[#This Row], [UPI]]-J$74)/ABS(J$74)</f>
      </c>
      <c r="R53" s="21">
        <f>(OPTI4_UPI_OOS[[#This Row], [SORTINO AJUSTADO]]-K$74)/ABS(K$74)</f>
      </c>
      <c r="S53" s="21">
        <f>(OPTI4_UPI_OOS[[#This Row], [RECOVERY]]-L$74)/ABS(L$74)</f>
      </c>
      <c r="T53" s="21">
        <f>(OPTI4_UPI_OOS[[#This Row], [ROB]]-O$74)/ABS(O$74)</f>
      </c>
      <c r="U53" s="21">
        <f>SUM(OPTI4_UPI_OOS[[#This Row], [VAR NET PROFIT]:[VAR ROB]])</f>
      </c>
      <c r="V53" s="21">
        <f>OPTI4_UPI_OOS[[#This Row], [SUMA]]-OPTI4_UPI_OOS[[#This Row], [VAR ROB]]</f>
      </c>
    </row>
    <row x14ac:dyDescent="0.25" r="54" customHeight="1" ht="18.75">
      <c r="A54" s="21"/>
      <c r="B54" s="36">
        <v>14059.18</v>
      </c>
      <c r="C54" s="36">
        <v>63532.68</v>
      </c>
      <c r="D54" s="36">
        <v>-49473.5</v>
      </c>
      <c r="E54" s="37">
        <v>462</v>
      </c>
      <c r="F54" s="38">
        <v>38.7445887445887</v>
      </c>
      <c r="G54" s="39">
        <v>179</v>
      </c>
      <c r="H54" s="39">
        <v>283</v>
      </c>
      <c r="I54" s="36">
        <v>-11973.3</v>
      </c>
      <c r="J54" s="40">
        <v>0.0571508658585821</v>
      </c>
      <c r="K54" s="40">
        <v>0.238777037363361</v>
      </c>
      <c r="L54" s="38">
        <f>-OPTI4_UPI_OOS[[#This Row], [Net Profit]]/OPTI4_UPI_OOS[[#This Row], [Max Intraday Drawdown]]</f>
      </c>
      <c r="M54" s="41">
        <v>0.5</v>
      </c>
      <c r="N54" s="38">
        <v>0.11</v>
      </c>
      <c r="O54" s="42">
        <v>0.5870798709550799</v>
      </c>
      <c r="P54" s="21">
        <f>(OPTI4_UPI_OOS[[#This Row], [Net Profit]]-B$74)/ABS(B$74)</f>
      </c>
      <c r="Q54" s="21">
        <f>(OPTI4_UPI_OOS[[#This Row], [UPI]]-J$74)/ABS(J$74)</f>
      </c>
      <c r="R54" s="21">
        <f>(OPTI4_UPI_OOS[[#This Row], [SORTINO AJUSTADO]]-K$74)/ABS(K$74)</f>
      </c>
      <c r="S54" s="21">
        <f>(OPTI4_UPI_OOS[[#This Row], [RECOVERY]]-L$74)/ABS(L$74)</f>
      </c>
      <c r="T54" s="21">
        <f>(OPTI4_UPI_OOS[[#This Row], [ROB]]-O$74)/ABS(O$74)</f>
      </c>
      <c r="U54" s="21">
        <f>SUM(OPTI4_UPI_OOS[[#This Row], [VAR NET PROFIT]:[VAR ROB]])</f>
      </c>
      <c r="V54" s="21">
        <f>OPTI4_UPI_OOS[[#This Row], [SUMA]]-OPTI4_UPI_OOS[[#This Row], [VAR ROB]]</f>
      </c>
    </row>
    <row x14ac:dyDescent="0.25" r="55" customHeight="1" ht="18.75">
      <c r="A55" s="21"/>
      <c r="B55" s="36">
        <v>35228.98</v>
      </c>
      <c r="C55" s="36">
        <v>94351.33</v>
      </c>
      <c r="D55" s="36">
        <v>-59122.35</v>
      </c>
      <c r="E55" s="37">
        <v>301</v>
      </c>
      <c r="F55" s="38">
        <v>45.8471760797342</v>
      </c>
      <c r="G55" s="39">
        <v>138</v>
      </c>
      <c r="H55" s="39">
        <v>163</v>
      </c>
      <c r="I55" s="36">
        <v>-54973.6</v>
      </c>
      <c r="J55" s="40">
        <v>0.0806633324522027</v>
      </c>
      <c r="K55" s="40">
        <v>0.26449468668943</v>
      </c>
      <c r="L55" s="38">
        <f>-OPTI4_UPI_OOS[[#This Row], [Net Profit]]/OPTI4_UPI_OOS[[#This Row], [Max Intraday Drawdown]]</f>
      </c>
      <c r="M55" s="41">
        <v>0.5</v>
      </c>
      <c r="N55" s="38">
        <v>0.2</v>
      </c>
      <c r="O55" s="42">
        <v>0.2568365799357989</v>
      </c>
      <c r="P55" s="21">
        <f>(OPTI4_UPI_OOS[[#This Row], [Net Profit]]-B$74)/ABS(B$74)</f>
      </c>
      <c r="Q55" s="21">
        <f>(OPTI4_UPI_OOS[[#This Row], [UPI]]-J$74)/ABS(J$74)</f>
      </c>
      <c r="R55" s="21">
        <f>(OPTI4_UPI_OOS[[#This Row], [SORTINO AJUSTADO]]-K$74)/ABS(K$74)</f>
      </c>
      <c r="S55" s="21">
        <f>(OPTI4_UPI_OOS[[#This Row], [RECOVERY]]-L$74)/ABS(L$74)</f>
      </c>
      <c r="T55" s="21">
        <f>(OPTI4_UPI_OOS[[#This Row], [ROB]]-O$74)/ABS(O$74)</f>
      </c>
      <c r="U55" s="21">
        <f>SUM(OPTI4_UPI_OOS[[#This Row], [VAR NET PROFIT]:[VAR ROB]])</f>
      </c>
      <c r="V55" s="21">
        <f>OPTI4_UPI_OOS[[#This Row], [SUMA]]-OPTI4_UPI_OOS[[#This Row], [VAR ROB]]</f>
      </c>
    </row>
    <row x14ac:dyDescent="0.25" r="56" customHeight="1" ht="18.75">
      <c r="A56" s="21"/>
      <c r="B56" s="36">
        <v>39040.38</v>
      </c>
      <c r="C56" s="36">
        <v>96780.61</v>
      </c>
      <c r="D56" s="36">
        <v>-57740.23</v>
      </c>
      <c r="E56" s="37">
        <v>253</v>
      </c>
      <c r="F56" s="38">
        <v>46.6403162055336</v>
      </c>
      <c r="G56" s="39">
        <v>118</v>
      </c>
      <c r="H56" s="39">
        <v>135</v>
      </c>
      <c r="I56" s="36">
        <v>-69139</v>
      </c>
      <c r="J56" s="40">
        <v>0.0825357365077681</v>
      </c>
      <c r="K56" s="40">
        <v>0.244672109239336</v>
      </c>
      <c r="L56" s="38">
        <f>-OPTI4_UPI_OOS[[#This Row], [Net Profit]]/OPTI4_UPI_OOS[[#This Row], [Max Intraday Drawdown]]</f>
      </c>
      <c r="M56" s="41">
        <v>0.5</v>
      </c>
      <c r="N56" s="38">
        <v>0.23</v>
      </c>
      <c r="O56" s="42">
        <v>0.2553235409206898</v>
      </c>
      <c r="P56" s="21">
        <f>(OPTI4_UPI_OOS[[#This Row], [Net Profit]]-B$74)/ABS(B$74)</f>
      </c>
      <c r="Q56" s="21">
        <f>(OPTI4_UPI_OOS[[#This Row], [UPI]]-J$74)/ABS(J$74)</f>
      </c>
      <c r="R56" s="21">
        <f>(OPTI4_UPI_OOS[[#This Row], [SORTINO AJUSTADO]]-K$74)/ABS(K$74)</f>
      </c>
      <c r="S56" s="21">
        <f>(OPTI4_UPI_OOS[[#This Row], [RECOVERY]]-L$74)/ABS(L$74)</f>
      </c>
      <c r="T56" s="21">
        <f>(OPTI4_UPI_OOS[[#This Row], [ROB]]-O$74)/ABS(O$74)</f>
      </c>
      <c r="U56" s="21">
        <f>SUM(OPTI4_UPI_OOS[[#This Row], [VAR NET PROFIT]:[VAR ROB]])</f>
      </c>
      <c r="V56" s="21">
        <f>OPTI4_UPI_OOS[[#This Row], [SUMA]]-OPTI4_UPI_OOS[[#This Row], [VAR ROB]]</f>
      </c>
    </row>
    <row x14ac:dyDescent="0.25" r="57" customHeight="1" ht="18.75">
      <c r="A57" s="21"/>
      <c r="B57" s="36">
        <v>23772.84</v>
      </c>
      <c r="C57" s="36">
        <v>79418.17</v>
      </c>
      <c r="D57" s="36">
        <v>-55645.33</v>
      </c>
      <c r="E57" s="37">
        <v>395</v>
      </c>
      <c r="F57" s="38">
        <v>40</v>
      </c>
      <c r="G57" s="39">
        <v>158</v>
      </c>
      <c r="H57" s="39">
        <v>237</v>
      </c>
      <c r="I57" s="36">
        <v>-33578.32</v>
      </c>
      <c r="J57" s="40">
        <v>0.0723152111665611</v>
      </c>
      <c r="K57" s="40">
        <v>0.265057867653832</v>
      </c>
      <c r="L57" s="38">
        <f>-OPTI4_UPI_OOS[[#This Row], [Net Profit]]/OPTI4_UPI_OOS[[#This Row], [Max Intraday Drawdown]]</f>
      </c>
      <c r="M57" s="41">
        <v>0.5</v>
      </c>
      <c r="N57" s="38">
        <v>0.14</v>
      </c>
      <c r="O57" s="42">
        <v>0.4397227038087859</v>
      </c>
      <c r="P57" s="21">
        <f>(OPTI4_UPI_OOS[[#This Row], [Net Profit]]-B$74)/ABS(B$74)</f>
      </c>
      <c r="Q57" s="21">
        <f>(OPTI4_UPI_OOS[[#This Row], [UPI]]-J$74)/ABS(J$74)</f>
      </c>
      <c r="R57" s="21">
        <f>(OPTI4_UPI_OOS[[#This Row], [SORTINO AJUSTADO]]-K$74)/ABS(K$74)</f>
      </c>
      <c r="S57" s="21">
        <f>(OPTI4_UPI_OOS[[#This Row], [RECOVERY]]-L$74)/ABS(L$74)</f>
      </c>
      <c r="T57" s="21">
        <f>(OPTI4_UPI_OOS[[#This Row], [ROB]]-O$74)/ABS(O$74)</f>
      </c>
      <c r="U57" s="21">
        <f>SUM(OPTI4_UPI_OOS[[#This Row], [VAR NET PROFIT]:[VAR ROB]])</f>
      </c>
      <c r="V57" s="21">
        <f>OPTI4_UPI_OOS[[#This Row], [SUMA]]-OPTI4_UPI_OOS[[#This Row], [VAR ROB]]</f>
      </c>
    </row>
    <row x14ac:dyDescent="0.25" r="58" customHeight="1" ht="18.75">
      <c r="A58" s="21"/>
      <c r="B58" s="36">
        <v>36162.68</v>
      </c>
      <c r="C58" s="36">
        <v>96079.7</v>
      </c>
      <c r="D58" s="36">
        <v>-59917.02</v>
      </c>
      <c r="E58" s="37">
        <v>268</v>
      </c>
      <c r="F58" s="38">
        <v>45.1492537313433</v>
      </c>
      <c r="G58" s="39">
        <v>121</v>
      </c>
      <c r="H58" s="39">
        <v>147</v>
      </c>
      <c r="I58" s="36">
        <v>-67265.6900000001</v>
      </c>
      <c r="J58" s="40">
        <v>0.080203672695144</v>
      </c>
      <c r="K58" s="40">
        <v>0.258313455927801</v>
      </c>
      <c r="L58" s="38">
        <f>-OPTI4_UPI_OOS[[#This Row], [Net Profit]]/OPTI4_UPI_OOS[[#This Row], [Max Intraday Drawdown]]</f>
      </c>
      <c r="M58" s="41">
        <v>0.5</v>
      </c>
      <c r="N58" s="38">
        <v>0.22</v>
      </c>
      <c r="O58" s="42">
        <v>0.24489225603433848</v>
      </c>
      <c r="P58" s="21">
        <f>(OPTI4_UPI_OOS[[#This Row], [Net Profit]]-B$74)/ABS(B$74)</f>
      </c>
      <c r="Q58" s="21">
        <f>(OPTI4_UPI_OOS[[#This Row], [UPI]]-J$74)/ABS(J$74)</f>
      </c>
      <c r="R58" s="21">
        <f>(OPTI4_UPI_OOS[[#This Row], [SORTINO AJUSTADO]]-K$74)/ABS(K$74)</f>
      </c>
      <c r="S58" s="21">
        <f>(OPTI4_UPI_OOS[[#This Row], [RECOVERY]]-L$74)/ABS(L$74)</f>
      </c>
      <c r="T58" s="21">
        <f>(OPTI4_UPI_OOS[[#This Row], [ROB]]-O$74)/ABS(O$74)</f>
      </c>
      <c r="U58" s="21">
        <f>SUM(OPTI4_UPI_OOS[[#This Row], [VAR NET PROFIT]:[VAR ROB]])</f>
      </c>
      <c r="V58" s="21">
        <f>OPTI4_UPI_OOS[[#This Row], [SUMA]]-OPTI4_UPI_OOS[[#This Row], [VAR ROB]]</f>
      </c>
    </row>
    <row x14ac:dyDescent="0.25" r="59" customHeight="1" ht="18.75">
      <c r="A59" s="21"/>
      <c r="B59" s="36">
        <v>32438.66</v>
      </c>
      <c r="C59" s="36">
        <v>91781.42</v>
      </c>
      <c r="D59" s="36">
        <v>-59342.76</v>
      </c>
      <c r="E59" s="37">
        <v>282</v>
      </c>
      <c r="F59" s="38">
        <v>45.0354609929078</v>
      </c>
      <c r="G59" s="39">
        <v>127</v>
      </c>
      <c r="H59" s="39">
        <v>155</v>
      </c>
      <c r="I59" s="36">
        <v>-59378.25</v>
      </c>
      <c r="J59" s="40">
        <v>0.0801301835520484</v>
      </c>
      <c r="K59" s="40">
        <v>0.261044299386532</v>
      </c>
      <c r="L59" s="38">
        <f>-OPTI4_UPI_OOS[[#This Row], [Net Profit]]/OPTI4_UPI_OOS[[#This Row], [Max Intraday Drawdown]]</f>
      </c>
      <c r="M59" s="41">
        <v>0.5</v>
      </c>
      <c r="N59" s="38">
        <v>0.21</v>
      </c>
      <c r="O59" s="42">
        <v>0.22900400119830064</v>
      </c>
      <c r="P59" s="21">
        <f>(OPTI4_UPI_OOS[[#This Row], [Net Profit]]-B$74)/ABS(B$74)</f>
      </c>
      <c r="Q59" s="21">
        <f>(OPTI4_UPI_OOS[[#This Row], [UPI]]-J$74)/ABS(J$74)</f>
      </c>
      <c r="R59" s="21">
        <f>(OPTI4_UPI_OOS[[#This Row], [SORTINO AJUSTADO]]-K$74)/ABS(K$74)</f>
      </c>
      <c r="S59" s="21">
        <f>(OPTI4_UPI_OOS[[#This Row], [RECOVERY]]-L$74)/ABS(L$74)</f>
      </c>
      <c r="T59" s="21">
        <f>(OPTI4_UPI_OOS[[#This Row], [ROB]]-O$74)/ABS(O$74)</f>
      </c>
      <c r="U59" s="21">
        <f>SUM(OPTI4_UPI_OOS[[#This Row], [VAR NET PROFIT]:[VAR ROB]])</f>
      </c>
      <c r="V59" s="21">
        <f>OPTI4_UPI_OOS[[#This Row], [SUMA]]-OPTI4_UPI_OOS[[#This Row], [VAR ROB]]</f>
      </c>
    </row>
    <row x14ac:dyDescent="0.25" r="60" customHeight="1" ht="18.75">
      <c r="A60" s="21"/>
      <c r="B60" s="36">
        <v>18487.5</v>
      </c>
      <c r="C60" s="36">
        <v>72255.82</v>
      </c>
      <c r="D60" s="36">
        <v>-53768.32</v>
      </c>
      <c r="E60" s="37">
        <v>413</v>
      </c>
      <c r="F60" s="38">
        <v>38.9830508474576</v>
      </c>
      <c r="G60" s="39">
        <v>161</v>
      </c>
      <c r="H60" s="39">
        <v>252</v>
      </c>
      <c r="I60" s="36">
        <v>-29427.26</v>
      </c>
      <c r="J60" s="40">
        <v>0.066663779579425</v>
      </c>
      <c r="K60" s="40">
        <v>0.250206477848536</v>
      </c>
      <c r="L60" s="38">
        <f>-OPTI4_UPI_OOS[[#This Row], [Net Profit]]/OPTI4_UPI_OOS[[#This Row], [Max Intraday Drawdown]]</f>
      </c>
      <c r="M60" s="41">
        <v>0.5</v>
      </c>
      <c r="N60" s="38">
        <v>0.13</v>
      </c>
      <c r="O60" s="42">
        <v>0.35796246160903694</v>
      </c>
      <c r="P60" s="21">
        <f>(OPTI4_UPI_OOS[[#This Row], [Net Profit]]-B$74)/ABS(B$74)</f>
      </c>
      <c r="Q60" s="21">
        <f>(OPTI4_UPI_OOS[[#This Row], [UPI]]-J$74)/ABS(J$74)</f>
      </c>
      <c r="R60" s="21">
        <f>(OPTI4_UPI_OOS[[#This Row], [SORTINO AJUSTADO]]-K$74)/ABS(K$74)</f>
      </c>
      <c r="S60" s="21">
        <f>(OPTI4_UPI_OOS[[#This Row], [RECOVERY]]-L$74)/ABS(L$74)</f>
      </c>
      <c r="T60" s="21">
        <f>(OPTI4_UPI_OOS[[#This Row], [ROB]]-O$74)/ABS(O$74)</f>
      </c>
      <c r="U60" s="21">
        <f>SUM(OPTI4_UPI_OOS[[#This Row], [VAR NET PROFIT]:[VAR ROB]])</f>
      </c>
      <c r="V60" s="21">
        <f>OPTI4_UPI_OOS[[#This Row], [SUMA]]-OPTI4_UPI_OOS[[#This Row], [VAR ROB]]</f>
      </c>
    </row>
    <row x14ac:dyDescent="0.25" r="61" customHeight="1" ht="18.75">
      <c r="A61" s="21"/>
      <c r="B61" s="36">
        <v>4980.46</v>
      </c>
      <c r="C61" s="36">
        <v>51738.52</v>
      </c>
      <c r="D61" s="36">
        <v>-46758.06</v>
      </c>
      <c r="E61" s="37">
        <v>494</v>
      </c>
      <c r="F61" s="38">
        <v>35.2226720647773</v>
      </c>
      <c r="G61" s="39">
        <v>174</v>
      </c>
      <c r="H61" s="39">
        <v>320</v>
      </c>
      <c r="I61" s="36">
        <v>-18997.01</v>
      </c>
      <c r="J61" s="40">
        <v>0.0353511770875918</v>
      </c>
      <c r="K61" s="40">
        <v>0.151208528218403</v>
      </c>
      <c r="L61" s="38">
        <f>-OPTI4_UPI_OOS[[#This Row], [Net Profit]]/OPTI4_UPI_OOS[[#This Row], [Max Intraday Drawdown]]</f>
      </c>
      <c r="M61" s="41">
        <v>0.5</v>
      </c>
      <c r="N61" s="38">
        <v>0.1</v>
      </c>
      <c r="O61" s="42">
        <v>0.24225152909099068</v>
      </c>
      <c r="P61" s="21">
        <f>(OPTI4_UPI_OOS[[#This Row], [Net Profit]]-B$74)/ABS(B$74)</f>
      </c>
      <c r="Q61" s="21">
        <f>(OPTI4_UPI_OOS[[#This Row], [UPI]]-J$74)/ABS(J$74)</f>
      </c>
      <c r="R61" s="21">
        <f>(OPTI4_UPI_OOS[[#This Row], [SORTINO AJUSTADO]]-K$74)/ABS(K$74)</f>
      </c>
      <c r="S61" s="21">
        <f>(OPTI4_UPI_OOS[[#This Row], [RECOVERY]]-L$74)/ABS(L$74)</f>
      </c>
      <c r="T61" s="21">
        <f>(OPTI4_UPI_OOS[[#This Row], [ROB]]-O$74)/ABS(O$74)</f>
      </c>
      <c r="U61" s="21">
        <f>SUM(OPTI4_UPI_OOS[[#This Row], [VAR NET PROFIT]:[VAR ROB]])</f>
      </c>
      <c r="V61" s="21">
        <f>OPTI4_UPI_OOS[[#This Row], [SUMA]]-OPTI4_UPI_OOS[[#This Row], [VAR ROB]]</f>
      </c>
    </row>
    <row x14ac:dyDescent="0.25" r="62" customHeight="1" ht="18.75">
      <c r="A62" s="50"/>
      <c r="B62" s="51"/>
      <c r="C62" s="51"/>
      <c r="D62" s="51"/>
      <c r="E62" s="52"/>
      <c r="F62" s="53"/>
      <c r="G62" s="52"/>
      <c r="H62" s="52"/>
      <c r="I62" s="51"/>
      <c r="J62" s="54"/>
      <c r="K62" s="54"/>
      <c r="L62" s="53"/>
      <c r="M62" s="52"/>
      <c r="N62" s="52"/>
      <c r="O62" s="55"/>
      <c r="P62" s="56"/>
      <c r="Q62" s="56"/>
      <c r="R62" s="56"/>
      <c r="S62" s="56"/>
      <c r="T62" s="56"/>
      <c r="U62" s="56"/>
      <c r="V62" s="56"/>
    </row>
    <row x14ac:dyDescent="0.25" r="63" customHeight="1" ht="18.75">
      <c r="A63" s="50"/>
      <c r="B63" s="51"/>
      <c r="C63" s="51"/>
      <c r="D63" s="51"/>
      <c r="E63" s="52"/>
      <c r="F63" s="53"/>
      <c r="G63" s="52"/>
      <c r="H63" s="52"/>
      <c r="I63" s="51"/>
      <c r="J63" s="54"/>
      <c r="K63" s="54"/>
      <c r="L63" s="53"/>
      <c r="M63" s="52"/>
      <c r="N63" s="52"/>
      <c r="O63" s="55"/>
      <c r="P63" s="56"/>
      <c r="Q63" s="56"/>
      <c r="R63" s="56"/>
      <c r="S63" s="56"/>
      <c r="T63" s="56"/>
      <c r="U63" s="56"/>
      <c r="V63" s="56"/>
    </row>
    <row x14ac:dyDescent="0.25" r="64" customHeight="1" ht="30">
      <c r="A64" s="57" t="s">
        <v>32</v>
      </c>
      <c r="B64" s="58">
        <v>47148.13566666667</v>
      </c>
      <c r="C64" s="58">
        <v>157748.1215</v>
      </c>
      <c r="D64" s="58">
        <v>-110599.98583333334</v>
      </c>
      <c r="E64" s="41">
        <v>791.4833333333333</v>
      </c>
      <c r="F64" s="38">
        <v>40.907949356351615</v>
      </c>
      <c r="G64" s="41">
        <v>315.1</v>
      </c>
      <c r="H64" s="41">
        <v>476.3833333333333</v>
      </c>
      <c r="I64" s="58">
        <v>-69566.053</v>
      </c>
      <c r="J64" s="40">
        <v>0.09632392599550244</v>
      </c>
      <c r="K64" s="40">
        <v>0.3109288303450507</v>
      </c>
      <c r="L64" s="38">
        <v>0.7458646092111741</v>
      </c>
      <c r="M64" s="41">
        <v>0.75</v>
      </c>
      <c r="N64" s="41">
        <v>0.17000000000000004</v>
      </c>
      <c r="O64" s="42">
        <v>0.48591236559985895</v>
      </c>
      <c r="P64" s="56"/>
      <c r="Q64" s="56"/>
      <c r="R64" s="56"/>
      <c r="S64" s="56"/>
      <c r="T64" s="56"/>
      <c r="U64" s="56"/>
      <c r="V64" s="56"/>
    </row>
    <row x14ac:dyDescent="0.25" r="65" customHeight="1" ht="30">
      <c r="A65" s="57" t="s">
        <v>33</v>
      </c>
      <c r="B65" s="59">
        <v>1871.7402863288667</v>
      </c>
      <c r="C65" s="59">
        <v>5674.811609999434</v>
      </c>
      <c r="D65" s="59">
        <v>4345.069880788392</v>
      </c>
      <c r="E65" s="41">
        <v>55.654302688303275</v>
      </c>
      <c r="F65" s="38">
        <v>0.3624957188723861</v>
      </c>
      <c r="G65" s="41">
        <v>20.108233971344372</v>
      </c>
      <c r="H65" s="41">
        <v>35.61346228404188</v>
      </c>
      <c r="I65" s="58">
        <v>3748.5457835594507</v>
      </c>
      <c r="J65" s="40">
        <v>0.0023254576914182278</v>
      </c>
      <c r="K65" s="40">
        <v>0.005866208370281587</v>
      </c>
      <c r="L65" s="38">
        <v>0.034882184477618774</v>
      </c>
      <c r="M65" s="41">
        <v>0.07277781371744774</v>
      </c>
      <c r="N65" s="41">
        <v>0.005624803825832129</v>
      </c>
      <c r="O65" s="42">
        <v>0.035267550482947586</v>
      </c>
      <c r="P65" s="56"/>
      <c r="Q65" s="56"/>
      <c r="R65" s="56"/>
      <c r="S65" s="56"/>
      <c r="T65" s="56"/>
      <c r="U65" s="56"/>
      <c r="V65" s="56"/>
    </row>
    <row x14ac:dyDescent="0.25" r="66" customHeight="1" ht="30">
      <c r="A66" s="57" t="s">
        <v>34</v>
      </c>
      <c r="B66" s="60">
        <v>51633.69</v>
      </c>
      <c r="C66" s="58">
        <v>178175.055</v>
      </c>
      <c r="D66" s="58">
        <v>-123469.205</v>
      </c>
      <c r="E66" s="39">
        <v>673.5</v>
      </c>
      <c r="F66" s="38">
        <v>40.4041289317363</v>
      </c>
      <c r="G66" s="41">
        <v>280</v>
      </c>
      <c r="H66" s="41">
        <v>393.5</v>
      </c>
      <c r="I66" s="58">
        <v>-69071.14</v>
      </c>
      <c r="J66" s="61">
        <v>0.101533095738008</v>
      </c>
      <c r="K66" s="62">
        <v>0.3228121186990835</v>
      </c>
      <c r="L66" s="63">
        <v>0.6748042064362785</v>
      </c>
      <c r="M66" s="41">
        <v>0.75</v>
      </c>
      <c r="N66" s="39">
        <v>0.17</v>
      </c>
      <c r="O66" s="64">
        <v>0.3849444918920948</v>
      </c>
      <c r="P66" s="56"/>
      <c r="Q66" s="56"/>
      <c r="R66" s="56"/>
      <c r="S66" s="56"/>
      <c r="T66" s="56"/>
      <c r="U66" s="56"/>
      <c r="V66" s="56"/>
    </row>
    <row x14ac:dyDescent="0.25" r="67" customHeight="1" ht="30">
      <c r="A67" s="57" t="s">
        <v>35</v>
      </c>
      <c r="B67" s="58" t="s">
        <v>36</v>
      </c>
      <c r="C67" s="58" t="s">
        <v>36</v>
      </c>
      <c r="D67" s="58" t="s">
        <v>36</v>
      </c>
      <c r="E67" s="39">
        <v>927</v>
      </c>
      <c r="F67" s="38" t="s">
        <v>36</v>
      </c>
      <c r="G67" s="41">
        <v>472</v>
      </c>
      <c r="H67" s="41" t="s">
        <v>36</v>
      </c>
      <c r="I67" s="58" t="s">
        <v>36</v>
      </c>
      <c r="J67" s="40" t="s">
        <v>36</v>
      </c>
      <c r="K67" s="40" t="s">
        <v>36</v>
      </c>
      <c r="L67" s="38" t="s">
        <v>36</v>
      </c>
      <c r="M67" s="41">
        <v>0</v>
      </c>
      <c r="N67" s="39">
        <v>0.1</v>
      </c>
      <c r="O67" s="42" t="s">
        <v>36</v>
      </c>
      <c r="P67" s="56"/>
      <c r="Q67" s="56"/>
      <c r="R67" s="56"/>
      <c r="S67" s="56"/>
      <c r="T67" s="56"/>
      <c r="U67" s="56"/>
      <c r="V67" s="56"/>
    </row>
    <row x14ac:dyDescent="0.25" r="68" customHeight="1" ht="30">
      <c r="A68" s="57" t="s">
        <v>37</v>
      </c>
      <c r="B68" s="58">
        <v>14498.437914754406</v>
      </c>
      <c r="C68" s="58">
        <v>43956.90171678462</v>
      </c>
      <c r="D68" s="58">
        <v>33656.766572801775</v>
      </c>
      <c r="E68" s="39">
        <v>431.0963749131705</v>
      </c>
      <c r="F68" s="38">
        <v>2.807879764528474</v>
      </c>
      <c r="G68" s="41">
        <v>155.75771058531797</v>
      </c>
      <c r="H68" s="41">
        <v>275.86069265376034</v>
      </c>
      <c r="I68" s="58">
        <v>29036.110784443572</v>
      </c>
      <c r="J68" s="40">
        <v>0.018012917822345487</v>
      </c>
      <c r="K68" s="40">
        <v>0.045439454646966276</v>
      </c>
      <c r="L68" s="38">
        <v>0.2701962391223048</v>
      </c>
      <c r="M68" s="41">
        <v>0.5637345210021216</v>
      </c>
      <c r="N68" s="41">
        <v>0.0435695430862632</v>
      </c>
      <c r="O68" s="42">
        <v>0.2731812713639707</v>
      </c>
      <c r="P68" s="56"/>
      <c r="Q68" s="56"/>
      <c r="R68" s="56"/>
      <c r="S68" s="56"/>
      <c r="T68" s="56"/>
      <c r="U68" s="56"/>
      <c r="V68" s="56"/>
    </row>
    <row x14ac:dyDescent="0.25" r="69" customHeight="1" ht="30">
      <c r="A69" s="57" t="s">
        <v>38</v>
      </c>
      <c r="B69" s="58">
        <v>210204701.9679881</v>
      </c>
      <c r="C69" s="58">
        <v>1932209208.5390625</v>
      </c>
      <c r="D69" s="58">
        <v>1132777936.136067</v>
      </c>
      <c r="E69" s="39">
        <v>185844.08446327684</v>
      </c>
      <c r="F69" s="38">
        <v>7.8841887720484785</v>
      </c>
      <c r="G69" s="41">
        <v>24260.46440677967</v>
      </c>
      <c r="H69" s="41">
        <v>76099.12175141243</v>
      </c>
      <c r="I69" s="58">
        <v>843095729.4864802</v>
      </c>
      <c r="J69" s="40">
        <v>0.00032446520847457166</v>
      </c>
      <c r="K69" s="40">
        <v>0.002064744038613705</v>
      </c>
      <c r="L69" s="38">
        <v>0.0730060076358377</v>
      </c>
      <c r="M69" s="41">
        <v>0.3177966101694915</v>
      </c>
      <c r="N69" s="41">
        <v>0.0018983050847457457</v>
      </c>
      <c r="O69" s="42">
        <v>0.0746280070240354</v>
      </c>
      <c r="P69" s="56"/>
      <c r="Q69" s="56"/>
      <c r="R69" s="56"/>
      <c r="S69" s="56"/>
      <c r="T69" s="56"/>
      <c r="U69" s="56"/>
      <c r="V69" s="56"/>
    </row>
    <row x14ac:dyDescent="0.25" r="70" customHeight="1" ht="30">
      <c r="A70" s="57" t="s">
        <v>39</v>
      </c>
      <c r="B70" s="58">
        <v>0.14935222562630734</v>
      </c>
      <c r="C70" s="58">
        <v>-0.32972911421402307</v>
      </c>
      <c r="D70" s="58">
        <v>-0.7938547283697512</v>
      </c>
      <c r="E70" s="39">
        <v>-0.06247695630684014</v>
      </c>
      <c r="F70" s="38">
        <v>0.08692181487335882</v>
      </c>
      <c r="G70" s="41">
        <v>-0.2976055817948935</v>
      </c>
      <c r="H70" s="41">
        <v>0.0760449501738778</v>
      </c>
      <c r="I70" s="59">
        <v>-0.8643667821421621</v>
      </c>
      <c r="J70" s="40">
        <v>0.8534438566101241</v>
      </c>
      <c r="K70" s="40">
        <v>1.029372761976004</v>
      </c>
      <c r="L70" s="38">
        <v>3.601263803346859</v>
      </c>
      <c r="M70" s="41">
        <v>-1.3734543254688436</v>
      </c>
      <c r="N70" s="39">
        <v>-1.2109379051075968</v>
      </c>
      <c r="O70" s="42">
        <v>0.9384794787440547</v>
      </c>
      <c r="P70" s="56"/>
      <c r="Q70" s="56"/>
      <c r="R70" s="56"/>
      <c r="S70" s="56"/>
      <c r="T70" s="56"/>
      <c r="U70" s="56"/>
      <c r="V70" s="56"/>
    </row>
    <row x14ac:dyDescent="0.25" r="71" customHeight="1" ht="30">
      <c r="A71" s="57" t="s">
        <v>40</v>
      </c>
      <c r="B71" s="58">
        <v>-0.9019841415894362</v>
      </c>
      <c r="C71" s="58">
        <v>-1.14345342236348</v>
      </c>
      <c r="D71" s="58">
        <v>0.8604393556166766</v>
      </c>
      <c r="E71" s="39">
        <v>0.874426890761266</v>
      </c>
      <c r="F71" s="38">
        <v>0.5357091184584182</v>
      </c>
      <c r="G71" s="41">
        <v>0.7667160022020002</v>
      </c>
      <c r="H71" s="41">
        <v>0.9309916136854569</v>
      </c>
      <c r="I71" s="59">
        <v>0.10909573612736939</v>
      </c>
      <c r="J71" s="40">
        <v>-0.941727892077799</v>
      </c>
      <c r="K71" s="40">
        <v>-0.8143608990044041</v>
      </c>
      <c r="L71" s="38">
        <v>1.796670522530539</v>
      </c>
      <c r="M71" s="41">
        <v>4.67189116148517e-17</v>
      </c>
      <c r="N71" s="39">
        <v>-2.865426579044238e-15</v>
      </c>
      <c r="O71" s="42">
        <v>1.3271217666062736</v>
      </c>
      <c r="P71" s="56"/>
      <c r="Q71" s="56"/>
      <c r="R71" s="56"/>
      <c r="S71" s="56"/>
      <c r="T71" s="56"/>
      <c r="U71" s="56"/>
      <c r="V71" s="56"/>
    </row>
    <row x14ac:dyDescent="0.25" r="72" customHeight="1" ht="30">
      <c r="A72" s="57" t="s">
        <v>41</v>
      </c>
      <c r="B72" s="58">
        <v>62537.23</v>
      </c>
      <c r="C72" s="58">
        <v>148516.33000000002</v>
      </c>
      <c r="D72" s="58">
        <v>109564.98000000001</v>
      </c>
      <c r="E72" s="39">
        <v>1680</v>
      </c>
      <c r="F72" s="38">
        <v>13.731302830620201</v>
      </c>
      <c r="G72" s="39">
        <v>594</v>
      </c>
      <c r="H72" s="39">
        <v>1086</v>
      </c>
      <c r="I72" s="58">
        <v>108462.47</v>
      </c>
      <c r="J72" s="40">
        <v>0.08648208357290921</v>
      </c>
      <c r="K72" s="40">
        <v>0.23317735723444702</v>
      </c>
      <c r="L72" s="38">
        <v>1.409424409656852</v>
      </c>
      <c r="M72" s="41">
        <v>1.5</v>
      </c>
      <c r="N72" s="39">
        <v>0.13999999999999999</v>
      </c>
      <c r="O72" s="42">
        <v>1.069468486204978</v>
      </c>
      <c r="P72" s="56"/>
      <c r="Q72" s="56"/>
      <c r="R72" s="56"/>
      <c r="S72" s="56"/>
      <c r="T72" s="56"/>
      <c r="U72" s="56"/>
      <c r="V72" s="56"/>
    </row>
    <row x14ac:dyDescent="0.25" r="73" customHeight="1" ht="30">
      <c r="A73" s="57" t="s">
        <v>42</v>
      </c>
      <c r="B73" s="60">
        <v>4980.46</v>
      </c>
      <c r="C73" s="58">
        <v>51738.52</v>
      </c>
      <c r="D73" s="58">
        <v>-156323.04</v>
      </c>
      <c r="E73" s="39">
        <v>239</v>
      </c>
      <c r="F73" s="38">
        <v>35.2226720647773</v>
      </c>
      <c r="G73" s="39">
        <v>117</v>
      </c>
      <c r="H73" s="39">
        <v>122</v>
      </c>
      <c r="I73" s="58">
        <v>-120435.77</v>
      </c>
      <c r="J73" s="61">
        <v>0.0353511770875918</v>
      </c>
      <c r="K73" s="62">
        <v>0.151208528218403</v>
      </c>
      <c r="L73" s="63">
        <v>0.26217073107820654</v>
      </c>
      <c r="M73" s="41">
        <v>0</v>
      </c>
      <c r="N73" s="39">
        <v>0.1</v>
      </c>
      <c r="O73" s="64">
        <v>0.22022668791040578</v>
      </c>
      <c r="P73" s="56"/>
      <c r="Q73" s="56"/>
      <c r="R73" s="56"/>
      <c r="S73" s="56"/>
      <c r="T73" s="56"/>
      <c r="U73" s="56"/>
      <c r="V73" s="56"/>
    </row>
    <row x14ac:dyDescent="0.25" r="74" customHeight="1" ht="30">
      <c r="A74" s="57" t="s">
        <v>43</v>
      </c>
      <c r="B74" s="60">
        <v>67517.69</v>
      </c>
      <c r="C74" s="58">
        <v>200254.85</v>
      </c>
      <c r="D74" s="58">
        <v>-46758.06</v>
      </c>
      <c r="E74" s="39">
        <v>1919</v>
      </c>
      <c r="F74" s="38">
        <v>48.9539748953975</v>
      </c>
      <c r="G74" s="39">
        <v>711</v>
      </c>
      <c r="H74" s="39">
        <v>1208</v>
      </c>
      <c r="I74" s="58">
        <v>-11973.3</v>
      </c>
      <c r="J74" s="61">
        <v>0.121833260660501</v>
      </c>
      <c r="K74" s="62">
        <v>0.38438588545285</v>
      </c>
      <c r="L74" s="63">
        <v>1.6715951407350584</v>
      </c>
      <c r="M74" s="41">
        <v>1.5</v>
      </c>
      <c r="N74" s="39">
        <v>0.24</v>
      </c>
      <c r="O74" s="64">
        <v>1.2896951741153837</v>
      </c>
      <c r="P74" s="56"/>
      <c r="Q74" s="56"/>
      <c r="R74" s="56"/>
      <c r="S74" s="56"/>
      <c r="T74" s="56"/>
      <c r="U74" s="56"/>
      <c r="V74" s="56"/>
    </row>
    <row x14ac:dyDescent="0.25" r="75" customHeight="1" ht="30">
      <c r="A75" s="57" t="s">
        <v>44</v>
      </c>
      <c r="B75" s="58">
        <v>3745.343661925675</v>
      </c>
      <c r="C75" s="58">
        <v>11355.271803130514</v>
      </c>
      <c r="D75" s="58">
        <v>8694.464748928118</v>
      </c>
      <c r="E75" s="41">
        <v>111.36400245002037</v>
      </c>
      <c r="F75" s="38">
        <v>0.7253522580404289</v>
      </c>
      <c r="G75" s="41">
        <v>40.236483238177605</v>
      </c>
      <c r="H75" s="41">
        <v>71.26237342808868</v>
      </c>
      <c r="I75" s="58">
        <v>7500.822787454728</v>
      </c>
      <c r="J75" s="40">
        <v>0.004653230092467689</v>
      </c>
      <c r="K75" s="40">
        <v>0.01173825583583617</v>
      </c>
      <c r="L75" s="38">
        <v>0.06979908991733752</v>
      </c>
      <c r="M75" s="41">
        <v>0.14562806887598193</v>
      </c>
      <c r="N75" s="41">
        <v>0.011255206458143301</v>
      </c>
      <c r="O75" s="42">
        <v>0.07057020551287281</v>
      </c>
      <c r="P75" s="56"/>
      <c r="Q75" s="56"/>
      <c r="R75" s="56"/>
      <c r="S75" s="56"/>
      <c r="T75" s="56"/>
      <c r="U75" s="56"/>
      <c r="V75" s="56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75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65" width="21.290714285714284" customWidth="1" bestFit="1"/>
    <col min="2" max="2" style="66" width="15.005" customWidth="1" bestFit="1"/>
    <col min="3" max="3" style="66" width="15.005" customWidth="1" bestFit="1"/>
    <col min="4" max="4" style="66" width="15.005" customWidth="1" bestFit="1"/>
    <col min="5" max="5" style="67" width="7.862142857142857" customWidth="1" bestFit="1"/>
    <col min="6" max="6" style="68" width="7.576428571428571" customWidth="1" bestFit="1"/>
    <col min="7" max="7" style="67" width="8.43357142857143" customWidth="1" bestFit="1"/>
    <col min="8" max="8" style="67" width="8.290714285714287" customWidth="1" bestFit="1"/>
    <col min="9" max="9" style="66" width="14.005" customWidth="1" bestFit="1"/>
    <col min="10" max="10" style="69" width="6.147857142857143" customWidth="1" bestFit="1"/>
    <col min="11" max="11" style="69" width="9.43357142857143" customWidth="1" bestFit="1"/>
    <col min="12" max="12" style="68" width="7.2907142857142855" customWidth="1" bestFit="1"/>
    <col min="13" max="13" style="67" width="17.433571428571426" customWidth="1" bestFit="1"/>
    <col min="14" max="14" style="67" width="17.433571428571426" customWidth="1" bestFit="1"/>
    <col min="15" max="15" style="70" width="17.433571428571426" customWidth="1" bestFit="1"/>
    <col min="16" max="16" style="71" width="13.576428571428572" customWidth="1" bestFit="1"/>
    <col min="17" max="17" style="71" width="13.576428571428572" customWidth="1" bestFit="1"/>
    <col min="18" max="18" style="71" width="13.576428571428572" customWidth="1" bestFit="1"/>
    <col min="19" max="19" style="71" width="13.576428571428572" customWidth="1" bestFit="1"/>
    <col min="20" max="20" style="71" width="13.576428571428572" customWidth="1" bestFit="1"/>
    <col min="21" max="21" style="71" width="13.576428571428572" customWidth="1" bestFit="1"/>
    <col min="22" max="22" style="71" width="13.576428571428572" customWidth="1" bestFit="1"/>
  </cols>
  <sheetData>
    <row x14ac:dyDescent="0.25" r="1" customHeight="1" ht="67.5" customFormat="1" s="1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4" t="s">
        <v>8</v>
      </c>
      <c r="J1" s="7" t="s">
        <v>9</v>
      </c>
      <c r="K1" s="8" t="s">
        <v>10</v>
      </c>
      <c r="L1" s="9" t="s">
        <v>11</v>
      </c>
      <c r="M1" s="5" t="s">
        <v>12</v>
      </c>
      <c r="N1" s="5" t="s">
        <v>13</v>
      </c>
      <c r="O1" s="10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x14ac:dyDescent="0.25" r="2" customHeight="1" ht="18.75">
      <c r="A2" s="11" t="s">
        <v>22</v>
      </c>
      <c r="B2" s="12">
        <v>1342452.15</v>
      </c>
      <c r="C2" s="12">
        <v>2588363.52</v>
      </c>
      <c r="D2" s="12">
        <v>-1245911.37</v>
      </c>
      <c r="E2" s="13">
        <v>1217</v>
      </c>
      <c r="F2" s="14">
        <v>45.3574363188168</v>
      </c>
      <c r="G2" s="15">
        <v>552</v>
      </c>
      <c r="H2" s="15">
        <v>665</v>
      </c>
      <c r="I2" s="16">
        <v>-1035213.86</v>
      </c>
      <c r="J2" s="17">
        <v>0.119768171949217</v>
      </c>
      <c r="K2" s="17">
        <v>0.317037272037273</v>
      </c>
      <c r="L2" s="18">
        <f>-OPTI4_SORTINO_ALL_DATA[[#This Row], [Net Profit]]/OPTI4_SORTINO_ALL_DATA[[#This Row], [Max Intraday Drawdown]]</f>
      </c>
      <c r="M2" s="19">
        <v>1</v>
      </c>
      <c r="N2" s="18">
        <v>0.24</v>
      </c>
      <c r="O2" s="20">
        <v>0.22022668791040578</v>
      </c>
      <c r="P2" s="21">
        <f>(OPTI4_SORTINO_ALL_DATA[[#This Row], [Net Profit]]-B$74)/ABS(B$74)</f>
      </c>
      <c r="Q2" s="21">
        <f>(OPTI4_SORTINO_ALL_DATA[[#This Row], [UPI]]-J$74)/ABS(J$74)</f>
      </c>
      <c r="R2" s="21">
        <f>(OPTI4_SORTINO_ALL_DATA[[#This Row], [SORTINO AJUSTADO]]-K$74)/ABS(K$74)</f>
      </c>
      <c r="S2" s="21">
        <f>(OPTI4_SORTINO_ALL_DATA[[#This Row], [RECOVERY]]-L$74)/ABS(L$74)</f>
      </c>
      <c r="T2" s="21">
        <f>(OPTI4_SORTINO_ALL_DATA[[#This Row], [ROB]]-O$74)/ABS(O$74)</f>
      </c>
      <c r="U2" s="21">
        <f>SUM(OPTI4_SORTINO_ALL_DATA[[#This Row], [VAR NET PROFIT]:[VAR ROB]])</f>
      </c>
      <c r="V2" s="21">
        <f>OPTI4_SORTINO_ALL_DATA[[#This Row], [SUMA]]-OPTI4_SORTINO_ALL_DATA[[#This Row], [VAR ROB]]</f>
      </c>
    </row>
    <row x14ac:dyDescent="0.25" r="3" customHeight="1" ht="18.75">
      <c r="A3" s="11" t="s">
        <v>23</v>
      </c>
      <c r="B3" s="22">
        <v>1303484.94</v>
      </c>
      <c r="C3" s="22">
        <v>2543571.37</v>
      </c>
      <c r="D3" s="22">
        <v>-1240086.43</v>
      </c>
      <c r="E3" s="23">
        <v>1383</v>
      </c>
      <c r="F3" s="24">
        <v>43.3116413593637</v>
      </c>
      <c r="G3" s="25">
        <v>599</v>
      </c>
      <c r="H3" s="25">
        <v>784</v>
      </c>
      <c r="I3" s="22">
        <v>-944630.62</v>
      </c>
      <c r="J3" s="26">
        <v>0.117423346280432</v>
      </c>
      <c r="K3" s="26">
        <v>0.309346063424309</v>
      </c>
      <c r="L3" s="24">
        <f>-OPTI4_SORTINO_ALL_DATA[[#This Row], [Net Profit]]/OPTI4_SORTINO_ALL_DATA[[#This Row], [Max Intraday Drawdown]]</f>
      </c>
      <c r="M3" s="27">
        <v>0</v>
      </c>
      <c r="N3" s="24">
        <v>0.24</v>
      </c>
      <c r="O3" s="28">
        <v>0.2644732839614173</v>
      </c>
      <c r="P3" s="21">
        <f>(OPTI4_SORTINO_ALL_DATA[[#This Row], [Net Profit]]-B$74)/ABS(B$74)</f>
      </c>
      <c r="Q3" s="21">
        <f>(OPTI4_SORTINO_ALL_DATA[[#This Row], [UPI]]-J$74)/ABS(J$74)</f>
      </c>
      <c r="R3" s="21">
        <f>(OPTI4_SORTINO_ALL_DATA[[#This Row], [SORTINO AJUSTADO]]-K$74)/ABS(K$74)</f>
      </c>
      <c r="S3" s="21">
        <f>(OPTI4_SORTINO_ALL_DATA[[#This Row], [RECOVERY]]-L$74)/ABS(L$74)</f>
      </c>
      <c r="T3" s="21">
        <f>(OPTI4_SORTINO_ALL_DATA[[#This Row], [ROB]]-O$74)/ABS(O$74)</f>
      </c>
      <c r="U3" s="21">
        <f>SUM(OPTI4_SORTINO_ALL_DATA[[#This Row], [VAR NET PROFIT]:[VAR ROB]])</f>
      </c>
      <c r="V3" s="21">
        <f>OPTI4_SORTINO_ALL_DATA[[#This Row], [SUMA]]-OPTI4_SORTINO_ALL_DATA[[#This Row], [VAR ROB]]</f>
      </c>
    </row>
    <row x14ac:dyDescent="0.25" r="4" customHeight="1" ht="18.75">
      <c r="A4" s="11" t="s">
        <v>24</v>
      </c>
      <c r="B4" s="22">
        <v>1234916.42</v>
      </c>
      <c r="C4" s="22">
        <v>2420913.33</v>
      </c>
      <c r="D4" s="22">
        <v>-1185996.91</v>
      </c>
      <c r="E4" s="23">
        <v>1332</v>
      </c>
      <c r="F4" s="24">
        <v>43.7687687687688</v>
      </c>
      <c r="G4" s="25">
        <v>583</v>
      </c>
      <c r="H4" s="25">
        <v>749</v>
      </c>
      <c r="I4" s="22">
        <v>-906135.99</v>
      </c>
      <c r="J4" s="26">
        <v>0.117799241297133</v>
      </c>
      <c r="K4" s="26">
        <v>0.309185237016831</v>
      </c>
      <c r="L4" s="24">
        <f>-OPTI4_SORTINO_ALL_DATA[[#This Row], [Net Profit]]/OPTI4_SORTINO_ALL_DATA[[#This Row], [Max Intraday Drawdown]]</f>
      </c>
      <c r="M4" s="27">
        <v>1.5</v>
      </c>
      <c r="N4" s="24">
        <v>0.24</v>
      </c>
      <c r="O4" s="28">
        <v>0.28553399567512605</v>
      </c>
      <c r="P4" s="21">
        <f>(OPTI4_SORTINO_ALL_DATA[[#This Row], [Net Profit]]-B$74)/ABS(B$74)</f>
      </c>
      <c r="Q4" s="21">
        <f>(OPTI4_SORTINO_ALL_DATA[[#This Row], [UPI]]-J$74)/ABS(J$74)</f>
      </c>
      <c r="R4" s="21">
        <f>(OPTI4_SORTINO_ALL_DATA[[#This Row], [SORTINO AJUSTADO]]-K$74)/ABS(K$74)</f>
      </c>
      <c r="S4" s="21">
        <f>(OPTI4_SORTINO_ALL_DATA[[#This Row], [RECOVERY]]-L$74)/ABS(L$74)</f>
      </c>
      <c r="T4" s="21">
        <f>(OPTI4_SORTINO_ALL_DATA[[#This Row], [ROB]]-O$74)/ABS(O$74)</f>
      </c>
      <c r="U4" s="21">
        <f>SUM(OPTI4_SORTINO_ALL_DATA[[#This Row], [VAR NET PROFIT]:[VAR ROB]])</f>
      </c>
      <c r="V4" s="21">
        <f>OPTI4_SORTINO_ALL_DATA[[#This Row], [SUMA]]-OPTI4_SORTINO_ALL_DATA[[#This Row], [VAR ROB]]</f>
      </c>
    </row>
    <row x14ac:dyDescent="0.25" r="5" customHeight="1" ht="18.75">
      <c r="A5" s="11" t="s">
        <v>25</v>
      </c>
      <c r="B5" s="22">
        <v>1148842.34</v>
      </c>
      <c r="C5" s="22">
        <v>2369920.9</v>
      </c>
      <c r="D5" s="22">
        <v>-1221078.56</v>
      </c>
      <c r="E5" s="23">
        <v>1540</v>
      </c>
      <c r="F5" s="24">
        <v>43.8311688311688</v>
      </c>
      <c r="G5" s="25">
        <v>675</v>
      </c>
      <c r="H5" s="25">
        <v>865</v>
      </c>
      <c r="I5" s="22">
        <v>-845257.609999999</v>
      </c>
      <c r="J5" s="26">
        <v>0.115104726990154</v>
      </c>
      <c r="K5" s="26">
        <v>0.318390881787599</v>
      </c>
      <c r="L5" s="24">
        <f>-OPTI4_SORTINO_ALL_DATA[[#This Row], [Net Profit]]/OPTI4_SORTINO_ALL_DATA[[#This Row], [Max Intraday Drawdown]]</f>
      </c>
      <c r="M5" s="27">
        <v>1.5</v>
      </c>
      <c r="N5" s="24">
        <v>0.22</v>
      </c>
      <c r="O5" s="28">
        <v>0.27924203757236116</v>
      </c>
      <c r="P5" s="21">
        <f>(OPTI4_SORTINO_ALL_DATA[[#This Row], [Net Profit]]-B$74)/ABS(B$74)</f>
      </c>
      <c r="Q5" s="21">
        <f>(OPTI4_SORTINO_ALL_DATA[[#This Row], [UPI]]-J$74)/ABS(J$74)</f>
      </c>
      <c r="R5" s="21">
        <f>(OPTI4_SORTINO_ALL_DATA[[#This Row], [SORTINO AJUSTADO]]-K$74)/ABS(K$74)</f>
      </c>
      <c r="S5" s="21">
        <f>(OPTI4_SORTINO_ALL_DATA[[#This Row], [RECOVERY]]-L$74)/ABS(L$74)</f>
      </c>
      <c r="T5" s="21">
        <f>(OPTI4_SORTINO_ALL_DATA[[#This Row], [ROB]]-O$74)/ABS(O$74)</f>
      </c>
      <c r="U5" s="21">
        <f>SUM(OPTI4_SORTINO_ALL_DATA[[#This Row], [VAR NET PROFIT]:[VAR ROB]])</f>
      </c>
      <c r="V5" s="21">
        <f>OPTI4_SORTINO_ALL_DATA[[#This Row], [SUMA]]-OPTI4_SORTINO_ALL_DATA[[#This Row], [VAR ROB]]</f>
      </c>
    </row>
    <row x14ac:dyDescent="0.25" r="6" customHeight="1" ht="18.75">
      <c r="A6" s="11" t="s">
        <v>26</v>
      </c>
      <c r="B6" s="29">
        <v>1086663.72</v>
      </c>
      <c r="C6" s="29">
        <v>2197886.22</v>
      </c>
      <c r="D6" s="29">
        <v>-1111222.5</v>
      </c>
      <c r="E6" s="30">
        <v>1510</v>
      </c>
      <c r="F6" s="31">
        <v>44.1059602649007</v>
      </c>
      <c r="G6" s="32">
        <v>666</v>
      </c>
      <c r="H6" s="32">
        <v>844</v>
      </c>
      <c r="I6" s="29">
        <v>-763462.04</v>
      </c>
      <c r="J6" s="33">
        <v>0.11349201356194</v>
      </c>
      <c r="K6" s="33">
        <v>0.324963319776182</v>
      </c>
      <c r="L6" s="31">
        <f>-OPTI4_SORTINO_ALL_DATA[[#This Row], [Net Profit]]/OPTI4_SORTINO_ALL_DATA[[#This Row], [Max Intraday Drawdown]]</f>
      </c>
      <c r="M6" s="34">
        <v>1</v>
      </c>
      <c r="N6" s="31">
        <v>0.21</v>
      </c>
      <c r="O6" s="35">
        <v>0.2620577827816989</v>
      </c>
      <c r="P6" s="21">
        <f>(OPTI4_SORTINO_ALL_DATA[[#This Row], [Net Profit]]-B$74)/ABS(B$74)</f>
      </c>
      <c r="Q6" s="21">
        <f>(OPTI4_SORTINO_ALL_DATA[[#This Row], [UPI]]-J$74)/ABS(J$74)</f>
      </c>
      <c r="R6" s="21">
        <f>(OPTI4_SORTINO_ALL_DATA[[#This Row], [SORTINO AJUSTADO]]-K$74)/ABS(K$74)</f>
      </c>
      <c r="S6" s="21">
        <f>(OPTI4_SORTINO_ALL_DATA[[#This Row], [RECOVERY]]-L$74)/ABS(L$74)</f>
      </c>
      <c r="T6" s="21">
        <f>(OPTI4_SORTINO_ALL_DATA[[#This Row], [ROB]]-O$74)/ABS(O$74)</f>
      </c>
      <c r="U6" s="21">
        <f>SUM(OPTI4_SORTINO_ALL_DATA[[#This Row], [VAR NET PROFIT]:[VAR ROB]])</f>
      </c>
      <c r="V6" s="21">
        <f>OPTI4_SORTINO_ALL_DATA[[#This Row], [SUMA]]-OPTI4_SORTINO_ALL_DATA[[#This Row], [VAR ROB]]</f>
      </c>
    </row>
    <row x14ac:dyDescent="0.25" r="7" customHeight="1" ht="18.75">
      <c r="A7" s="11" t="s">
        <v>27</v>
      </c>
      <c r="B7" s="22">
        <v>1096511.38</v>
      </c>
      <c r="C7" s="22">
        <v>2292992.83</v>
      </c>
      <c r="D7" s="22">
        <v>-1196481.45</v>
      </c>
      <c r="E7" s="23">
        <v>1664</v>
      </c>
      <c r="F7" s="24">
        <v>43.0889423076923</v>
      </c>
      <c r="G7" s="25">
        <v>717</v>
      </c>
      <c r="H7" s="25">
        <v>947</v>
      </c>
      <c r="I7" s="22">
        <v>-754257.670000001</v>
      </c>
      <c r="J7" s="26">
        <v>0.11321581678624</v>
      </c>
      <c r="K7" s="26">
        <v>0.31617928144608</v>
      </c>
      <c r="L7" s="24">
        <f>-OPTI4_SORTINO_ALL_DATA[[#This Row], [Net Profit]]/OPTI4_SORTINO_ALL_DATA[[#This Row], [Max Intraday Drawdown]]</f>
      </c>
      <c r="M7" s="27">
        <v>1.5</v>
      </c>
      <c r="N7" s="24">
        <v>0.21</v>
      </c>
      <c r="O7" s="28">
        <v>0.26736515210026124</v>
      </c>
      <c r="P7" s="21">
        <f>(OPTI4_SORTINO_ALL_DATA[[#This Row], [Net Profit]]-B$74)/ABS(B$74)</f>
      </c>
      <c r="Q7" s="21">
        <f>(OPTI4_SORTINO_ALL_DATA[[#This Row], [UPI]]-J$74)/ABS(J$74)</f>
      </c>
      <c r="R7" s="21">
        <f>(OPTI4_SORTINO_ALL_DATA[[#This Row], [SORTINO AJUSTADO]]-K$74)/ABS(K$74)</f>
      </c>
      <c r="S7" s="21">
        <f>(OPTI4_SORTINO_ALL_DATA[[#This Row], [RECOVERY]]-L$74)/ABS(L$74)</f>
      </c>
      <c r="T7" s="21">
        <f>(OPTI4_SORTINO_ALL_DATA[[#This Row], [ROB]]-O$74)/ABS(O$74)</f>
      </c>
      <c r="U7" s="21">
        <f>SUM(OPTI4_SORTINO_ALL_DATA[[#This Row], [VAR NET PROFIT]:[VAR ROB]])</f>
      </c>
      <c r="V7" s="21">
        <f>OPTI4_SORTINO_ALL_DATA[[#This Row], [SUMA]]-OPTI4_SORTINO_ALL_DATA[[#This Row], [VAR ROB]]</f>
      </c>
    </row>
    <row x14ac:dyDescent="0.25" r="8" customHeight="1" ht="18.75">
      <c r="A8" s="11" t="s">
        <v>28</v>
      </c>
      <c r="B8" s="22">
        <v>1113709.48</v>
      </c>
      <c r="C8" s="22">
        <v>2320040.71</v>
      </c>
      <c r="D8" s="22">
        <v>-1206331.23</v>
      </c>
      <c r="E8" s="23">
        <v>1732</v>
      </c>
      <c r="F8" s="24">
        <v>42.5519630484988</v>
      </c>
      <c r="G8" s="25">
        <v>737</v>
      </c>
      <c r="H8" s="25">
        <v>995</v>
      </c>
      <c r="I8" s="22">
        <v>-757775.07</v>
      </c>
      <c r="J8" s="26">
        <v>0.112364386566478</v>
      </c>
      <c r="K8" s="26">
        <v>0.30889097543321</v>
      </c>
      <c r="L8" s="24">
        <f>-OPTI4_SORTINO_ALL_DATA[[#This Row], [Net Profit]]/OPTI4_SORTINO_ALL_DATA[[#This Row], [Max Intraday Drawdown]]</f>
      </c>
      <c r="M8" s="27">
        <v>0</v>
      </c>
      <c r="N8" s="24">
        <v>0.21</v>
      </c>
      <c r="O8" s="28">
        <v>0.2801130001388636</v>
      </c>
      <c r="P8" s="21">
        <f>(OPTI4_SORTINO_ALL_DATA[[#This Row], [Net Profit]]-B$74)/ABS(B$74)</f>
      </c>
      <c r="Q8" s="21">
        <f>(OPTI4_SORTINO_ALL_DATA[[#This Row], [UPI]]-J$74)/ABS(J$74)</f>
      </c>
      <c r="R8" s="21">
        <f>(OPTI4_SORTINO_ALL_DATA[[#This Row], [SORTINO AJUSTADO]]-K$74)/ABS(K$74)</f>
      </c>
      <c r="S8" s="21">
        <f>(OPTI4_SORTINO_ALL_DATA[[#This Row], [RECOVERY]]-L$74)/ABS(L$74)</f>
      </c>
      <c r="T8" s="21">
        <f>(OPTI4_SORTINO_ALL_DATA[[#This Row], [ROB]]-O$74)/ABS(O$74)</f>
      </c>
      <c r="U8" s="21">
        <f>SUM(OPTI4_SORTINO_ALL_DATA[[#This Row], [VAR NET PROFIT]:[VAR ROB]])</f>
      </c>
      <c r="V8" s="21">
        <f>OPTI4_SORTINO_ALL_DATA[[#This Row], [SUMA]]-OPTI4_SORTINO_ALL_DATA[[#This Row], [VAR ROB]]</f>
      </c>
    </row>
    <row x14ac:dyDescent="0.25" r="9" customHeight="1" ht="18.75">
      <c r="A9" s="11" t="s">
        <v>29</v>
      </c>
      <c r="B9" s="22">
        <v>1144482.38</v>
      </c>
      <c r="C9" s="22">
        <v>2326701.97</v>
      </c>
      <c r="D9" s="22">
        <v>-1182219.59</v>
      </c>
      <c r="E9" s="23">
        <v>1397</v>
      </c>
      <c r="F9" s="24">
        <v>44.5955619183966</v>
      </c>
      <c r="G9" s="25">
        <v>623</v>
      </c>
      <c r="H9" s="25">
        <v>774</v>
      </c>
      <c r="I9" s="22">
        <v>-886717.170000001</v>
      </c>
      <c r="J9" s="26">
        <v>0.11381546925017</v>
      </c>
      <c r="K9" s="26">
        <v>0.31990231603928</v>
      </c>
      <c r="L9" s="24">
        <f>-OPTI4_SORTINO_ALL_DATA[[#This Row], [Net Profit]]/OPTI4_SORTINO_ALL_DATA[[#This Row], [Max Intraday Drawdown]]</f>
      </c>
      <c r="M9" s="27">
        <v>1</v>
      </c>
      <c r="N9" s="24">
        <v>0.22</v>
      </c>
      <c r="O9" s="28">
        <v>0.22676013055247946</v>
      </c>
      <c r="P9" s="21">
        <f>(OPTI4_SORTINO_ALL_DATA[[#This Row], [Net Profit]]-B$74)/ABS(B$74)</f>
      </c>
      <c r="Q9" s="21">
        <f>(OPTI4_SORTINO_ALL_DATA[[#This Row], [UPI]]-J$74)/ABS(J$74)</f>
      </c>
      <c r="R9" s="21">
        <f>(OPTI4_SORTINO_ALL_DATA[[#This Row], [SORTINO AJUSTADO]]-K$74)/ABS(K$74)</f>
      </c>
      <c r="S9" s="21">
        <f>(OPTI4_SORTINO_ALL_DATA[[#This Row], [RECOVERY]]-L$74)/ABS(L$74)</f>
      </c>
      <c r="T9" s="21">
        <f>(OPTI4_SORTINO_ALL_DATA[[#This Row], [ROB]]-O$74)/ABS(O$74)</f>
      </c>
      <c r="U9" s="21">
        <f>SUM(OPTI4_SORTINO_ALL_DATA[[#This Row], [VAR NET PROFIT]:[VAR ROB]])</f>
      </c>
      <c r="V9" s="21">
        <f>OPTI4_SORTINO_ALL_DATA[[#This Row], [SUMA]]-OPTI4_SORTINO_ALL_DATA[[#This Row], [VAR ROB]]</f>
      </c>
    </row>
    <row x14ac:dyDescent="0.25" r="10" customHeight="1" ht="18.75">
      <c r="A10" s="11" t="s">
        <v>30</v>
      </c>
      <c r="B10" s="22">
        <v>1010258.38</v>
      </c>
      <c r="C10" s="22">
        <v>2108770.99</v>
      </c>
      <c r="D10" s="22">
        <v>-1098512.61</v>
      </c>
      <c r="E10" s="23">
        <v>1668</v>
      </c>
      <c r="F10" s="24">
        <v>43.7649880095923</v>
      </c>
      <c r="G10" s="25">
        <v>730</v>
      </c>
      <c r="H10" s="25">
        <v>938</v>
      </c>
      <c r="I10" s="22">
        <v>-683464.790000001</v>
      </c>
      <c r="J10" s="26">
        <v>0.112902035560366</v>
      </c>
      <c r="K10" s="26">
        <v>0.317286478285926</v>
      </c>
      <c r="L10" s="24">
        <f>-OPTI4_SORTINO_ALL_DATA[[#This Row], [Net Profit]]/OPTI4_SORTINO_ALL_DATA[[#This Row], [Max Intraday Drawdown]]</f>
      </c>
      <c r="M10" s="27">
        <v>1</v>
      </c>
      <c r="N10" s="24">
        <v>0.2</v>
      </c>
      <c r="O10" s="28">
        <v>0.2862278736182303</v>
      </c>
      <c r="P10" s="21">
        <f>(OPTI4_SORTINO_ALL_DATA[[#This Row], [Net Profit]]-B$74)/ABS(B$74)</f>
      </c>
      <c r="Q10" s="21">
        <f>(OPTI4_SORTINO_ALL_DATA[[#This Row], [UPI]]-J$74)/ABS(J$74)</f>
      </c>
      <c r="R10" s="21">
        <f>(OPTI4_SORTINO_ALL_DATA[[#This Row], [SORTINO AJUSTADO]]-K$74)/ABS(K$74)</f>
      </c>
      <c r="S10" s="21">
        <f>(OPTI4_SORTINO_ALL_DATA[[#This Row], [RECOVERY]]-L$74)/ABS(L$74)</f>
      </c>
      <c r="T10" s="21">
        <f>(OPTI4_SORTINO_ALL_DATA[[#This Row], [ROB]]-O$74)/ABS(O$74)</f>
      </c>
      <c r="U10" s="21">
        <f>SUM(OPTI4_SORTINO_ALL_DATA[[#This Row], [VAR NET PROFIT]:[VAR ROB]])</f>
      </c>
      <c r="V10" s="21">
        <f>OPTI4_SORTINO_ALL_DATA[[#This Row], [SUMA]]-OPTI4_SORTINO_ALL_DATA[[#This Row], [VAR ROB]]</f>
      </c>
    </row>
    <row x14ac:dyDescent="0.25" r="11" customHeight="1" ht="18.75">
      <c r="A11" s="11" t="s">
        <v>31</v>
      </c>
      <c r="B11" s="22">
        <v>1094883.5</v>
      </c>
      <c r="C11" s="22">
        <v>2300890.04</v>
      </c>
      <c r="D11" s="22">
        <v>-1206006.54</v>
      </c>
      <c r="E11" s="23">
        <v>1601</v>
      </c>
      <c r="F11" s="24">
        <v>42.8482198625859</v>
      </c>
      <c r="G11" s="25">
        <v>686</v>
      </c>
      <c r="H11" s="25">
        <v>915</v>
      </c>
      <c r="I11" s="22">
        <v>-813475.950000001</v>
      </c>
      <c r="J11" s="26">
        <v>0.110625761524871</v>
      </c>
      <c r="K11" s="26">
        <v>0.303521046648088</v>
      </c>
      <c r="L11" s="24">
        <f>-OPTI4_SORTINO_ALL_DATA[[#This Row], [Net Profit]]/OPTI4_SORTINO_ALL_DATA[[#This Row], [Max Intraday Drawdown]]</f>
      </c>
      <c r="M11" s="27">
        <v>0</v>
      </c>
      <c r="N11" s="24">
        <v>0.22</v>
      </c>
      <c r="O11" s="28">
        <v>0.25517226964263057</v>
      </c>
      <c r="P11" s="21">
        <f>(OPTI4_SORTINO_ALL_DATA[[#This Row], [Net Profit]]-B$74)/ABS(B$74)</f>
      </c>
      <c r="Q11" s="21">
        <f>(OPTI4_SORTINO_ALL_DATA[[#This Row], [UPI]]-J$74)/ABS(J$74)</f>
      </c>
      <c r="R11" s="21">
        <f>(OPTI4_SORTINO_ALL_DATA[[#This Row], [SORTINO AJUSTADO]]-K$74)/ABS(K$74)</f>
      </c>
      <c r="S11" s="21">
        <f>(OPTI4_SORTINO_ALL_DATA[[#This Row], [RECOVERY]]-L$74)/ABS(L$74)</f>
      </c>
      <c r="T11" s="21">
        <f>(OPTI4_SORTINO_ALL_DATA[[#This Row], [ROB]]-O$74)/ABS(O$74)</f>
      </c>
      <c r="U11" s="21">
        <f>SUM(OPTI4_SORTINO_ALL_DATA[[#This Row], [VAR NET PROFIT]:[VAR ROB]])</f>
      </c>
      <c r="V11" s="21">
        <f>OPTI4_SORTINO_ALL_DATA[[#This Row], [SUMA]]-OPTI4_SORTINO_ALL_DATA[[#This Row], [VAR ROB]]</f>
      </c>
    </row>
    <row x14ac:dyDescent="0.25" r="12" customHeight="1" ht="18.75">
      <c r="A12" s="21"/>
      <c r="B12" s="36">
        <v>1062516.31</v>
      </c>
      <c r="C12" s="36">
        <v>2192606.55</v>
      </c>
      <c r="D12" s="36">
        <v>-1130090.24</v>
      </c>
      <c r="E12" s="37">
        <v>1435</v>
      </c>
      <c r="F12" s="38">
        <v>42.9965156794425</v>
      </c>
      <c r="G12" s="39">
        <v>617</v>
      </c>
      <c r="H12" s="39">
        <v>818</v>
      </c>
      <c r="I12" s="36">
        <v>-820205.41</v>
      </c>
      <c r="J12" s="40">
        <v>0.113639202572688</v>
      </c>
      <c r="K12" s="40">
        <v>0.303809135849559</v>
      </c>
      <c r="L12" s="38">
        <f>-OPTI4_SORTINO_ALL_DATA[[#This Row], [Net Profit]]/OPTI4_SORTINO_ALL_DATA[[#This Row], [Max Intraday Drawdown]]</f>
      </c>
      <c r="M12" s="41">
        <v>1.5</v>
      </c>
      <c r="N12" s="38">
        <v>0.23</v>
      </c>
      <c r="O12" s="42">
        <v>0.270918043386748</v>
      </c>
      <c r="P12" s="21">
        <f>(OPTI4_SORTINO_ALL_DATA[[#This Row], [Net Profit]]-B$74)/ABS(B$74)</f>
      </c>
      <c r="Q12" s="21">
        <f>(OPTI4_SORTINO_ALL_DATA[[#This Row], [UPI]]-J$74)/ABS(J$74)</f>
      </c>
      <c r="R12" s="21">
        <f>(OPTI4_SORTINO_ALL_DATA[[#This Row], [SORTINO AJUSTADO]]-K$74)/ABS(K$74)</f>
      </c>
      <c r="S12" s="21">
        <f>(OPTI4_SORTINO_ALL_DATA[[#This Row], [RECOVERY]]-L$74)/ABS(L$74)</f>
      </c>
      <c r="T12" s="21">
        <f>(OPTI4_SORTINO_ALL_DATA[[#This Row], [ROB]]-O$74)/ABS(O$74)</f>
      </c>
      <c r="U12" s="21">
        <f>SUM(OPTI4_SORTINO_ALL_DATA[[#This Row], [VAR NET PROFIT]:[VAR ROB]])</f>
      </c>
      <c r="V12" s="21">
        <f>OPTI4_SORTINO_ALL_DATA[[#This Row], [SUMA]]-OPTI4_SORTINO_ALL_DATA[[#This Row], [VAR ROB]]</f>
      </c>
    </row>
    <row x14ac:dyDescent="0.25" r="13" customHeight="1" ht="18.75">
      <c r="A13" s="21"/>
      <c r="B13" s="36">
        <v>760127.33</v>
      </c>
      <c r="C13" s="36">
        <v>1169636.59</v>
      </c>
      <c r="D13" s="36">
        <v>-409509.26</v>
      </c>
      <c r="E13" s="37">
        <v>628</v>
      </c>
      <c r="F13" s="38">
        <v>51.5923566878981</v>
      </c>
      <c r="G13" s="39">
        <v>324</v>
      </c>
      <c r="H13" s="39">
        <v>304</v>
      </c>
      <c r="I13" s="36">
        <v>-402839.21</v>
      </c>
      <c r="J13" s="40">
        <v>0.117134852464923</v>
      </c>
      <c r="K13" s="40">
        <v>0.283979773293958</v>
      </c>
      <c r="L13" s="38">
        <f>-OPTI4_SORTINO_ALL_DATA[[#This Row], [Net Profit]]/OPTI4_SORTINO_ALL_DATA[[#This Row], [Max Intraday Drawdown]]</f>
      </c>
      <c r="M13" s="41">
        <v>0.5</v>
      </c>
      <c r="N13" s="38">
        <v>0.24</v>
      </c>
      <c r="O13" s="42">
        <v>0.3125557488178263</v>
      </c>
      <c r="P13" s="21">
        <f>(OPTI4_SORTINO_ALL_DATA[[#This Row], [Net Profit]]-B$74)/ABS(B$74)</f>
      </c>
      <c r="Q13" s="21">
        <f>(OPTI4_SORTINO_ALL_DATA[[#This Row], [UPI]]-J$74)/ABS(J$74)</f>
      </c>
      <c r="R13" s="21">
        <f>(OPTI4_SORTINO_ALL_DATA[[#This Row], [SORTINO AJUSTADO]]-K$74)/ABS(K$74)</f>
      </c>
      <c r="S13" s="21">
        <f>(OPTI4_SORTINO_ALL_DATA[[#This Row], [RECOVERY]]-L$74)/ABS(L$74)</f>
      </c>
      <c r="T13" s="21">
        <f>(OPTI4_SORTINO_ALL_DATA[[#This Row], [ROB]]-O$74)/ABS(O$74)</f>
      </c>
      <c r="U13" s="21">
        <f>SUM(OPTI4_SORTINO_ALL_DATA[[#This Row], [VAR NET PROFIT]:[VAR ROB]])</f>
      </c>
      <c r="V13" s="21">
        <f>OPTI4_SORTINO_ALL_DATA[[#This Row], [SUMA]]-OPTI4_SORTINO_ALL_DATA[[#This Row], [VAR ROB]]</f>
      </c>
    </row>
    <row x14ac:dyDescent="0.25" r="14" customHeight="1" ht="18.75">
      <c r="A14" s="21"/>
      <c r="B14" s="36">
        <v>780488.11</v>
      </c>
      <c r="C14" s="36">
        <v>1763993.13</v>
      </c>
      <c r="D14" s="36">
        <v>-983505.02</v>
      </c>
      <c r="E14" s="37">
        <v>2206</v>
      </c>
      <c r="F14" s="38">
        <v>42.4750679963735</v>
      </c>
      <c r="G14" s="39">
        <v>937</v>
      </c>
      <c r="H14" s="39">
        <v>1268</v>
      </c>
      <c r="I14" s="36">
        <v>-466222.45</v>
      </c>
      <c r="J14" s="40">
        <v>0.105697272377515</v>
      </c>
      <c r="K14" s="40">
        <v>0.30174648326251</v>
      </c>
      <c r="L14" s="38">
        <f>-OPTI4_SORTINO_ALL_DATA[[#This Row], [Net Profit]]/OPTI4_SORTINO_ALL_DATA[[#This Row], [Max Intraday Drawdown]]</f>
      </c>
      <c r="M14" s="41">
        <v>1.5</v>
      </c>
      <c r="N14" s="38">
        <v>0.18</v>
      </c>
      <c r="O14" s="42">
        <v>0.40965119111218484</v>
      </c>
      <c r="P14" s="21">
        <f>(OPTI4_SORTINO_ALL_DATA[[#This Row], [Net Profit]]-B$74)/ABS(B$74)</f>
      </c>
      <c r="Q14" s="21">
        <f>(OPTI4_SORTINO_ALL_DATA[[#This Row], [UPI]]-J$74)/ABS(J$74)</f>
      </c>
      <c r="R14" s="21">
        <f>(OPTI4_SORTINO_ALL_DATA[[#This Row], [SORTINO AJUSTADO]]-K$74)/ABS(K$74)</f>
      </c>
      <c r="S14" s="21">
        <f>(OPTI4_SORTINO_ALL_DATA[[#This Row], [RECOVERY]]-L$74)/ABS(L$74)</f>
      </c>
      <c r="T14" s="21">
        <f>(OPTI4_SORTINO_ALL_DATA[[#This Row], [ROB]]-O$74)/ABS(O$74)</f>
      </c>
      <c r="U14" s="21">
        <f>SUM(OPTI4_SORTINO_ALL_DATA[[#This Row], [VAR NET PROFIT]:[VAR ROB]])</f>
      </c>
      <c r="V14" s="21">
        <f>OPTI4_SORTINO_ALL_DATA[[#This Row], [SUMA]]-OPTI4_SORTINO_ALL_DATA[[#This Row], [VAR ROB]]</f>
      </c>
    </row>
    <row x14ac:dyDescent="0.25" r="15" customHeight="1" ht="18.75">
      <c r="A15" s="21"/>
      <c r="B15" s="36">
        <v>917631.6</v>
      </c>
      <c r="C15" s="36">
        <v>2014762.08</v>
      </c>
      <c r="D15" s="36">
        <v>-1097130.48</v>
      </c>
      <c r="E15" s="37">
        <v>1841</v>
      </c>
      <c r="F15" s="38">
        <v>42.6398696360674</v>
      </c>
      <c r="G15" s="39">
        <v>785</v>
      </c>
      <c r="H15" s="39">
        <v>1056</v>
      </c>
      <c r="I15" s="36">
        <v>-618243.93</v>
      </c>
      <c r="J15" s="40">
        <v>0.109254801808592</v>
      </c>
      <c r="K15" s="40">
        <v>0.299585272276449</v>
      </c>
      <c r="L15" s="38">
        <f>-OPTI4_SORTINO_ALL_DATA[[#This Row], [Net Profit]]/OPTI4_SORTINO_ALL_DATA[[#This Row], [Max Intraday Drawdown]]</f>
      </c>
      <c r="M15" s="41">
        <v>1.5</v>
      </c>
      <c r="N15" s="38">
        <v>0.2</v>
      </c>
      <c r="O15" s="42">
        <v>0.32332822486331086</v>
      </c>
      <c r="P15" s="21">
        <f>(OPTI4_SORTINO_ALL_DATA[[#This Row], [Net Profit]]-B$74)/ABS(B$74)</f>
      </c>
      <c r="Q15" s="21">
        <f>(OPTI4_SORTINO_ALL_DATA[[#This Row], [UPI]]-J$74)/ABS(J$74)</f>
      </c>
      <c r="R15" s="21">
        <f>(OPTI4_SORTINO_ALL_DATA[[#This Row], [SORTINO AJUSTADO]]-K$74)/ABS(K$74)</f>
      </c>
      <c r="S15" s="21">
        <f>(OPTI4_SORTINO_ALL_DATA[[#This Row], [RECOVERY]]-L$74)/ABS(L$74)</f>
      </c>
      <c r="T15" s="21">
        <f>(OPTI4_SORTINO_ALL_DATA[[#This Row], [ROB]]-O$74)/ABS(O$74)</f>
      </c>
      <c r="U15" s="21">
        <f>SUM(OPTI4_SORTINO_ALL_DATA[[#This Row], [VAR NET PROFIT]:[VAR ROB]])</f>
      </c>
      <c r="V15" s="21">
        <f>OPTI4_SORTINO_ALL_DATA[[#This Row], [SUMA]]-OPTI4_SORTINO_ALL_DATA[[#This Row], [VAR ROB]]</f>
      </c>
    </row>
    <row x14ac:dyDescent="0.25" r="16" customHeight="1" ht="18.75">
      <c r="A16" s="21"/>
      <c r="B16" s="36">
        <v>1059493.01</v>
      </c>
      <c r="C16" s="36">
        <v>2186958.41</v>
      </c>
      <c r="D16" s="36">
        <v>-1127465.4</v>
      </c>
      <c r="E16" s="37">
        <v>1303</v>
      </c>
      <c r="F16" s="38">
        <v>44.0521872601688</v>
      </c>
      <c r="G16" s="39">
        <v>574</v>
      </c>
      <c r="H16" s="39">
        <v>729</v>
      </c>
      <c r="I16" s="36">
        <v>-871902.03</v>
      </c>
      <c r="J16" s="40">
        <v>0.110201124578827</v>
      </c>
      <c r="K16" s="40">
        <v>0.311939426306937</v>
      </c>
      <c r="L16" s="38">
        <f>-OPTI4_SORTINO_ALL_DATA[[#This Row], [Net Profit]]/OPTI4_SORTINO_ALL_DATA[[#This Row], [Max Intraday Drawdown]]</f>
      </c>
      <c r="M16" s="41">
        <v>1</v>
      </c>
      <c r="N16" s="38">
        <v>0.23</v>
      </c>
      <c r="O16" s="42">
        <v>0.24033095834894042</v>
      </c>
      <c r="P16" s="21">
        <f>(OPTI4_SORTINO_ALL_DATA[[#This Row], [Net Profit]]-B$74)/ABS(B$74)</f>
      </c>
      <c r="Q16" s="21">
        <f>(OPTI4_SORTINO_ALL_DATA[[#This Row], [UPI]]-J$74)/ABS(J$74)</f>
      </c>
      <c r="R16" s="21">
        <f>(OPTI4_SORTINO_ALL_DATA[[#This Row], [SORTINO AJUSTADO]]-K$74)/ABS(K$74)</f>
      </c>
      <c r="S16" s="21">
        <f>(OPTI4_SORTINO_ALL_DATA[[#This Row], [RECOVERY]]-L$74)/ABS(L$74)</f>
      </c>
      <c r="T16" s="21">
        <f>(OPTI4_SORTINO_ALL_DATA[[#This Row], [ROB]]-O$74)/ABS(O$74)</f>
      </c>
      <c r="U16" s="21">
        <f>SUM(OPTI4_SORTINO_ALL_DATA[[#This Row], [VAR NET PROFIT]:[VAR ROB]])</f>
      </c>
      <c r="V16" s="21">
        <f>OPTI4_SORTINO_ALL_DATA[[#This Row], [SUMA]]-OPTI4_SORTINO_ALL_DATA[[#This Row], [VAR ROB]]</f>
      </c>
    </row>
    <row x14ac:dyDescent="0.25" r="17" customHeight="1" ht="18.75">
      <c r="A17" s="21"/>
      <c r="B17" s="36">
        <v>975763.71</v>
      </c>
      <c r="C17" s="36">
        <v>2125420.79</v>
      </c>
      <c r="D17" s="36">
        <v>-1149657.08</v>
      </c>
      <c r="E17" s="37">
        <v>1918</v>
      </c>
      <c r="F17" s="38">
        <v>42.2836287799791</v>
      </c>
      <c r="G17" s="39">
        <v>811</v>
      </c>
      <c r="H17" s="39">
        <v>1107</v>
      </c>
      <c r="I17" s="36">
        <v>-645162.829999999</v>
      </c>
      <c r="J17" s="40">
        <v>0.103110713171376</v>
      </c>
      <c r="K17" s="40">
        <v>0.298287201875221</v>
      </c>
      <c r="L17" s="38">
        <f>-OPTI4_SORTINO_ALL_DATA[[#This Row], [Net Profit]]/OPTI4_SORTINO_ALL_DATA[[#This Row], [Max Intraday Drawdown]]</f>
      </c>
      <c r="M17" s="41">
        <v>0</v>
      </c>
      <c r="N17" s="38">
        <v>0.2</v>
      </c>
      <c r="O17" s="42">
        <v>0.31359229998299165</v>
      </c>
      <c r="P17" s="21">
        <f>(OPTI4_SORTINO_ALL_DATA[[#This Row], [Net Profit]]-B$74)/ABS(B$74)</f>
      </c>
      <c r="Q17" s="21">
        <f>(OPTI4_SORTINO_ALL_DATA[[#This Row], [UPI]]-J$74)/ABS(J$74)</f>
      </c>
      <c r="R17" s="21">
        <f>(OPTI4_SORTINO_ALL_DATA[[#This Row], [SORTINO AJUSTADO]]-K$74)/ABS(K$74)</f>
      </c>
      <c r="S17" s="21">
        <f>(OPTI4_SORTINO_ALL_DATA[[#This Row], [RECOVERY]]-L$74)/ABS(L$74)</f>
      </c>
      <c r="T17" s="21">
        <f>(OPTI4_SORTINO_ALL_DATA[[#This Row], [ROB]]-O$74)/ABS(O$74)</f>
      </c>
      <c r="U17" s="21">
        <f>SUM(OPTI4_SORTINO_ALL_DATA[[#This Row], [VAR NET PROFIT]:[VAR ROB]])</f>
      </c>
      <c r="V17" s="21">
        <f>OPTI4_SORTINO_ALL_DATA[[#This Row], [SUMA]]-OPTI4_SORTINO_ALL_DATA[[#This Row], [VAR ROB]]</f>
      </c>
    </row>
    <row x14ac:dyDescent="0.25" r="18" customHeight="1" ht="18.75">
      <c r="A18" s="21"/>
      <c r="B18" s="36">
        <v>1068054.14</v>
      </c>
      <c r="C18" s="36">
        <v>2216190.8</v>
      </c>
      <c r="D18" s="36">
        <v>-1148136.66</v>
      </c>
      <c r="E18" s="37">
        <v>1495</v>
      </c>
      <c r="F18" s="38">
        <v>42.6755852842809</v>
      </c>
      <c r="G18" s="39">
        <v>638</v>
      </c>
      <c r="H18" s="39">
        <v>857</v>
      </c>
      <c r="I18" s="36">
        <v>-823723.250000002</v>
      </c>
      <c r="J18" s="40">
        <v>0.107914018950777</v>
      </c>
      <c r="K18" s="40">
        <v>0.297943743975098</v>
      </c>
      <c r="L18" s="38">
        <f>-OPTI4_SORTINO_ALL_DATA[[#This Row], [Net Profit]]/OPTI4_SORTINO_ALL_DATA[[#This Row], [Max Intraday Drawdown]]</f>
      </c>
      <c r="M18" s="41">
        <v>0</v>
      </c>
      <c r="N18" s="38">
        <v>0.23</v>
      </c>
      <c r="O18" s="42">
        <v>0.24905645052055322</v>
      </c>
      <c r="P18" s="21">
        <f>(OPTI4_SORTINO_ALL_DATA[[#This Row], [Net Profit]]-B$74)/ABS(B$74)</f>
      </c>
      <c r="Q18" s="21">
        <f>(OPTI4_SORTINO_ALL_DATA[[#This Row], [UPI]]-J$74)/ABS(J$74)</f>
      </c>
      <c r="R18" s="21">
        <f>(OPTI4_SORTINO_ALL_DATA[[#This Row], [SORTINO AJUSTADO]]-K$74)/ABS(K$74)</f>
      </c>
      <c r="S18" s="21">
        <f>(OPTI4_SORTINO_ALL_DATA[[#This Row], [RECOVERY]]-L$74)/ABS(L$74)</f>
      </c>
      <c r="T18" s="21">
        <f>(OPTI4_SORTINO_ALL_DATA[[#This Row], [ROB]]-O$74)/ABS(O$74)</f>
      </c>
      <c r="U18" s="21">
        <f>SUM(OPTI4_SORTINO_ALL_DATA[[#This Row], [VAR NET PROFIT]:[VAR ROB]])</f>
      </c>
      <c r="V18" s="21">
        <f>OPTI4_SORTINO_ALL_DATA[[#This Row], [SUMA]]-OPTI4_SORTINO_ALL_DATA[[#This Row], [VAR ROB]]</f>
      </c>
    </row>
    <row x14ac:dyDescent="0.25" r="19" customHeight="1" ht="18.75">
      <c r="A19" s="21"/>
      <c r="B19" s="36">
        <v>797566.97</v>
      </c>
      <c r="C19" s="36">
        <v>1676707.34</v>
      </c>
      <c r="D19" s="36">
        <v>-879140.37</v>
      </c>
      <c r="E19" s="37">
        <v>1832</v>
      </c>
      <c r="F19" s="38">
        <v>43.1222707423581</v>
      </c>
      <c r="G19" s="39">
        <v>790</v>
      </c>
      <c r="H19" s="39">
        <v>1042</v>
      </c>
      <c r="I19" s="36">
        <v>-479920.060000001</v>
      </c>
      <c r="J19" s="40">
        <v>0.102306126411598</v>
      </c>
      <c r="K19" s="40">
        <v>0.304201441190522</v>
      </c>
      <c r="L19" s="38">
        <f>-OPTI4_SORTINO_ALL_DATA[[#This Row], [Net Profit]]/OPTI4_SORTINO_ALL_DATA[[#This Row], [Max Intraday Drawdown]]</f>
      </c>
      <c r="M19" s="41">
        <v>1</v>
      </c>
      <c r="N19" s="38">
        <v>0.19</v>
      </c>
      <c r="O19" s="42">
        <v>0.3707048427219904</v>
      </c>
      <c r="P19" s="21">
        <f>(OPTI4_SORTINO_ALL_DATA[[#This Row], [Net Profit]]-B$74)/ABS(B$74)</f>
      </c>
      <c r="Q19" s="21">
        <f>(OPTI4_SORTINO_ALL_DATA[[#This Row], [UPI]]-J$74)/ABS(J$74)</f>
      </c>
      <c r="R19" s="21">
        <f>(OPTI4_SORTINO_ALL_DATA[[#This Row], [SORTINO AJUSTADO]]-K$74)/ABS(K$74)</f>
      </c>
      <c r="S19" s="21">
        <f>(OPTI4_SORTINO_ALL_DATA[[#This Row], [RECOVERY]]-L$74)/ABS(L$74)</f>
      </c>
      <c r="T19" s="21">
        <f>(OPTI4_SORTINO_ALL_DATA[[#This Row], [ROB]]-O$74)/ABS(O$74)</f>
      </c>
      <c r="U19" s="21">
        <f>SUM(OPTI4_SORTINO_ALL_DATA[[#This Row], [VAR NET PROFIT]:[VAR ROB]])</f>
      </c>
      <c r="V19" s="21">
        <f>OPTI4_SORTINO_ALL_DATA[[#This Row], [SUMA]]-OPTI4_SORTINO_ALL_DATA[[#This Row], [VAR ROB]]</f>
      </c>
    </row>
    <row x14ac:dyDescent="0.25" r="20" customHeight="1" ht="18.75">
      <c r="A20" s="21"/>
      <c r="B20" s="36">
        <v>331525.62</v>
      </c>
      <c r="C20" s="36">
        <v>622193.03</v>
      </c>
      <c r="D20" s="36">
        <v>-290667.41</v>
      </c>
      <c r="E20" s="37">
        <v>993</v>
      </c>
      <c r="F20" s="38">
        <v>45.3172205438066</v>
      </c>
      <c r="G20" s="39">
        <v>450</v>
      </c>
      <c r="H20" s="39">
        <v>543</v>
      </c>
      <c r="I20" s="36">
        <v>-136670.61</v>
      </c>
      <c r="J20" s="40">
        <v>0.113400083312371</v>
      </c>
      <c r="K20" s="40">
        <v>0.283783040656844</v>
      </c>
      <c r="L20" s="38">
        <f>-OPTI4_SORTINO_ALL_DATA[[#This Row], [Net Profit]]/OPTI4_SORTINO_ALL_DATA[[#This Row], [Max Intraday Drawdown]]</f>
      </c>
      <c r="M20" s="41">
        <v>0.5</v>
      </c>
      <c r="N20" s="38">
        <v>0.16</v>
      </c>
      <c r="O20" s="42">
        <v>0.41740479519996254</v>
      </c>
      <c r="P20" s="21">
        <f>(OPTI4_SORTINO_ALL_DATA[[#This Row], [Net Profit]]-B$74)/ABS(B$74)</f>
      </c>
      <c r="Q20" s="21">
        <f>(OPTI4_SORTINO_ALL_DATA[[#This Row], [UPI]]-J$74)/ABS(J$74)</f>
      </c>
      <c r="R20" s="21">
        <f>(OPTI4_SORTINO_ALL_DATA[[#This Row], [SORTINO AJUSTADO]]-K$74)/ABS(K$74)</f>
      </c>
      <c r="S20" s="21">
        <f>(OPTI4_SORTINO_ALL_DATA[[#This Row], [RECOVERY]]-L$74)/ABS(L$74)</f>
      </c>
      <c r="T20" s="21">
        <f>(OPTI4_SORTINO_ALL_DATA[[#This Row], [ROB]]-O$74)/ABS(O$74)</f>
      </c>
      <c r="U20" s="21">
        <f>SUM(OPTI4_SORTINO_ALL_DATA[[#This Row], [VAR NET PROFIT]:[VAR ROB]])</f>
      </c>
      <c r="V20" s="21">
        <f>OPTI4_SORTINO_ALL_DATA[[#This Row], [SUMA]]-OPTI4_SORTINO_ALL_DATA[[#This Row], [VAR ROB]]</f>
      </c>
    </row>
    <row x14ac:dyDescent="0.25" r="21" customHeight="1" ht="18.75">
      <c r="A21" s="21"/>
      <c r="B21" s="36">
        <v>792324.18</v>
      </c>
      <c r="C21" s="36">
        <v>1775593.65</v>
      </c>
      <c r="D21" s="36">
        <v>-983269.47</v>
      </c>
      <c r="E21" s="37">
        <v>2023</v>
      </c>
      <c r="F21" s="38">
        <v>42.3628274839348</v>
      </c>
      <c r="G21" s="39">
        <v>857</v>
      </c>
      <c r="H21" s="39">
        <v>1166</v>
      </c>
      <c r="I21" s="36">
        <v>-481936.11</v>
      </c>
      <c r="J21" s="40">
        <v>0.103594884869184</v>
      </c>
      <c r="K21" s="40">
        <v>0.293144131999621</v>
      </c>
      <c r="L21" s="38">
        <f>-OPTI4_SORTINO_ALL_DATA[[#This Row], [Net Profit]]/OPTI4_SORTINO_ALL_DATA[[#This Row], [Max Intraday Drawdown]]</f>
      </c>
      <c r="M21" s="41">
        <v>1.5</v>
      </c>
      <c r="N21" s="38">
        <v>0.19</v>
      </c>
      <c r="O21" s="42">
        <v>0.37555652091613867</v>
      </c>
      <c r="P21" s="21">
        <f>(OPTI4_SORTINO_ALL_DATA[[#This Row], [Net Profit]]-B$74)/ABS(B$74)</f>
      </c>
      <c r="Q21" s="21">
        <f>(OPTI4_SORTINO_ALL_DATA[[#This Row], [UPI]]-J$74)/ABS(J$74)</f>
      </c>
      <c r="R21" s="21">
        <f>(OPTI4_SORTINO_ALL_DATA[[#This Row], [SORTINO AJUSTADO]]-K$74)/ABS(K$74)</f>
      </c>
      <c r="S21" s="21">
        <f>(OPTI4_SORTINO_ALL_DATA[[#This Row], [RECOVERY]]-L$74)/ABS(L$74)</f>
      </c>
      <c r="T21" s="21">
        <f>(OPTI4_SORTINO_ALL_DATA[[#This Row], [ROB]]-O$74)/ABS(O$74)</f>
      </c>
      <c r="U21" s="21">
        <f>SUM(OPTI4_SORTINO_ALL_DATA[[#This Row], [VAR NET PROFIT]:[VAR ROB]])</f>
      </c>
      <c r="V21" s="21">
        <f>OPTI4_SORTINO_ALL_DATA[[#This Row], [SUMA]]-OPTI4_SORTINO_ALL_DATA[[#This Row], [VAR ROB]]</f>
      </c>
    </row>
    <row x14ac:dyDescent="0.25" r="22" customHeight="1" ht="18.75">
      <c r="A22" s="21"/>
      <c r="B22" s="36">
        <v>718648.66</v>
      </c>
      <c r="C22" s="36">
        <v>1576684.28</v>
      </c>
      <c r="D22" s="36">
        <v>-858035.62</v>
      </c>
      <c r="E22" s="37">
        <v>2006</v>
      </c>
      <c r="F22" s="38">
        <v>42.6719840478564</v>
      </c>
      <c r="G22" s="39">
        <v>856</v>
      </c>
      <c r="H22" s="39">
        <v>1150</v>
      </c>
      <c r="I22" s="36">
        <v>-426236.5</v>
      </c>
      <c r="J22" s="40">
        <v>0.102306158338986</v>
      </c>
      <c r="K22" s="40">
        <v>0.303748799948488</v>
      </c>
      <c r="L22" s="38">
        <f>-OPTI4_SORTINO_ALL_DATA[[#This Row], [Net Profit]]/OPTI4_SORTINO_ALL_DATA[[#This Row], [Max Intraday Drawdown]]</f>
      </c>
      <c r="M22" s="41">
        <v>1</v>
      </c>
      <c r="N22" s="38">
        <v>0.18</v>
      </c>
      <c r="O22" s="42">
        <v>0.37908058436943964</v>
      </c>
      <c r="P22" s="21">
        <f>(OPTI4_SORTINO_ALL_DATA[[#This Row], [Net Profit]]-B$74)/ABS(B$74)</f>
      </c>
      <c r="Q22" s="21">
        <f>(OPTI4_SORTINO_ALL_DATA[[#This Row], [UPI]]-J$74)/ABS(J$74)</f>
      </c>
      <c r="R22" s="21">
        <f>(OPTI4_SORTINO_ALL_DATA[[#This Row], [SORTINO AJUSTADO]]-K$74)/ABS(K$74)</f>
      </c>
      <c r="S22" s="21">
        <f>(OPTI4_SORTINO_ALL_DATA[[#This Row], [RECOVERY]]-L$74)/ABS(L$74)</f>
      </c>
      <c r="T22" s="21">
        <f>(OPTI4_SORTINO_ALL_DATA[[#This Row], [ROB]]-O$74)/ABS(O$74)</f>
      </c>
      <c r="U22" s="21">
        <f>SUM(OPTI4_SORTINO_ALL_DATA[[#This Row], [VAR NET PROFIT]:[VAR ROB]])</f>
      </c>
      <c r="V22" s="21">
        <f>OPTI4_SORTINO_ALL_DATA[[#This Row], [SUMA]]-OPTI4_SORTINO_ALL_DATA[[#This Row], [VAR ROB]]</f>
      </c>
    </row>
    <row x14ac:dyDescent="0.25" r="23" customHeight="1" ht="18.75">
      <c r="A23" s="21"/>
      <c r="B23" s="36">
        <v>418786.04</v>
      </c>
      <c r="C23" s="36">
        <v>755560.82</v>
      </c>
      <c r="D23" s="36">
        <v>-336774.78</v>
      </c>
      <c r="E23" s="37">
        <v>891</v>
      </c>
      <c r="F23" s="38">
        <v>47.699214365881</v>
      </c>
      <c r="G23" s="39">
        <v>425</v>
      </c>
      <c r="H23" s="39">
        <v>466</v>
      </c>
      <c r="I23" s="36">
        <v>-190217.58</v>
      </c>
      <c r="J23" s="40">
        <v>0.114597965280296</v>
      </c>
      <c r="K23" s="40">
        <v>0.288289862202724</v>
      </c>
      <c r="L23" s="38">
        <f>-OPTI4_SORTINO_ALL_DATA[[#This Row], [Net Profit]]/OPTI4_SORTINO_ALL_DATA[[#This Row], [Max Intraday Drawdown]]</f>
      </c>
      <c r="M23" s="41">
        <v>0.5</v>
      </c>
      <c r="N23" s="38">
        <v>0.18</v>
      </c>
      <c r="O23" s="42">
        <v>0.33632118430705504</v>
      </c>
      <c r="P23" s="21">
        <f>(OPTI4_SORTINO_ALL_DATA[[#This Row], [Net Profit]]-B$74)/ABS(B$74)</f>
      </c>
      <c r="Q23" s="21">
        <f>(OPTI4_SORTINO_ALL_DATA[[#This Row], [UPI]]-J$74)/ABS(J$74)</f>
      </c>
      <c r="R23" s="21">
        <f>(OPTI4_SORTINO_ALL_DATA[[#This Row], [SORTINO AJUSTADO]]-K$74)/ABS(K$74)</f>
      </c>
      <c r="S23" s="21">
        <f>(OPTI4_SORTINO_ALL_DATA[[#This Row], [RECOVERY]]-L$74)/ABS(L$74)</f>
      </c>
      <c r="T23" s="21">
        <f>(OPTI4_SORTINO_ALL_DATA[[#This Row], [ROB]]-O$74)/ABS(O$74)</f>
      </c>
      <c r="U23" s="21">
        <f>SUM(OPTI4_SORTINO_ALL_DATA[[#This Row], [VAR NET PROFIT]:[VAR ROB]])</f>
      </c>
      <c r="V23" s="21">
        <f>OPTI4_SORTINO_ALL_DATA[[#This Row], [SUMA]]-OPTI4_SORTINO_ALL_DATA[[#This Row], [VAR ROB]]</f>
      </c>
    </row>
    <row x14ac:dyDescent="0.25" r="24" customHeight="1" ht="18.75">
      <c r="A24" s="21"/>
      <c r="B24" s="36">
        <v>538160.18</v>
      </c>
      <c r="C24" s="36">
        <v>932149.48</v>
      </c>
      <c r="D24" s="36">
        <v>-393989.3</v>
      </c>
      <c r="E24" s="37">
        <v>792</v>
      </c>
      <c r="F24" s="38">
        <v>48.989898989899</v>
      </c>
      <c r="G24" s="39">
        <v>388</v>
      </c>
      <c r="H24" s="39">
        <v>404</v>
      </c>
      <c r="I24" s="36">
        <v>-265371.8</v>
      </c>
      <c r="J24" s="40">
        <v>0.117104820206568</v>
      </c>
      <c r="K24" s="40">
        <v>0.283136725681261</v>
      </c>
      <c r="L24" s="38">
        <f>-OPTI4_SORTINO_ALL_DATA[[#This Row], [Net Profit]]/OPTI4_SORTINO_ALL_DATA[[#This Row], [Max Intraday Drawdown]]</f>
      </c>
      <c r="M24" s="41">
        <v>0.5</v>
      </c>
      <c r="N24" s="38">
        <v>0.2</v>
      </c>
      <c r="O24" s="42">
        <v>0.2568365799357989</v>
      </c>
      <c r="P24" s="21">
        <f>(OPTI4_SORTINO_ALL_DATA[[#This Row], [Net Profit]]-B$74)/ABS(B$74)</f>
      </c>
      <c r="Q24" s="21">
        <f>(OPTI4_SORTINO_ALL_DATA[[#This Row], [UPI]]-J$74)/ABS(J$74)</f>
      </c>
      <c r="R24" s="21">
        <f>(OPTI4_SORTINO_ALL_DATA[[#This Row], [SORTINO AJUSTADO]]-K$74)/ABS(K$74)</f>
      </c>
      <c r="S24" s="21">
        <f>(OPTI4_SORTINO_ALL_DATA[[#This Row], [RECOVERY]]-L$74)/ABS(L$74)</f>
      </c>
      <c r="T24" s="21">
        <f>(OPTI4_SORTINO_ALL_DATA[[#This Row], [ROB]]-O$74)/ABS(O$74)</f>
      </c>
      <c r="U24" s="21">
        <f>SUM(OPTI4_SORTINO_ALL_DATA[[#This Row], [VAR NET PROFIT]:[VAR ROB]])</f>
      </c>
      <c r="V24" s="21">
        <f>OPTI4_SORTINO_ALL_DATA[[#This Row], [SUMA]]-OPTI4_SORTINO_ALL_DATA[[#This Row], [VAR ROB]]</f>
      </c>
    </row>
    <row x14ac:dyDescent="0.25" r="25" customHeight="1" ht="18.75">
      <c r="A25" s="21"/>
      <c r="B25" s="36">
        <v>685591.02</v>
      </c>
      <c r="C25" s="36">
        <v>1121468.28</v>
      </c>
      <c r="D25" s="36">
        <v>-435877.26</v>
      </c>
      <c r="E25" s="37">
        <v>664</v>
      </c>
      <c r="F25" s="38">
        <v>50.6024096385542</v>
      </c>
      <c r="G25" s="39">
        <v>336</v>
      </c>
      <c r="H25" s="39">
        <v>328</v>
      </c>
      <c r="I25" s="36">
        <v>-391727.300000001</v>
      </c>
      <c r="J25" s="40">
        <v>0.11396939311995</v>
      </c>
      <c r="K25" s="40">
        <v>0.284906707433521</v>
      </c>
      <c r="L25" s="38">
        <f>-OPTI4_SORTINO_ALL_DATA[[#This Row], [Net Profit]]/OPTI4_SORTINO_ALL_DATA[[#This Row], [Max Intraday Drawdown]]</f>
      </c>
      <c r="M25" s="41">
        <v>0.5</v>
      </c>
      <c r="N25" s="38">
        <v>0.23</v>
      </c>
      <c r="O25" s="42">
        <v>0.2553235409206898</v>
      </c>
      <c r="P25" s="21">
        <f>(OPTI4_SORTINO_ALL_DATA[[#This Row], [Net Profit]]-B$74)/ABS(B$74)</f>
      </c>
      <c r="Q25" s="21">
        <f>(OPTI4_SORTINO_ALL_DATA[[#This Row], [UPI]]-J$74)/ABS(J$74)</f>
      </c>
      <c r="R25" s="21">
        <f>(OPTI4_SORTINO_ALL_DATA[[#This Row], [SORTINO AJUSTADO]]-K$74)/ABS(K$74)</f>
      </c>
      <c r="S25" s="21">
        <f>(OPTI4_SORTINO_ALL_DATA[[#This Row], [RECOVERY]]-L$74)/ABS(L$74)</f>
      </c>
      <c r="T25" s="21">
        <f>(OPTI4_SORTINO_ALL_DATA[[#This Row], [ROB]]-O$74)/ABS(O$74)</f>
      </c>
      <c r="U25" s="21">
        <f>SUM(OPTI4_SORTINO_ALL_DATA[[#This Row], [VAR NET PROFIT]:[VAR ROB]])</f>
      </c>
      <c r="V25" s="21">
        <f>OPTI4_SORTINO_ALL_DATA[[#This Row], [SUMA]]-OPTI4_SORTINO_ALL_DATA[[#This Row], [VAR ROB]]</f>
      </c>
    </row>
    <row x14ac:dyDescent="0.25" r="26" customHeight="1" ht="18.75">
      <c r="A26" s="21"/>
      <c r="B26" s="36">
        <v>462074.62</v>
      </c>
      <c r="C26" s="36">
        <v>815246.52</v>
      </c>
      <c r="D26" s="36">
        <v>-353171.9</v>
      </c>
      <c r="E26" s="37">
        <v>834</v>
      </c>
      <c r="F26" s="38">
        <v>49.0407673860911</v>
      </c>
      <c r="G26" s="39">
        <v>409</v>
      </c>
      <c r="H26" s="39">
        <v>425</v>
      </c>
      <c r="I26" s="36">
        <v>-214876.8</v>
      </c>
      <c r="J26" s="40">
        <v>0.113743166903376</v>
      </c>
      <c r="K26" s="40">
        <v>0.281379028210981</v>
      </c>
      <c r="L26" s="38">
        <f>-OPTI4_SORTINO_ALL_DATA[[#This Row], [Net Profit]]/OPTI4_SORTINO_ALL_DATA[[#This Row], [Max Intraday Drawdown]]</f>
      </c>
      <c r="M26" s="41">
        <v>0.5</v>
      </c>
      <c r="N26" s="38">
        <v>0.19</v>
      </c>
      <c r="O26" s="42">
        <v>0.28646012112708824</v>
      </c>
      <c r="P26" s="21">
        <f>(OPTI4_SORTINO_ALL_DATA[[#This Row], [Net Profit]]-B$74)/ABS(B$74)</f>
      </c>
      <c r="Q26" s="21">
        <f>(OPTI4_SORTINO_ALL_DATA[[#This Row], [UPI]]-J$74)/ABS(J$74)</f>
      </c>
      <c r="R26" s="21">
        <f>(OPTI4_SORTINO_ALL_DATA[[#This Row], [SORTINO AJUSTADO]]-K$74)/ABS(K$74)</f>
      </c>
      <c r="S26" s="21">
        <f>(OPTI4_SORTINO_ALL_DATA[[#This Row], [RECOVERY]]-L$74)/ABS(L$74)</f>
      </c>
      <c r="T26" s="21">
        <f>(OPTI4_SORTINO_ALL_DATA[[#This Row], [ROB]]-O$74)/ABS(O$74)</f>
      </c>
      <c r="U26" s="21">
        <f>SUM(OPTI4_SORTINO_ALL_DATA[[#This Row], [VAR NET PROFIT]:[VAR ROB]])</f>
      </c>
      <c r="V26" s="21">
        <f>OPTI4_SORTINO_ALL_DATA[[#This Row], [SUMA]]-OPTI4_SORTINO_ALL_DATA[[#This Row], [VAR ROB]]</f>
      </c>
    </row>
    <row x14ac:dyDescent="0.25" r="27" customHeight="1" ht="18.75">
      <c r="A27" s="21"/>
      <c r="B27" s="36">
        <v>359079.27</v>
      </c>
      <c r="C27" s="36">
        <v>667119.26</v>
      </c>
      <c r="D27" s="36">
        <v>-308039.99</v>
      </c>
      <c r="E27" s="37">
        <v>949</v>
      </c>
      <c r="F27" s="38">
        <v>45.9430979978925</v>
      </c>
      <c r="G27" s="39">
        <v>436</v>
      </c>
      <c r="H27" s="39">
        <v>513</v>
      </c>
      <c r="I27" s="36">
        <v>-159234.22</v>
      </c>
      <c r="J27" s="40">
        <v>0.11071182809693</v>
      </c>
      <c r="K27" s="40">
        <v>0.275916374090662</v>
      </c>
      <c r="L27" s="38">
        <f>-OPTI4_SORTINO_ALL_DATA[[#This Row], [Net Profit]]/OPTI4_SORTINO_ALL_DATA[[#This Row], [Max Intraday Drawdown]]</f>
      </c>
      <c r="M27" s="41">
        <v>0.5</v>
      </c>
      <c r="N27" s="38">
        <v>0.17</v>
      </c>
      <c r="O27" s="42">
        <v>0.3853067538524451</v>
      </c>
      <c r="P27" s="21">
        <f>(OPTI4_SORTINO_ALL_DATA[[#This Row], [Net Profit]]-B$74)/ABS(B$74)</f>
      </c>
      <c r="Q27" s="21">
        <f>(OPTI4_SORTINO_ALL_DATA[[#This Row], [UPI]]-J$74)/ABS(J$74)</f>
      </c>
      <c r="R27" s="21">
        <f>(OPTI4_SORTINO_ALL_DATA[[#This Row], [SORTINO AJUSTADO]]-K$74)/ABS(K$74)</f>
      </c>
      <c r="S27" s="21">
        <f>(OPTI4_SORTINO_ALL_DATA[[#This Row], [RECOVERY]]-L$74)/ABS(L$74)</f>
      </c>
      <c r="T27" s="21">
        <f>(OPTI4_SORTINO_ALL_DATA[[#This Row], [ROB]]-O$74)/ABS(O$74)</f>
      </c>
      <c r="U27" s="21">
        <f>SUM(OPTI4_SORTINO_ALL_DATA[[#This Row], [VAR NET PROFIT]:[VAR ROB]])</f>
      </c>
      <c r="V27" s="21">
        <f>OPTI4_SORTINO_ALL_DATA[[#This Row], [SUMA]]-OPTI4_SORTINO_ALL_DATA[[#This Row], [VAR ROB]]</f>
      </c>
    </row>
    <row x14ac:dyDescent="0.25" r="28" customHeight="1" ht="18.75">
      <c r="A28" s="21"/>
      <c r="B28" s="36">
        <v>705499.59</v>
      </c>
      <c r="C28" s="36">
        <v>1647497.47</v>
      </c>
      <c r="D28" s="36">
        <v>-941997.88</v>
      </c>
      <c r="E28" s="37">
        <v>2306</v>
      </c>
      <c r="F28" s="38">
        <v>41.6305290546401</v>
      </c>
      <c r="G28" s="39">
        <v>960</v>
      </c>
      <c r="H28" s="39">
        <v>1346</v>
      </c>
      <c r="I28" s="36">
        <v>-416835.55</v>
      </c>
      <c r="J28" s="40">
        <v>0.0955401658567879</v>
      </c>
      <c r="K28" s="40">
        <v>0.293160912629577</v>
      </c>
      <c r="L28" s="38">
        <f>-OPTI4_SORTINO_ALL_DATA[[#This Row], [Net Profit]]/OPTI4_SORTINO_ALL_DATA[[#This Row], [Max Intraday Drawdown]]</f>
      </c>
      <c r="M28" s="41">
        <v>0</v>
      </c>
      <c r="N28" s="38">
        <v>0.18</v>
      </c>
      <c r="O28" s="42">
        <v>0.38458222993174446</v>
      </c>
      <c r="P28" s="21">
        <f>(OPTI4_SORTINO_ALL_DATA[[#This Row], [Net Profit]]-B$74)/ABS(B$74)</f>
      </c>
      <c r="Q28" s="21">
        <f>(OPTI4_SORTINO_ALL_DATA[[#This Row], [UPI]]-J$74)/ABS(J$74)</f>
      </c>
      <c r="R28" s="21">
        <f>(OPTI4_SORTINO_ALL_DATA[[#This Row], [SORTINO AJUSTADO]]-K$74)/ABS(K$74)</f>
      </c>
      <c r="S28" s="21">
        <f>(OPTI4_SORTINO_ALL_DATA[[#This Row], [RECOVERY]]-L$74)/ABS(L$74)</f>
      </c>
      <c r="T28" s="21">
        <f>(OPTI4_SORTINO_ALL_DATA[[#This Row], [ROB]]-O$74)/ABS(O$74)</f>
      </c>
      <c r="U28" s="21">
        <f>SUM(OPTI4_SORTINO_ALL_DATA[[#This Row], [VAR NET PROFIT]:[VAR ROB]])</f>
      </c>
      <c r="V28" s="21">
        <f>OPTI4_SORTINO_ALL_DATA[[#This Row], [SUMA]]-OPTI4_SORTINO_ALL_DATA[[#This Row], [VAR ROB]]</f>
      </c>
    </row>
    <row x14ac:dyDescent="0.25" r="29" customHeight="1" ht="18.75">
      <c r="A29" s="21"/>
      <c r="B29" s="36">
        <v>618375.81</v>
      </c>
      <c r="C29" s="36">
        <v>1046926.27</v>
      </c>
      <c r="D29" s="36">
        <v>-428550.46</v>
      </c>
      <c r="E29" s="37">
        <v>703</v>
      </c>
      <c r="F29" s="38">
        <v>49.50213371266</v>
      </c>
      <c r="G29" s="39">
        <v>348</v>
      </c>
      <c r="H29" s="39">
        <v>355</v>
      </c>
      <c r="I29" s="36">
        <v>-353522.16</v>
      </c>
      <c r="J29" s="40">
        <v>0.113072606723878</v>
      </c>
      <c r="K29" s="40">
        <v>0.2875386030299</v>
      </c>
      <c r="L29" s="38">
        <f>-OPTI4_SORTINO_ALL_DATA[[#This Row], [Net Profit]]/OPTI4_SORTINO_ALL_DATA[[#This Row], [Max Intraday Drawdown]]</f>
      </c>
      <c r="M29" s="41">
        <v>0.5</v>
      </c>
      <c r="N29" s="38">
        <v>0.22</v>
      </c>
      <c r="O29" s="42">
        <v>0.24489225603433848</v>
      </c>
      <c r="P29" s="21">
        <f>(OPTI4_SORTINO_ALL_DATA[[#This Row], [Net Profit]]-B$74)/ABS(B$74)</f>
      </c>
      <c r="Q29" s="21">
        <f>(OPTI4_SORTINO_ALL_DATA[[#This Row], [UPI]]-J$74)/ABS(J$74)</f>
      </c>
      <c r="R29" s="21">
        <f>(OPTI4_SORTINO_ALL_DATA[[#This Row], [SORTINO AJUSTADO]]-K$74)/ABS(K$74)</f>
      </c>
      <c r="S29" s="21">
        <f>(OPTI4_SORTINO_ALL_DATA[[#This Row], [RECOVERY]]-L$74)/ABS(L$74)</f>
      </c>
      <c r="T29" s="21">
        <f>(OPTI4_SORTINO_ALL_DATA[[#This Row], [ROB]]-O$74)/ABS(O$74)</f>
      </c>
      <c r="U29" s="21">
        <f>SUM(OPTI4_SORTINO_ALL_DATA[[#This Row], [VAR NET PROFIT]:[VAR ROB]])</f>
      </c>
      <c r="V29" s="21">
        <f>OPTI4_SORTINO_ALL_DATA[[#This Row], [SUMA]]-OPTI4_SORTINO_ALL_DATA[[#This Row], [VAR ROB]]</f>
      </c>
    </row>
    <row x14ac:dyDescent="0.25" r="30" customHeight="1" ht="18.75">
      <c r="A30" s="21"/>
      <c r="B30" s="36">
        <v>560716.3</v>
      </c>
      <c r="C30" s="36">
        <v>973327.92</v>
      </c>
      <c r="D30" s="36">
        <v>-412611.62</v>
      </c>
      <c r="E30" s="37">
        <v>736</v>
      </c>
      <c r="F30" s="38">
        <v>49.1847826086956</v>
      </c>
      <c r="G30" s="39">
        <v>362</v>
      </c>
      <c r="H30" s="39">
        <v>374</v>
      </c>
      <c r="I30" s="36">
        <v>-300150.31</v>
      </c>
      <c r="J30" s="40">
        <v>0.113938803850745</v>
      </c>
      <c r="K30" s="40">
        <v>0.284858861422846</v>
      </c>
      <c r="L30" s="38">
        <f>-OPTI4_SORTINO_ALL_DATA[[#This Row], [Net Profit]]/OPTI4_SORTINO_ALL_DATA[[#This Row], [Max Intraday Drawdown]]</f>
      </c>
      <c r="M30" s="41">
        <v>0.5</v>
      </c>
      <c r="N30" s="38">
        <v>0.21</v>
      </c>
      <c r="O30" s="42">
        <v>0.22900400119830064</v>
      </c>
      <c r="P30" s="21">
        <f>(OPTI4_SORTINO_ALL_DATA[[#This Row], [Net Profit]]-B$74)/ABS(B$74)</f>
      </c>
      <c r="Q30" s="21">
        <f>(OPTI4_SORTINO_ALL_DATA[[#This Row], [UPI]]-J$74)/ABS(J$74)</f>
      </c>
      <c r="R30" s="21">
        <f>(OPTI4_SORTINO_ALL_DATA[[#This Row], [SORTINO AJUSTADO]]-K$74)/ABS(K$74)</f>
      </c>
      <c r="S30" s="21">
        <f>(OPTI4_SORTINO_ALL_DATA[[#This Row], [RECOVERY]]-L$74)/ABS(L$74)</f>
      </c>
      <c r="T30" s="21">
        <f>(OPTI4_SORTINO_ALL_DATA[[#This Row], [ROB]]-O$74)/ABS(O$74)</f>
      </c>
      <c r="U30" s="21">
        <f>SUM(OPTI4_SORTINO_ALL_DATA[[#This Row], [VAR NET PROFIT]:[VAR ROB]])</f>
      </c>
      <c r="V30" s="21">
        <f>OPTI4_SORTINO_ALL_DATA[[#This Row], [SUMA]]-OPTI4_SORTINO_ALL_DATA[[#This Row], [VAR ROB]]</f>
      </c>
    </row>
    <row x14ac:dyDescent="0.25" r="31" customHeight="1" ht="18.75">
      <c r="A31" s="21"/>
      <c r="B31" s="36">
        <v>257799.04</v>
      </c>
      <c r="C31" s="36">
        <v>517853.07</v>
      </c>
      <c r="D31" s="36">
        <v>-260054.03</v>
      </c>
      <c r="E31" s="37">
        <v>1056</v>
      </c>
      <c r="F31" s="38">
        <v>43.75</v>
      </c>
      <c r="G31" s="39">
        <v>462</v>
      </c>
      <c r="H31" s="39">
        <v>594</v>
      </c>
      <c r="I31" s="36">
        <v>-103890.34</v>
      </c>
      <c r="J31" s="40">
        <v>0.103013332109721</v>
      </c>
      <c r="K31" s="40">
        <v>0.261060346495404</v>
      </c>
      <c r="L31" s="38">
        <f>-OPTI4_SORTINO_ALL_DATA[[#This Row], [Net Profit]]/OPTI4_SORTINO_ALL_DATA[[#This Row], [Max Intraday Drawdown]]</f>
      </c>
      <c r="M31" s="41">
        <v>0.5</v>
      </c>
      <c r="N31" s="38">
        <v>0.15</v>
      </c>
      <c r="O31" s="42">
        <v>0.4213273516819357</v>
      </c>
      <c r="P31" s="21">
        <f>(OPTI4_SORTINO_ALL_DATA[[#This Row], [Net Profit]]-B$74)/ABS(B$74)</f>
      </c>
      <c r="Q31" s="21">
        <f>(OPTI4_SORTINO_ALL_DATA[[#This Row], [UPI]]-J$74)/ABS(J$74)</f>
      </c>
      <c r="R31" s="21">
        <f>(OPTI4_SORTINO_ALL_DATA[[#This Row], [SORTINO AJUSTADO]]-K$74)/ABS(K$74)</f>
      </c>
      <c r="S31" s="21">
        <f>(OPTI4_SORTINO_ALL_DATA[[#This Row], [RECOVERY]]-L$74)/ABS(L$74)</f>
      </c>
      <c r="T31" s="21">
        <f>(OPTI4_SORTINO_ALL_DATA[[#This Row], [ROB]]-O$74)/ABS(O$74)</f>
      </c>
      <c r="U31" s="21">
        <f>SUM(OPTI4_SORTINO_ALL_DATA[[#This Row], [VAR NET PROFIT]:[VAR ROB]])</f>
      </c>
      <c r="V31" s="21">
        <f>OPTI4_SORTINO_ALL_DATA[[#This Row], [SUMA]]-OPTI4_SORTINO_ALL_DATA[[#This Row], [VAR ROB]]</f>
      </c>
    </row>
    <row x14ac:dyDescent="0.25" r="32" customHeight="1" ht="18.75">
      <c r="A32" s="21"/>
      <c r="B32" s="36">
        <v>767182.49</v>
      </c>
      <c r="C32" s="36">
        <v>1776267.19</v>
      </c>
      <c r="D32" s="36">
        <v>-1009084.7</v>
      </c>
      <c r="E32" s="37">
        <v>2104</v>
      </c>
      <c r="F32" s="38">
        <v>41.967680608365</v>
      </c>
      <c r="G32" s="39">
        <v>883</v>
      </c>
      <c r="H32" s="39">
        <v>1221</v>
      </c>
      <c r="I32" s="36">
        <v>-476676.749999999</v>
      </c>
      <c r="J32" s="40">
        <v>0.0925749616927497</v>
      </c>
      <c r="K32" s="40">
        <v>0.281376226482976</v>
      </c>
      <c r="L32" s="38">
        <f>-OPTI4_SORTINO_ALL_DATA[[#This Row], [Net Profit]]/OPTI4_SORTINO_ALL_DATA[[#This Row], [Max Intraday Drawdown]]</f>
      </c>
      <c r="M32" s="41">
        <v>0</v>
      </c>
      <c r="N32" s="38">
        <v>0.19</v>
      </c>
      <c r="O32" s="42">
        <v>0.3471243273923221</v>
      </c>
      <c r="P32" s="21">
        <f>(OPTI4_SORTINO_ALL_DATA[[#This Row], [Net Profit]]-B$74)/ABS(B$74)</f>
      </c>
      <c r="Q32" s="21">
        <f>(OPTI4_SORTINO_ALL_DATA[[#This Row], [UPI]]-J$74)/ABS(J$74)</f>
      </c>
      <c r="R32" s="21">
        <f>(OPTI4_SORTINO_ALL_DATA[[#This Row], [SORTINO AJUSTADO]]-K$74)/ABS(K$74)</f>
      </c>
      <c r="S32" s="21">
        <f>(OPTI4_SORTINO_ALL_DATA[[#This Row], [RECOVERY]]-L$74)/ABS(L$74)</f>
      </c>
      <c r="T32" s="21">
        <f>(OPTI4_SORTINO_ALL_DATA[[#This Row], [ROB]]-O$74)/ABS(O$74)</f>
      </c>
      <c r="U32" s="21">
        <f>SUM(OPTI4_SORTINO_ALL_DATA[[#This Row], [VAR NET PROFIT]:[VAR ROB]])</f>
      </c>
      <c r="V32" s="21">
        <f>OPTI4_SORTINO_ALL_DATA[[#This Row], [SUMA]]-OPTI4_SORTINO_ALL_DATA[[#This Row], [VAR ROB]]</f>
      </c>
    </row>
    <row x14ac:dyDescent="0.25" r="33" customHeight="1" ht="18.75">
      <c r="A33" s="21"/>
      <c r="B33" s="36">
        <v>656661.5</v>
      </c>
      <c r="C33" s="36">
        <v>1586889.16</v>
      </c>
      <c r="D33" s="36">
        <v>-930227.66</v>
      </c>
      <c r="E33" s="37">
        <v>2419</v>
      </c>
      <c r="F33" s="38">
        <v>41.5874328234808</v>
      </c>
      <c r="G33" s="39">
        <v>1006</v>
      </c>
      <c r="H33" s="39">
        <v>1413</v>
      </c>
      <c r="I33" s="36">
        <v>-404146.2</v>
      </c>
      <c r="J33" s="40">
        <v>0.0983426143806734</v>
      </c>
      <c r="K33" s="40">
        <v>0.290886080108914</v>
      </c>
      <c r="L33" s="38">
        <f>-OPTI4_SORTINO_ALL_DATA[[#This Row], [Net Profit]]/OPTI4_SORTINO_ALL_DATA[[#This Row], [Max Intraday Drawdown]]</f>
      </c>
      <c r="M33" s="41">
        <v>1.5</v>
      </c>
      <c r="N33" s="38">
        <v>0.17</v>
      </c>
      <c r="O33" s="42">
        <v>0.34506410571863366</v>
      </c>
      <c r="P33" s="21">
        <f>(OPTI4_SORTINO_ALL_DATA[[#This Row], [Net Profit]]-B$74)/ABS(B$74)</f>
      </c>
      <c r="Q33" s="21">
        <f>(OPTI4_SORTINO_ALL_DATA[[#This Row], [UPI]]-J$74)/ABS(J$74)</f>
      </c>
      <c r="R33" s="21">
        <f>(OPTI4_SORTINO_ALL_DATA[[#This Row], [SORTINO AJUSTADO]]-K$74)/ABS(K$74)</f>
      </c>
      <c r="S33" s="21">
        <f>(OPTI4_SORTINO_ALL_DATA[[#This Row], [RECOVERY]]-L$74)/ABS(L$74)</f>
      </c>
      <c r="T33" s="21">
        <f>(OPTI4_SORTINO_ALL_DATA[[#This Row], [ROB]]-O$74)/ABS(O$74)</f>
      </c>
      <c r="U33" s="21">
        <f>SUM(OPTI4_SORTINO_ALL_DATA[[#This Row], [VAR NET PROFIT]:[VAR ROB]])</f>
      </c>
      <c r="V33" s="21">
        <f>OPTI4_SORTINO_ALL_DATA[[#This Row], [SUMA]]-OPTI4_SORTINO_ALL_DATA[[#This Row], [VAR ROB]]</f>
      </c>
    </row>
    <row x14ac:dyDescent="0.25" r="34" customHeight="1" ht="18.75">
      <c r="A34" s="21"/>
      <c r="B34" s="36">
        <v>433264.32</v>
      </c>
      <c r="C34" s="36">
        <v>1155212.55</v>
      </c>
      <c r="D34" s="36">
        <v>-721948.23</v>
      </c>
      <c r="E34" s="37">
        <v>3258</v>
      </c>
      <c r="F34" s="38">
        <v>39.8403928790669</v>
      </c>
      <c r="G34" s="39">
        <v>1298</v>
      </c>
      <c r="H34" s="39">
        <v>1960</v>
      </c>
      <c r="I34" s="36">
        <v>-217198.22</v>
      </c>
      <c r="J34" s="40">
        <v>0.0810004402610358</v>
      </c>
      <c r="K34" s="40">
        <v>0.263209492523859</v>
      </c>
      <c r="L34" s="38">
        <f>-OPTI4_SORTINO_ALL_DATA[[#This Row], [Net Profit]]/OPTI4_SORTINO_ALL_DATA[[#This Row], [Max Intraday Drawdown]]</f>
      </c>
      <c r="M34" s="41">
        <v>1.5</v>
      </c>
      <c r="N34" s="38">
        <v>0.14</v>
      </c>
      <c r="O34" s="42">
        <v>0.672756295119859</v>
      </c>
      <c r="P34" s="21">
        <f>(OPTI4_SORTINO_ALL_DATA[[#This Row], [Net Profit]]-B$74)/ABS(B$74)</f>
      </c>
      <c r="Q34" s="21">
        <f>(OPTI4_SORTINO_ALL_DATA[[#This Row], [UPI]]-J$74)/ABS(J$74)</f>
      </c>
      <c r="R34" s="21">
        <f>(OPTI4_SORTINO_ALL_DATA[[#This Row], [SORTINO AJUSTADO]]-K$74)/ABS(K$74)</f>
      </c>
      <c r="S34" s="21">
        <f>(OPTI4_SORTINO_ALL_DATA[[#This Row], [RECOVERY]]-L$74)/ABS(L$74)</f>
      </c>
      <c r="T34" s="21">
        <f>(OPTI4_SORTINO_ALL_DATA[[#This Row], [ROB]]-O$74)/ABS(O$74)</f>
      </c>
      <c r="U34" s="21">
        <f>SUM(OPTI4_SORTINO_ALL_DATA[[#This Row], [VAR NET PROFIT]:[VAR ROB]])</f>
      </c>
      <c r="V34" s="21">
        <f>OPTI4_SORTINO_ALL_DATA[[#This Row], [SUMA]]-OPTI4_SORTINO_ALL_DATA[[#This Row], [VAR ROB]]</f>
      </c>
    </row>
    <row x14ac:dyDescent="0.25" r="35" customHeight="1" ht="18.75">
      <c r="A35" s="21"/>
      <c r="B35" s="36">
        <v>370145.76</v>
      </c>
      <c r="C35" s="36">
        <v>963278.9</v>
      </c>
      <c r="D35" s="36">
        <v>-593133.14</v>
      </c>
      <c r="E35" s="37">
        <v>2905</v>
      </c>
      <c r="F35" s="38">
        <v>40.1721170395869</v>
      </c>
      <c r="G35" s="39">
        <v>1167</v>
      </c>
      <c r="H35" s="39">
        <v>1738</v>
      </c>
      <c r="I35" s="36">
        <v>-186552.95</v>
      </c>
      <c r="J35" s="40">
        <v>0.0711710286334954</v>
      </c>
      <c r="K35" s="40">
        <v>0.24909514880069</v>
      </c>
      <c r="L35" s="38">
        <f>-OPTI4_SORTINO_ALL_DATA[[#This Row], [Net Profit]]/OPTI4_SORTINO_ALL_DATA[[#This Row], [Max Intraday Drawdown]]</f>
      </c>
      <c r="M35" s="41">
        <v>1</v>
      </c>
      <c r="N35" s="38">
        <v>0.14</v>
      </c>
      <c r="O35" s="42">
        <v>0.8835458251489685</v>
      </c>
      <c r="P35" s="21">
        <f>(OPTI4_SORTINO_ALL_DATA[[#This Row], [Net Profit]]-B$74)/ABS(B$74)</f>
      </c>
      <c r="Q35" s="21">
        <f>(OPTI4_SORTINO_ALL_DATA[[#This Row], [UPI]]-J$74)/ABS(J$74)</f>
      </c>
      <c r="R35" s="21">
        <f>(OPTI4_SORTINO_ALL_DATA[[#This Row], [SORTINO AJUSTADO]]-K$74)/ABS(K$74)</f>
      </c>
      <c r="S35" s="21">
        <f>(OPTI4_SORTINO_ALL_DATA[[#This Row], [RECOVERY]]-L$74)/ABS(L$74)</f>
      </c>
      <c r="T35" s="21">
        <f>(OPTI4_SORTINO_ALL_DATA[[#This Row], [ROB]]-O$74)/ABS(O$74)</f>
      </c>
      <c r="U35" s="21">
        <f>SUM(OPTI4_SORTINO_ALL_DATA[[#This Row], [VAR NET PROFIT]:[VAR ROB]])</f>
      </c>
      <c r="V35" s="21">
        <f>OPTI4_SORTINO_ALL_DATA[[#This Row], [SUMA]]-OPTI4_SORTINO_ALL_DATA[[#This Row], [VAR ROB]]</f>
      </c>
    </row>
    <row x14ac:dyDescent="0.25" r="36" customHeight="1" ht="18.75">
      <c r="A36" s="21"/>
      <c r="B36" s="36">
        <v>556051</v>
      </c>
      <c r="C36" s="36">
        <v>1306133.42</v>
      </c>
      <c r="D36" s="36">
        <v>-750082.42</v>
      </c>
      <c r="E36" s="37">
        <v>2398</v>
      </c>
      <c r="F36" s="38">
        <v>40.9090909090909</v>
      </c>
      <c r="G36" s="39">
        <v>981</v>
      </c>
      <c r="H36" s="39">
        <v>1417</v>
      </c>
      <c r="I36" s="36">
        <v>-322127.3</v>
      </c>
      <c r="J36" s="40">
        <v>0.0915530773429356</v>
      </c>
      <c r="K36" s="40">
        <v>0.28461201416904</v>
      </c>
      <c r="L36" s="38">
        <f>-OPTI4_SORTINO_ALL_DATA[[#This Row], [Net Profit]]/OPTI4_SORTINO_ALL_DATA[[#This Row], [Max Intraday Drawdown]]</f>
      </c>
      <c r="M36" s="41">
        <v>1</v>
      </c>
      <c r="N36" s="38">
        <v>0.16</v>
      </c>
      <c r="O36" s="42">
        <v>0.45177659975126927</v>
      </c>
      <c r="P36" s="21">
        <f>(OPTI4_SORTINO_ALL_DATA[[#This Row], [Net Profit]]-B$74)/ABS(B$74)</f>
      </c>
      <c r="Q36" s="21">
        <f>(OPTI4_SORTINO_ALL_DATA[[#This Row], [UPI]]-J$74)/ABS(J$74)</f>
      </c>
      <c r="R36" s="21">
        <f>(OPTI4_SORTINO_ALL_DATA[[#This Row], [SORTINO AJUSTADO]]-K$74)/ABS(K$74)</f>
      </c>
      <c r="S36" s="21">
        <f>(OPTI4_SORTINO_ALL_DATA[[#This Row], [RECOVERY]]-L$74)/ABS(L$74)</f>
      </c>
      <c r="T36" s="21">
        <f>(OPTI4_SORTINO_ALL_DATA[[#This Row], [ROB]]-O$74)/ABS(O$74)</f>
      </c>
      <c r="U36" s="21">
        <f>SUM(OPTI4_SORTINO_ALL_DATA[[#This Row], [VAR NET PROFIT]:[VAR ROB]])</f>
      </c>
      <c r="V36" s="21">
        <f>OPTI4_SORTINO_ALL_DATA[[#This Row], [SUMA]]-OPTI4_SORTINO_ALL_DATA[[#This Row], [VAR ROB]]</f>
      </c>
    </row>
    <row x14ac:dyDescent="0.25" r="37" customHeight="1" ht="18.75">
      <c r="A37" s="21"/>
      <c r="B37" s="43">
        <v>151725.37</v>
      </c>
      <c r="C37" s="43">
        <v>349958.29</v>
      </c>
      <c r="D37" s="43">
        <v>-198232.92</v>
      </c>
      <c r="E37" s="44">
        <v>1227</v>
      </c>
      <c r="F37" s="45">
        <v>40.5052974735126</v>
      </c>
      <c r="G37" s="46">
        <v>497</v>
      </c>
      <c r="H37" s="46">
        <v>730</v>
      </c>
      <c r="I37" s="43">
        <v>-52630.8800000002</v>
      </c>
      <c r="J37" s="47">
        <v>0.0903296984489418</v>
      </c>
      <c r="K37" s="47">
        <v>0.2614737450929</v>
      </c>
      <c r="L37" s="45">
        <f>-OPTI4_SORTINO_ALL_DATA[[#This Row], [Net Profit]]/OPTI4_SORTINO_ALL_DATA[[#This Row], [Max Intraday Drawdown]]</f>
      </c>
      <c r="M37" s="48">
        <v>0.5</v>
      </c>
      <c r="N37" s="45">
        <v>0.12</v>
      </c>
      <c r="O37" s="49">
        <v>0.42182509701984766</v>
      </c>
      <c r="P37" s="21">
        <f>(OPTI4_SORTINO_ALL_DATA[[#This Row], [Net Profit]]-B$74)/ABS(B$74)</f>
      </c>
      <c r="Q37" s="21">
        <f>(OPTI4_SORTINO_ALL_DATA[[#This Row], [UPI]]-J$74)/ABS(J$74)</f>
      </c>
      <c r="R37" s="21">
        <f>(OPTI4_SORTINO_ALL_DATA[[#This Row], [SORTINO AJUSTADO]]-K$74)/ABS(K$74)</f>
      </c>
      <c r="S37" s="21">
        <f>(OPTI4_SORTINO_ALL_DATA[[#This Row], [RECOVERY]]-L$74)/ABS(L$74)</f>
      </c>
      <c r="T37" s="21">
        <f>(OPTI4_SORTINO_ALL_DATA[[#This Row], [ROB]]-O$74)/ABS(O$74)</f>
      </c>
      <c r="U37" s="21">
        <f>SUM(OPTI4_SORTINO_ALL_DATA[[#This Row], [VAR NET PROFIT]:[VAR ROB]])</f>
      </c>
      <c r="V37" s="21">
        <f>OPTI4_SORTINO_ALL_DATA[[#This Row], [SUMA]]-OPTI4_SORTINO_ALL_DATA[[#This Row], [VAR ROB]]</f>
      </c>
    </row>
    <row x14ac:dyDescent="0.25" r="38" customHeight="1" ht="18.75">
      <c r="A38" s="21"/>
      <c r="B38" s="36">
        <v>186940.76</v>
      </c>
      <c r="C38" s="36">
        <v>406821.66</v>
      </c>
      <c r="D38" s="36">
        <v>-219880.9</v>
      </c>
      <c r="E38" s="37">
        <v>1164</v>
      </c>
      <c r="F38" s="38">
        <v>42.0103092783505</v>
      </c>
      <c r="G38" s="39">
        <v>489</v>
      </c>
      <c r="H38" s="39">
        <v>675</v>
      </c>
      <c r="I38" s="36">
        <v>-68742.61</v>
      </c>
      <c r="J38" s="40">
        <v>0.0982812377719102</v>
      </c>
      <c r="K38" s="40">
        <v>0.263791517580004</v>
      </c>
      <c r="L38" s="38">
        <f>-OPTI4_SORTINO_ALL_DATA[[#This Row], [Net Profit]]/OPTI4_SORTINO_ALL_DATA[[#This Row], [Max Intraday Drawdown]]</f>
      </c>
      <c r="M38" s="41">
        <v>0.5</v>
      </c>
      <c r="N38" s="38">
        <v>0.13</v>
      </c>
      <c r="O38" s="42">
        <v>0.35796246160903694</v>
      </c>
      <c r="P38" s="21">
        <f>(OPTI4_SORTINO_ALL_DATA[[#This Row], [Net Profit]]-B$74)/ABS(B$74)</f>
      </c>
      <c r="Q38" s="21">
        <f>(OPTI4_SORTINO_ALL_DATA[[#This Row], [UPI]]-J$74)/ABS(J$74)</f>
      </c>
      <c r="R38" s="21">
        <f>(OPTI4_SORTINO_ALL_DATA[[#This Row], [SORTINO AJUSTADO]]-K$74)/ABS(K$74)</f>
      </c>
      <c r="S38" s="21">
        <f>(OPTI4_SORTINO_ALL_DATA[[#This Row], [RECOVERY]]-L$74)/ABS(L$74)</f>
      </c>
      <c r="T38" s="21">
        <f>(OPTI4_SORTINO_ALL_DATA[[#This Row], [ROB]]-O$74)/ABS(O$74)</f>
      </c>
      <c r="U38" s="21">
        <f>SUM(OPTI4_SORTINO_ALL_DATA[[#This Row], [VAR NET PROFIT]:[VAR ROB]])</f>
      </c>
      <c r="V38" s="21">
        <f>OPTI4_SORTINO_ALL_DATA[[#This Row], [SUMA]]-OPTI4_SORTINO_ALL_DATA[[#This Row], [VAR ROB]]</f>
      </c>
    </row>
    <row x14ac:dyDescent="0.25" r="39" customHeight="1" ht="18.75">
      <c r="A39" s="21"/>
      <c r="B39" s="36">
        <v>595946.79</v>
      </c>
      <c r="C39" s="36">
        <v>1376315.61</v>
      </c>
      <c r="D39" s="36">
        <v>-780368.82</v>
      </c>
      <c r="E39" s="37">
        <v>2192</v>
      </c>
      <c r="F39" s="38">
        <v>41.970802919708</v>
      </c>
      <c r="G39" s="39">
        <v>920</v>
      </c>
      <c r="H39" s="39">
        <v>1272</v>
      </c>
      <c r="I39" s="36">
        <v>-365583.16</v>
      </c>
      <c r="J39" s="40">
        <v>0.094304430308239</v>
      </c>
      <c r="K39" s="40">
        <v>0.285903043410306</v>
      </c>
      <c r="L39" s="38">
        <f>-OPTI4_SORTINO_ALL_DATA[[#This Row], [Net Profit]]/OPTI4_SORTINO_ALL_DATA[[#This Row], [Max Intraday Drawdown]]</f>
      </c>
      <c r="M39" s="41">
        <v>1</v>
      </c>
      <c r="N39" s="38">
        <v>0.17</v>
      </c>
      <c r="O39" s="42">
        <v>0.4032986598167322</v>
      </c>
      <c r="P39" s="21">
        <f>(OPTI4_SORTINO_ALL_DATA[[#This Row], [Net Profit]]-B$74)/ABS(B$74)</f>
      </c>
      <c r="Q39" s="21">
        <f>(OPTI4_SORTINO_ALL_DATA[[#This Row], [UPI]]-J$74)/ABS(J$74)</f>
      </c>
      <c r="R39" s="21">
        <f>(OPTI4_SORTINO_ALL_DATA[[#This Row], [SORTINO AJUSTADO]]-K$74)/ABS(K$74)</f>
      </c>
      <c r="S39" s="21">
        <f>(OPTI4_SORTINO_ALL_DATA[[#This Row], [RECOVERY]]-L$74)/ABS(L$74)</f>
      </c>
      <c r="T39" s="21">
        <f>(OPTI4_SORTINO_ALL_DATA[[#This Row], [ROB]]-O$74)/ABS(O$74)</f>
      </c>
      <c r="U39" s="21">
        <f>SUM(OPTI4_SORTINO_ALL_DATA[[#This Row], [VAR NET PROFIT]:[VAR ROB]])</f>
      </c>
      <c r="V39" s="21">
        <f>OPTI4_SORTINO_ALL_DATA[[#This Row], [SUMA]]-OPTI4_SORTINO_ALL_DATA[[#This Row], [VAR ROB]]</f>
      </c>
    </row>
    <row x14ac:dyDescent="0.25" r="40" customHeight="1" ht="18.75">
      <c r="A40" s="21"/>
      <c r="B40" s="36">
        <v>194948.91</v>
      </c>
      <c r="C40" s="36">
        <v>680298.67</v>
      </c>
      <c r="D40" s="36">
        <v>-485349.76</v>
      </c>
      <c r="E40" s="37">
        <v>3983</v>
      </c>
      <c r="F40" s="38">
        <v>38.0868691940748</v>
      </c>
      <c r="G40" s="39">
        <v>1517</v>
      </c>
      <c r="H40" s="39">
        <v>2466</v>
      </c>
      <c r="I40" s="36">
        <v>-95745.7899999999</v>
      </c>
      <c r="J40" s="40">
        <v>0.0524072782331646</v>
      </c>
      <c r="K40" s="40">
        <v>0.226671921499021</v>
      </c>
      <c r="L40" s="38">
        <f>-OPTI4_SORTINO_ALL_DATA[[#This Row], [Net Profit]]/OPTI4_SORTINO_ALL_DATA[[#This Row], [Max Intraday Drawdown]]</f>
      </c>
      <c r="M40" s="41">
        <v>1</v>
      </c>
      <c r="N40" s="38">
        <v>0.11</v>
      </c>
      <c r="O40" s="42">
        <v>1.2896951741153837</v>
      </c>
      <c r="P40" s="21">
        <f>(OPTI4_SORTINO_ALL_DATA[[#This Row], [Net Profit]]-B$74)/ABS(B$74)</f>
      </c>
      <c r="Q40" s="21">
        <f>(OPTI4_SORTINO_ALL_DATA[[#This Row], [UPI]]-J$74)/ABS(J$74)</f>
      </c>
      <c r="R40" s="21">
        <f>(OPTI4_SORTINO_ALL_DATA[[#This Row], [SORTINO AJUSTADO]]-K$74)/ABS(K$74)</f>
      </c>
      <c r="S40" s="21">
        <f>(OPTI4_SORTINO_ALL_DATA[[#This Row], [RECOVERY]]-L$74)/ABS(L$74)</f>
      </c>
      <c r="T40" s="21">
        <f>(OPTI4_SORTINO_ALL_DATA[[#This Row], [ROB]]-O$74)/ABS(O$74)</f>
      </c>
      <c r="U40" s="21">
        <f>SUM(OPTI4_SORTINO_ALL_DATA[[#This Row], [VAR NET PROFIT]:[VAR ROB]])</f>
      </c>
      <c r="V40" s="21">
        <f>OPTI4_SORTINO_ALL_DATA[[#This Row], [SUMA]]-OPTI4_SORTINO_ALL_DATA[[#This Row], [VAR ROB]]</f>
      </c>
    </row>
    <row x14ac:dyDescent="0.25" r="41" customHeight="1" ht="18.75">
      <c r="A41" s="21"/>
      <c r="B41" s="36">
        <v>443438.29</v>
      </c>
      <c r="C41" s="36">
        <v>1100662.14</v>
      </c>
      <c r="D41" s="36">
        <v>-657223.85</v>
      </c>
      <c r="E41" s="37">
        <v>2643</v>
      </c>
      <c r="F41" s="38">
        <v>39.992432841468</v>
      </c>
      <c r="G41" s="39">
        <v>1057</v>
      </c>
      <c r="H41" s="39">
        <v>1586</v>
      </c>
      <c r="I41" s="36">
        <v>-244859.34</v>
      </c>
      <c r="J41" s="40">
        <v>0.0798509769173951</v>
      </c>
      <c r="K41" s="40">
        <v>0.261589510435658</v>
      </c>
      <c r="L41" s="38">
        <f>-OPTI4_SORTINO_ALL_DATA[[#This Row], [Net Profit]]/OPTI4_SORTINO_ALL_DATA[[#This Row], [Max Intraday Drawdown]]</f>
      </c>
      <c r="M41" s="41">
        <v>1</v>
      </c>
      <c r="N41" s="38">
        <v>0.15</v>
      </c>
      <c r="O41" s="42">
        <v>0.7120962962900613</v>
      </c>
      <c r="P41" s="21">
        <f>(OPTI4_SORTINO_ALL_DATA[[#This Row], [Net Profit]]-B$74)/ABS(B$74)</f>
      </c>
      <c r="Q41" s="21">
        <f>(OPTI4_SORTINO_ALL_DATA[[#This Row], [UPI]]-J$74)/ABS(J$74)</f>
      </c>
      <c r="R41" s="21">
        <f>(OPTI4_SORTINO_ALL_DATA[[#This Row], [SORTINO AJUSTADO]]-K$74)/ABS(K$74)</f>
      </c>
      <c r="S41" s="21">
        <f>(OPTI4_SORTINO_ALL_DATA[[#This Row], [RECOVERY]]-L$74)/ABS(L$74)</f>
      </c>
      <c r="T41" s="21">
        <f>(OPTI4_SORTINO_ALL_DATA[[#This Row], [ROB]]-O$74)/ABS(O$74)</f>
      </c>
      <c r="U41" s="21">
        <f>SUM(OPTI4_SORTINO_ALL_DATA[[#This Row], [VAR NET PROFIT]:[VAR ROB]])</f>
      </c>
      <c r="V41" s="21">
        <f>OPTI4_SORTINO_ALL_DATA[[#This Row], [SUMA]]-OPTI4_SORTINO_ALL_DATA[[#This Row], [VAR ROB]]</f>
      </c>
    </row>
    <row x14ac:dyDescent="0.25" r="42" customHeight="1" ht="18.75">
      <c r="A42" s="21"/>
      <c r="B42" s="36">
        <v>388378.94</v>
      </c>
      <c r="C42" s="36">
        <v>1105458.68</v>
      </c>
      <c r="D42" s="36">
        <v>-717079.74</v>
      </c>
      <c r="E42" s="37">
        <v>3599</v>
      </c>
      <c r="F42" s="38">
        <v>39.2886913031398</v>
      </c>
      <c r="G42" s="39">
        <v>1414</v>
      </c>
      <c r="H42" s="39">
        <v>2184</v>
      </c>
      <c r="I42" s="36">
        <v>-184056.41</v>
      </c>
      <c r="J42" s="40">
        <v>0.0787158941117268</v>
      </c>
      <c r="K42" s="40">
        <v>0.265520201993454</v>
      </c>
      <c r="L42" s="38">
        <f>-OPTI4_SORTINO_ALL_DATA[[#This Row], [Net Profit]]/OPTI4_SORTINO_ALL_DATA[[#This Row], [Max Intraday Drawdown]]</f>
      </c>
      <c r="M42" s="41">
        <v>1.5</v>
      </c>
      <c r="N42" s="38">
        <v>0.13</v>
      </c>
      <c r="O42" s="42">
        <v>0.6229350612510764</v>
      </c>
      <c r="P42" s="21">
        <f>(OPTI4_SORTINO_ALL_DATA[[#This Row], [Net Profit]]-B$74)/ABS(B$74)</f>
      </c>
      <c r="Q42" s="21">
        <f>(OPTI4_SORTINO_ALL_DATA[[#This Row], [UPI]]-J$74)/ABS(J$74)</f>
      </c>
      <c r="R42" s="21">
        <f>(OPTI4_SORTINO_ALL_DATA[[#This Row], [SORTINO AJUSTADO]]-K$74)/ABS(K$74)</f>
      </c>
      <c r="S42" s="21">
        <f>(OPTI4_SORTINO_ALL_DATA[[#This Row], [RECOVERY]]-L$74)/ABS(L$74)</f>
      </c>
      <c r="T42" s="21">
        <f>(OPTI4_SORTINO_ALL_DATA[[#This Row], [ROB]]-O$74)/ABS(O$74)</f>
      </c>
      <c r="U42" s="21">
        <f>SUM(OPTI4_SORTINO_ALL_DATA[[#This Row], [VAR NET PROFIT]:[VAR ROB]])</f>
      </c>
      <c r="V42" s="21">
        <f>OPTI4_SORTINO_ALL_DATA[[#This Row], [SUMA]]-OPTI4_SORTINO_ALL_DATA[[#This Row], [VAR ROB]]</f>
      </c>
    </row>
    <row x14ac:dyDescent="0.25" r="43" customHeight="1" ht="18.75">
      <c r="A43" s="21"/>
      <c r="B43" s="36">
        <v>334514.32</v>
      </c>
      <c r="C43" s="36">
        <v>1043397.49</v>
      </c>
      <c r="D43" s="36">
        <v>-708883.17</v>
      </c>
      <c r="E43" s="37">
        <v>3804</v>
      </c>
      <c r="F43" s="38">
        <v>39.3796004206099</v>
      </c>
      <c r="G43" s="39">
        <v>1498</v>
      </c>
      <c r="H43" s="39">
        <v>2304</v>
      </c>
      <c r="I43" s="36">
        <v>-128340.12</v>
      </c>
      <c r="J43" s="40">
        <v>0.0681679688679127</v>
      </c>
      <c r="K43" s="40">
        <v>0.255811199016075</v>
      </c>
      <c r="L43" s="38">
        <f>-OPTI4_SORTINO_ALL_DATA[[#This Row], [Net Profit]]/OPTI4_SORTINO_ALL_DATA[[#This Row], [Max Intraday Drawdown]]</f>
      </c>
      <c r="M43" s="41">
        <v>0</v>
      </c>
      <c r="N43" s="38">
        <v>0.13</v>
      </c>
      <c r="O43" s="42">
        <v>0.5958039491300439</v>
      </c>
      <c r="P43" s="21">
        <f>(OPTI4_SORTINO_ALL_DATA[[#This Row], [Net Profit]]-B$74)/ABS(B$74)</f>
      </c>
      <c r="Q43" s="21">
        <f>(OPTI4_SORTINO_ALL_DATA[[#This Row], [UPI]]-J$74)/ABS(J$74)</f>
      </c>
      <c r="R43" s="21">
        <f>(OPTI4_SORTINO_ALL_DATA[[#This Row], [SORTINO AJUSTADO]]-K$74)/ABS(K$74)</f>
      </c>
      <c r="S43" s="21">
        <f>(OPTI4_SORTINO_ALL_DATA[[#This Row], [RECOVERY]]-L$74)/ABS(L$74)</f>
      </c>
      <c r="T43" s="21">
        <f>(OPTI4_SORTINO_ALL_DATA[[#This Row], [ROB]]-O$74)/ABS(O$74)</f>
      </c>
      <c r="U43" s="21">
        <f>SUM(OPTI4_SORTINO_ALL_DATA[[#This Row], [VAR NET PROFIT]:[VAR ROB]])</f>
      </c>
      <c r="V43" s="21">
        <f>OPTI4_SORTINO_ALL_DATA[[#This Row], [SUMA]]-OPTI4_SORTINO_ALL_DATA[[#This Row], [VAR ROB]]</f>
      </c>
    </row>
    <row x14ac:dyDescent="0.25" r="44" customHeight="1" ht="18.75">
      <c r="A44" s="21"/>
      <c r="B44" s="36">
        <v>204669.92</v>
      </c>
      <c r="C44" s="36">
        <v>762154.7</v>
      </c>
      <c r="D44" s="36">
        <v>-557484.78</v>
      </c>
      <c r="E44" s="37">
        <v>4520</v>
      </c>
      <c r="F44" s="38">
        <v>37.6327433628319</v>
      </c>
      <c r="G44" s="39">
        <v>1701</v>
      </c>
      <c r="H44" s="39">
        <v>2819</v>
      </c>
      <c r="I44" s="36">
        <v>-101982.63</v>
      </c>
      <c r="J44" s="40">
        <v>0.0550345869170382</v>
      </c>
      <c r="K44" s="40">
        <v>0.224649088733106</v>
      </c>
      <c r="L44" s="38">
        <f>-OPTI4_SORTINO_ALL_DATA[[#This Row], [Net Profit]]/OPTI4_SORTINO_ALL_DATA[[#This Row], [Max Intraday Drawdown]]</f>
      </c>
      <c r="M44" s="41">
        <v>1.5</v>
      </c>
      <c r="N44" s="38">
        <v>0.11</v>
      </c>
      <c r="O44" s="42">
        <v>1.2415066513121078</v>
      </c>
      <c r="P44" s="21">
        <f>(OPTI4_SORTINO_ALL_DATA[[#This Row], [Net Profit]]-B$74)/ABS(B$74)</f>
      </c>
      <c r="Q44" s="21">
        <f>(OPTI4_SORTINO_ALL_DATA[[#This Row], [UPI]]-J$74)/ABS(J$74)</f>
      </c>
      <c r="R44" s="21">
        <f>(OPTI4_SORTINO_ALL_DATA[[#This Row], [SORTINO AJUSTADO]]-K$74)/ABS(K$74)</f>
      </c>
      <c r="S44" s="21">
        <f>(OPTI4_SORTINO_ALL_DATA[[#This Row], [RECOVERY]]-L$74)/ABS(L$74)</f>
      </c>
      <c r="T44" s="21">
        <f>(OPTI4_SORTINO_ALL_DATA[[#This Row], [ROB]]-O$74)/ABS(O$74)</f>
      </c>
      <c r="U44" s="21">
        <f>SUM(OPTI4_SORTINO_ALL_DATA[[#This Row], [VAR NET PROFIT]:[VAR ROB]])</f>
      </c>
      <c r="V44" s="21">
        <f>OPTI4_SORTINO_ALL_DATA[[#This Row], [SUMA]]-OPTI4_SORTINO_ALL_DATA[[#This Row], [VAR ROB]]</f>
      </c>
    </row>
    <row x14ac:dyDescent="0.25" r="45" customHeight="1" ht="18.75">
      <c r="A45" s="21"/>
      <c r="B45" s="36">
        <v>573732.82</v>
      </c>
      <c r="C45" s="36">
        <v>1426062.72</v>
      </c>
      <c r="D45" s="36">
        <v>-852329.9</v>
      </c>
      <c r="E45" s="37">
        <v>2656</v>
      </c>
      <c r="F45" s="38">
        <v>40.5873493975904</v>
      </c>
      <c r="G45" s="39">
        <v>1078</v>
      </c>
      <c r="H45" s="39">
        <v>1578</v>
      </c>
      <c r="I45" s="36">
        <v>-339023.21</v>
      </c>
      <c r="J45" s="40">
        <v>0.0923079216016354</v>
      </c>
      <c r="K45" s="40">
        <v>0.27456783683738</v>
      </c>
      <c r="L45" s="38">
        <f>-OPTI4_SORTINO_ALL_DATA[[#This Row], [Net Profit]]/OPTI4_SORTINO_ALL_DATA[[#This Row], [Max Intraday Drawdown]]</f>
      </c>
      <c r="M45" s="41">
        <v>1.5</v>
      </c>
      <c r="N45" s="38">
        <v>0.16</v>
      </c>
      <c r="O45" s="42">
        <v>0.4124637455207084</v>
      </c>
      <c r="P45" s="21">
        <f>(OPTI4_SORTINO_ALL_DATA[[#This Row], [Net Profit]]-B$74)/ABS(B$74)</f>
      </c>
      <c r="Q45" s="21">
        <f>(OPTI4_SORTINO_ALL_DATA[[#This Row], [UPI]]-J$74)/ABS(J$74)</f>
      </c>
      <c r="R45" s="21">
        <f>(OPTI4_SORTINO_ALL_DATA[[#This Row], [SORTINO AJUSTADO]]-K$74)/ABS(K$74)</f>
      </c>
      <c r="S45" s="21">
        <f>(OPTI4_SORTINO_ALL_DATA[[#This Row], [RECOVERY]]-L$74)/ABS(L$74)</f>
      </c>
      <c r="T45" s="21">
        <f>(OPTI4_SORTINO_ALL_DATA[[#This Row], [ROB]]-O$74)/ABS(O$74)</f>
      </c>
      <c r="U45" s="21">
        <f>SUM(OPTI4_SORTINO_ALL_DATA[[#This Row], [VAR NET PROFIT]:[VAR ROB]])</f>
      </c>
      <c r="V45" s="21">
        <f>OPTI4_SORTINO_ALL_DATA[[#This Row], [SUMA]]-OPTI4_SORTINO_ALL_DATA[[#This Row], [VAR ROB]]</f>
      </c>
    </row>
    <row x14ac:dyDescent="0.25" r="46" customHeight="1" ht="18.75">
      <c r="A46" s="21"/>
      <c r="B46" s="36">
        <v>459623.91</v>
      </c>
      <c r="C46" s="36">
        <v>1207990.18</v>
      </c>
      <c r="D46" s="36">
        <v>-748366.27</v>
      </c>
      <c r="E46" s="37">
        <v>2949</v>
      </c>
      <c r="F46" s="38">
        <v>39.6405561207189</v>
      </c>
      <c r="G46" s="39">
        <v>1169</v>
      </c>
      <c r="H46" s="39">
        <v>1780</v>
      </c>
      <c r="I46" s="36">
        <v>-253130.19</v>
      </c>
      <c r="J46" s="40">
        <v>0.0804817271684211</v>
      </c>
      <c r="K46" s="40">
        <v>0.26244281935171</v>
      </c>
      <c r="L46" s="38">
        <f>-OPTI4_SORTINO_ALL_DATA[[#This Row], [Net Profit]]/OPTI4_SORTINO_ALL_DATA[[#This Row], [Max Intraday Drawdown]]</f>
      </c>
      <c r="M46" s="41">
        <v>1.5</v>
      </c>
      <c r="N46" s="38">
        <v>0.15</v>
      </c>
      <c r="O46" s="42">
        <v>0.6338979381154853</v>
      </c>
      <c r="P46" s="21">
        <f>(OPTI4_SORTINO_ALL_DATA[[#This Row], [Net Profit]]-B$74)/ABS(B$74)</f>
      </c>
      <c r="Q46" s="21">
        <f>(OPTI4_SORTINO_ALL_DATA[[#This Row], [UPI]]-J$74)/ABS(J$74)</f>
      </c>
      <c r="R46" s="21">
        <f>(OPTI4_SORTINO_ALL_DATA[[#This Row], [SORTINO AJUSTADO]]-K$74)/ABS(K$74)</f>
      </c>
      <c r="S46" s="21">
        <f>(OPTI4_SORTINO_ALL_DATA[[#This Row], [RECOVERY]]-L$74)/ABS(L$74)</f>
      </c>
      <c r="T46" s="21">
        <f>(OPTI4_SORTINO_ALL_DATA[[#This Row], [ROB]]-O$74)/ABS(O$74)</f>
      </c>
      <c r="U46" s="21">
        <f>SUM(OPTI4_SORTINO_ALL_DATA[[#This Row], [VAR NET PROFIT]:[VAR ROB]])</f>
      </c>
      <c r="V46" s="21">
        <f>OPTI4_SORTINO_ALL_DATA[[#This Row], [SUMA]]-OPTI4_SORTINO_ALL_DATA[[#This Row], [VAR ROB]]</f>
      </c>
    </row>
    <row x14ac:dyDescent="0.25" r="47" customHeight="1" ht="18.75">
      <c r="A47" s="21"/>
      <c r="B47" s="36">
        <v>328889.67</v>
      </c>
      <c r="C47" s="36">
        <v>920480.48</v>
      </c>
      <c r="D47" s="36">
        <v>-591590.81</v>
      </c>
      <c r="E47" s="37">
        <v>3173</v>
      </c>
      <c r="F47" s="38">
        <v>39.6785376615191</v>
      </c>
      <c r="G47" s="39">
        <v>1259</v>
      </c>
      <c r="H47" s="39">
        <v>1912</v>
      </c>
      <c r="I47" s="36">
        <v>-160128.33</v>
      </c>
      <c r="J47" s="40">
        <v>0.0736188613477656</v>
      </c>
      <c r="K47" s="40">
        <v>0.253414408400397</v>
      </c>
      <c r="L47" s="38">
        <f>-OPTI4_SORTINO_ALL_DATA[[#This Row], [Net Profit]]/OPTI4_SORTINO_ALL_DATA[[#This Row], [Max Intraday Drawdown]]</f>
      </c>
      <c r="M47" s="41">
        <v>1</v>
      </c>
      <c r="N47" s="38">
        <v>0.13</v>
      </c>
      <c r="O47" s="42">
        <v>0.7506348780191211</v>
      </c>
      <c r="P47" s="21">
        <f>(OPTI4_SORTINO_ALL_DATA[[#This Row], [Net Profit]]-B$74)/ABS(B$74)</f>
      </c>
      <c r="Q47" s="21">
        <f>(OPTI4_SORTINO_ALL_DATA[[#This Row], [UPI]]-J$74)/ABS(J$74)</f>
      </c>
      <c r="R47" s="21">
        <f>(OPTI4_SORTINO_ALL_DATA[[#This Row], [SORTINO AJUSTADO]]-K$74)/ABS(K$74)</f>
      </c>
      <c r="S47" s="21">
        <f>(OPTI4_SORTINO_ALL_DATA[[#This Row], [RECOVERY]]-L$74)/ABS(L$74)</f>
      </c>
      <c r="T47" s="21">
        <f>(OPTI4_SORTINO_ALL_DATA[[#This Row], [ROB]]-O$74)/ABS(O$74)</f>
      </c>
      <c r="U47" s="21">
        <f>SUM(OPTI4_SORTINO_ALL_DATA[[#This Row], [VAR NET PROFIT]:[VAR ROB]])</f>
      </c>
      <c r="V47" s="21">
        <f>OPTI4_SORTINO_ALL_DATA[[#This Row], [SUMA]]-OPTI4_SORTINO_ALL_DATA[[#This Row], [VAR ROB]]</f>
      </c>
    </row>
    <row x14ac:dyDescent="0.25" r="48" customHeight="1" ht="18.75">
      <c r="A48" s="21"/>
      <c r="B48" s="36">
        <v>255025.02</v>
      </c>
      <c r="C48" s="36">
        <v>791051.52</v>
      </c>
      <c r="D48" s="36">
        <v>-536026.5</v>
      </c>
      <c r="E48" s="37">
        <v>3550</v>
      </c>
      <c r="F48" s="38">
        <v>38.6478873239437</v>
      </c>
      <c r="G48" s="39">
        <v>1372</v>
      </c>
      <c r="H48" s="39">
        <v>2178</v>
      </c>
      <c r="I48" s="36">
        <v>-126118.21</v>
      </c>
      <c r="J48" s="40">
        <v>0.0614313554683815</v>
      </c>
      <c r="K48" s="40">
        <v>0.237217806826138</v>
      </c>
      <c r="L48" s="38">
        <f>-OPTI4_SORTINO_ALL_DATA[[#This Row], [Net Profit]]/OPTI4_SORTINO_ALL_DATA[[#This Row], [Max Intraday Drawdown]]</f>
      </c>
      <c r="M48" s="41">
        <v>1</v>
      </c>
      <c r="N48" s="38">
        <v>0.12</v>
      </c>
      <c r="O48" s="42">
        <v>0.9884872103516673</v>
      </c>
      <c r="P48" s="21">
        <f>(OPTI4_SORTINO_ALL_DATA[[#This Row], [Net Profit]]-B$74)/ABS(B$74)</f>
      </c>
      <c r="Q48" s="21">
        <f>(OPTI4_SORTINO_ALL_DATA[[#This Row], [UPI]]-J$74)/ABS(J$74)</f>
      </c>
      <c r="R48" s="21">
        <f>(OPTI4_SORTINO_ALL_DATA[[#This Row], [SORTINO AJUSTADO]]-K$74)/ABS(K$74)</f>
      </c>
      <c r="S48" s="21">
        <f>(OPTI4_SORTINO_ALL_DATA[[#This Row], [RECOVERY]]-L$74)/ABS(L$74)</f>
      </c>
      <c r="T48" s="21">
        <f>(OPTI4_SORTINO_ALL_DATA[[#This Row], [ROB]]-O$74)/ABS(O$74)</f>
      </c>
      <c r="U48" s="21">
        <f>SUM(OPTI4_SORTINO_ALL_DATA[[#This Row], [VAR NET PROFIT]:[VAR ROB]])</f>
      </c>
      <c r="V48" s="21">
        <f>OPTI4_SORTINO_ALL_DATA[[#This Row], [SUMA]]-OPTI4_SORTINO_ALL_DATA[[#This Row], [VAR ROB]]</f>
      </c>
    </row>
    <row x14ac:dyDescent="0.25" r="49" customHeight="1" ht="18.75">
      <c r="A49" s="21"/>
      <c r="B49" s="36">
        <v>205129.06</v>
      </c>
      <c r="C49" s="36">
        <v>435813.77</v>
      </c>
      <c r="D49" s="36">
        <v>-230684.71</v>
      </c>
      <c r="E49" s="37">
        <v>1110</v>
      </c>
      <c r="F49" s="38">
        <v>42.2522522522523</v>
      </c>
      <c r="G49" s="39">
        <v>469</v>
      </c>
      <c r="H49" s="39">
        <v>641</v>
      </c>
      <c r="I49" s="36">
        <v>-82941.7499999998</v>
      </c>
      <c r="J49" s="40">
        <v>0.0922472695620107</v>
      </c>
      <c r="K49" s="40">
        <v>0.249894974229693</v>
      </c>
      <c r="L49" s="38">
        <f>-OPTI4_SORTINO_ALL_DATA[[#This Row], [Net Profit]]/OPTI4_SORTINO_ALL_DATA[[#This Row], [Max Intraday Drawdown]]</f>
      </c>
      <c r="M49" s="41">
        <v>0.5</v>
      </c>
      <c r="N49" s="38">
        <v>0.14</v>
      </c>
      <c r="O49" s="42">
        <v>0.4397227038087859</v>
      </c>
      <c r="P49" s="21">
        <f>(OPTI4_SORTINO_ALL_DATA[[#This Row], [Net Profit]]-B$74)/ABS(B$74)</f>
      </c>
      <c r="Q49" s="21">
        <f>(OPTI4_SORTINO_ALL_DATA[[#This Row], [UPI]]-J$74)/ABS(J$74)</f>
      </c>
      <c r="R49" s="21">
        <f>(OPTI4_SORTINO_ALL_DATA[[#This Row], [SORTINO AJUSTADO]]-K$74)/ABS(K$74)</f>
      </c>
      <c r="S49" s="21">
        <f>(OPTI4_SORTINO_ALL_DATA[[#This Row], [RECOVERY]]-L$74)/ABS(L$74)</f>
      </c>
      <c r="T49" s="21">
        <f>(OPTI4_SORTINO_ALL_DATA[[#This Row], [ROB]]-O$74)/ABS(O$74)</f>
      </c>
      <c r="U49" s="21">
        <f>SUM(OPTI4_SORTINO_ALL_DATA[[#This Row], [VAR NET PROFIT]:[VAR ROB]])</f>
      </c>
      <c r="V49" s="21">
        <f>OPTI4_SORTINO_ALL_DATA[[#This Row], [SUMA]]-OPTI4_SORTINO_ALL_DATA[[#This Row], [VAR ROB]]</f>
      </c>
    </row>
    <row x14ac:dyDescent="0.25" r="50" customHeight="1" ht="18.75">
      <c r="A50" s="21"/>
      <c r="B50" s="36">
        <v>295721.45</v>
      </c>
      <c r="C50" s="36">
        <v>943533.21</v>
      </c>
      <c r="D50" s="36">
        <v>-647811.76</v>
      </c>
      <c r="E50" s="37">
        <v>4013</v>
      </c>
      <c r="F50" s="38">
        <v>37.9018190879641</v>
      </c>
      <c r="G50" s="39">
        <v>1521</v>
      </c>
      <c r="H50" s="39">
        <v>2492</v>
      </c>
      <c r="I50" s="36">
        <v>-147926.79</v>
      </c>
      <c r="J50" s="40">
        <v>0.0669174928071498</v>
      </c>
      <c r="K50" s="40">
        <v>0.246374977080031</v>
      </c>
      <c r="L50" s="38">
        <f>-OPTI4_SORTINO_ALL_DATA[[#This Row], [Net Profit]]/OPTI4_SORTINO_ALL_DATA[[#This Row], [Max Intraday Drawdown]]</f>
      </c>
      <c r="M50" s="41">
        <v>1.5</v>
      </c>
      <c r="N50" s="38">
        <v>0.12</v>
      </c>
      <c r="O50" s="42">
        <v>0.7408660512728789</v>
      </c>
      <c r="P50" s="21">
        <f>(OPTI4_SORTINO_ALL_DATA[[#This Row], [Net Profit]]-B$74)/ABS(B$74)</f>
      </c>
      <c r="Q50" s="21">
        <f>(OPTI4_SORTINO_ALL_DATA[[#This Row], [UPI]]-J$74)/ABS(J$74)</f>
      </c>
      <c r="R50" s="21">
        <f>(OPTI4_SORTINO_ALL_DATA[[#This Row], [SORTINO AJUSTADO]]-K$74)/ABS(K$74)</f>
      </c>
      <c r="S50" s="21">
        <f>(OPTI4_SORTINO_ALL_DATA[[#This Row], [RECOVERY]]-L$74)/ABS(L$74)</f>
      </c>
      <c r="T50" s="21">
        <f>(OPTI4_SORTINO_ALL_DATA[[#This Row], [ROB]]-O$74)/ABS(O$74)</f>
      </c>
      <c r="U50" s="21">
        <f>SUM(OPTI4_SORTINO_ALL_DATA[[#This Row], [VAR NET PROFIT]:[VAR ROB]])</f>
      </c>
      <c r="V50" s="21">
        <f>OPTI4_SORTINO_ALL_DATA[[#This Row], [SUMA]]-OPTI4_SORTINO_ALL_DATA[[#This Row], [VAR ROB]]</f>
      </c>
    </row>
    <row x14ac:dyDescent="0.25" r="51" customHeight="1" ht="18.75">
      <c r="A51" s="21"/>
      <c r="B51" s="36">
        <v>370262.58</v>
      </c>
      <c r="C51" s="36">
        <v>1055971.62</v>
      </c>
      <c r="D51" s="36">
        <v>-685709.04</v>
      </c>
      <c r="E51" s="37">
        <v>3434</v>
      </c>
      <c r="F51" s="38">
        <v>39.8078043098428</v>
      </c>
      <c r="G51" s="39">
        <v>1367</v>
      </c>
      <c r="H51" s="39">
        <v>2067</v>
      </c>
      <c r="I51" s="36">
        <v>-207305.320000001</v>
      </c>
      <c r="J51" s="40">
        <v>0.067196540568434</v>
      </c>
      <c r="K51" s="40">
        <v>0.247591890356337</v>
      </c>
      <c r="L51" s="38">
        <f>-OPTI4_SORTINO_ALL_DATA[[#This Row], [Net Profit]]/OPTI4_SORTINO_ALL_DATA[[#This Row], [Max Intraday Drawdown]]</f>
      </c>
      <c r="M51" s="41">
        <v>0</v>
      </c>
      <c r="N51" s="38">
        <v>0.14</v>
      </c>
      <c r="O51" s="42">
        <v>0.7472378608856381</v>
      </c>
      <c r="P51" s="21">
        <f>(OPTI4_SORTINO_ALL_DATA[[#This Row], [Net Profit]]-B$74)/ABS(B$74)</f>
      </c>
      <c r="Q51" s="21">
        <f>(OPTI4_SORTINO_ALL_DATA[[#This Row], [UPI]]-J$74)/ABS(J$74)</f>
      </c>
      <c r="R51" s="21">
        <f>(OPTI4_SORTINO_ALL_DATA[[#This Row], [SORTINO AJUSTADO]]-K$74)/ABS(K$74)</f>
      </c>
      <c r="S51" s="21">
        <f>(OPTI4_SORTINO_ALL_DATA[[#This Row], [RECOVERY]]-L$74)/ABS(L$74)</f>
      </c>
      <c r="T51" s="21">
        <f>(OPTI4_SORTINO_ALL_DATA[[#This Row], [ROB]]-O$74)/ABS(O$74)</f>
      </c>
      <c r="U51" s="21">
        <f>SUM(OPTI4_SORTINO_ALL_DATA[[#This Row], [VAR NET PROFIT]:[VAR ROB]])</f>
      </c>
      <c r="V51" s="21">
        <f>OPTI4_SORTINO_ALL_DATA[[#This Row], [SUMA]]-OPTI4_SORTINO_ALL_DATA[[#This Row], [VAR ROB]]</f>
      </c>
    </row>
    <row x14ac:dyDescent="0.25" r="52" customHeight="1" ht="18.75">
      <c r="A52" s="21"/>
      <c r="B52" s="36">
        <v>528900.29</v>
      </c>
      <c r="C52" s="36">
        <v>1356312.05</v>
      </c>
      <c r="D52" s="36">
        <v>-827411.76</v>
      </c>
      <c r="E52" s="37">
        <v>2539</v>
      </c>
      <c r="F52" s="38">
        <v>41.0397794407247</v>
      </c>
      <c r="G52" s="39">
        <v>1042</v>
      </c>
      <c r="H52" s="39">
        <v>1497</v>
      </c>
      <c r="I52" s="36">
        <v>-330136.68</v>
      </c>
      <c r="J52" s="40">
        <v>0.0832881153272356</v>
      </c>
      <c r="K52" s="40">
        <v>0.264662810873543</v>
      </c>
      <c r="L52" s="38">
        <f>-OPTI4_SORTINO_ALL_DATA[[#This Row], [Net Profit]]/OPTI4_SORTINO_ALL_DATA[[#This Row], [Max Intraday Drawdown]]</f>
      </c>
      <c r="M52" s="41">
        <v>0</v>
      </c>
      <c r="N52" s="38">
        <v>0.17</v>
      </c>
      <c r="O52" s="42">
        <v>0.4094195290822924</v>
      </c>
      <c r="P52" s="21">
        <f>(OPTI4_SORTINO_ALL_DATA[[#This Row], [Net Profit]]-B$74)/ABS(B$74)</f>
      </c>
      <c r="Q52" s="21">
        <f>(OPTI4_SORTINO_ALL_DATA[[#This Row], [UPI]]-J$74)/ABS(J$74)</f>
      </c>
      <c r="R52" s="21">
        <f>(OPTI4_SORTINO_ALL_DATA[[#This Row], [SORTINO AJUSTADO]]-K$74)/ABS(K$74)</f>
      </c>
      <c r="S52" s="21">
        <f>(OPTI4_SORTINO_ALL_DATA[[#This Row], [RECOVERY]]-L$74)/ABS(L$74)</f>
      </c>
      <c r="T52" s="21">
        <f>(OPTI4_SORTINO_ALL_DATA[[#This Row], [ROB]]-O$74)/ABS(O$74)</f>
      </c>
      <c r="U52" s="21">
        <f>SUM(OPTI4_SORTINO_ALL_DATA[[#This Row], [VAR NET PROFIT]:[VAR ROB]])</f>
      </c>
      <c r="V52" s="21">
        <f>OPTI4_SORTINO_ALL_DATA[[#This Row], [SUMA]]-OPTI4_SORTINO_ALL_DATA[[#This Row], [VAR ROB]]</f>
      </c>
    </row>
    <row x14ac:dyDescent="0.25" r="53" customHeight="1" ht="18.75">
      <c r="A53" s="21"/>
      <c r="B53" s="36">
        <v>380322.38</v>
      </c>
      <c r="C53" s="36">
        <v>1068107.49</v>
      </c>
      <c r="D53" s="36">
        <v>-687785.11</v>
      </c>
      <c r="E53" s="37">
        <v>3101</v>
      </c>
      <c r="F53" s="38">
        <v>39.4388906804257</v>
      </c>
      <c r="G53" s="39">
        <v>1223</v>
      </c>
      <c r="H53" s="39">
        <v>1878</v>
      </c>
      <c r="I53" s="36">
        <v>-213763.21</v>
      </c>
      <c r="J53" s="40">
        <v>0.0703053161203072</v>
      </c>
      <c r="K53" s="40">
        <v>0.242948227389362</v>
      </c>
      <c r="L53" s="38">
        <f>-OPTI4_SORTINO_ALL_DATA[[#This Row], [Net Profit]]/OPTI4_SORTINO_ALL_DATA[[#This Row], [Max Intraday Drawdown]]</f>
      </c>
      <c r="M53" s="41">
        <v>0</v>
      </c>
      <c r="N53" s="38">
        <v>0.15</v>
      </c>
      <c r="O53" s="42">
        <v>0.6809460809966548</v>
      </c>
      <c r="P53" s="21">
        <f>(OPTI4_SORTINO_ALL_DATA[[#This Row], [Net Profit]]-B$74)/ABS(B$74)</f>
      </c>
      <c r="Q53" s="21">
        <f>(OPTI4_SORTINO_ALL_DATA[[#This Row], [UPI]]-J$74)/ABS(J$74)</f>
      </c>
      <c r="R53" s="21">
        <f>(OPTI4_SORTINO_ALL_DATA[[#This Row], [SORTINO AJUSTADO]]-K$74)/ABS(K$74)</f>
      </c>
      <c r="S53" s="21">
        <f>(OPTI4_SORTINO_ALL_DATA[[#This Row], [RECOVERY]]-L$74)/ABS(L$74)</f>
      </c>
      <c r="T53" s="21">
        <f>(OPTI4_SORTINO_ALL_DATA[[#This Row], [ROB]]-O$74)/ABS(O$74)</f>
      </c>
      <c r="U53" s="21">
        <f>SUM(OPTI4_SORTINO_ALL_DATA[[#This Row], [VAR NET PROFIT]:[VAR ROB]])</f>
      </c>
      <c r="V53" s="21">
        <f>OPTI4_SORTINO_ALL_DATA[[#This Row], [SUMA]]-OPTI4_SORTINO_ALL_DATA[[#This Row], [VAR ROB]]</f>
      </c>
    </row>
    <row x14ac:dyDescent="0.25" r="54" customHeight="1" ht="18.75">
      <c r="A54" s="21"/>
      <c r="B54" s="36">
        <v>482933.52</v>
      </c>
      <c r="C54" s="36">
        <v>1292986.31</v>
      </c>
      <c r="D54" s="36">
        <v>-810052.79</v>
      </c>
      <c r="E54" s="37">
        <v>2786</v>
      </c>
      <c r="F54" s="38">
        <v>40.3086862885858</v>
      </c>
      <c r="G54" s="39">
        <v>1123</v>
      </c>
      <c r="H54" s="39">
        <v>1663</v>
      </c>
      <c r="I54" s="36">
        <v>-297484.96</v>
      </c>
      <c r="J54" s="40">
        <v>0.0801124589364373</v>
      </c>
      <c r="K54" s="40">
        <v>0.264415691073277</v>
      </c>
      <c r="L54" s="38">
        <f>-OPTI4_SORTINO_ALL_DATA[[#This Row], [Net Profit]]/OPTI4_SORTINO_ALL_DATA[[#This Row], [Max Intraday Drawdown]]</f>
      </c>
      <c r="M54" s="41">
        <v>0</v>
      </c>
      <c r="N54" s="38">
        <v>0.16</v>
      </c>
      <c r="O54" s="42">
        <v>0.40587391443805165</v>
      </c>
      <c r="P54" s="21">
        <f>(OPTI4_SORTINO_ALL_DATA[[#This Row], [Net Profit]]-B$74)/ABS(B$74)</f>
      </c>
      <c r="Q54" s="21">
        <f>(OPTI4_SORTINO_ALL_DATA[[#This Row], [UPI]]-J$74)/ABS(J$74)</f>
      </c>
      <c r="R54" s="21">
        <f>(OPTI4_SORTINO_ALL_DATA[[#This Row], [SORTINO AJUSTADO]]-K$74)/ABS(K$74)</f>
      </c>
      <c r="S54" s="21">
        <f>(OPTI4_SORTINO_ALL_DATA[[#This Row], [RECOVERY]]-L$74)/ABS(L$74)</f>
      </c>
      <c r="T54" s="21">
        <f>(OPTI4_SORTINO_ALL_DATA[[#This Row], [ROB]]-O$74)/ABS(O$74)</f>
      </c>
      <c r="U54" s="21">
        <f>SUM(OPTI4_SORTINO_ALL_DATA[[#This Row], [VAR NET PROFIT]:[VAR ROB]])</f>
      </c>
      <c r="V54" s="21">
        <f>OPTI4_SORTINO_ALL_DATA[[#This Row], [SUMA]]-OPTI4_SORTINO_ALL_DATA[[#This Row], [VAR ROB]]</f>
      </c>
    </row>
    <row x14ac:dyDescent="0.25" r="55" customHeight="1" ht="18.75">
      <c r="A55" s="21"/>
      <c r="B55" s="36">
        <v>91830.04</v>
      </c>
      <c r="C55" s="36">
        <v>254536.09</v>
      </c>
      <c r="D55" s="36">
        <v>-162706.05</v>
      </c>
      <c r="E55" s="37">
        <v>1309</v>
      </c>
      <c r="F55" s="38">
        <v>39.877769289534</v>
      </c>
      <c r="G55" s="39">
        <v>522</v>
      </c>
      <c r="H55" s="39">
        <v>787</v>
      </c>
      <c r="I55" s="36">
        <v>-36892.44</v>
      </c>
      <c r="J55" s="40">
        <v>0.074201630104069</v>
      </c>
      <c r="K55" s="40">
        <v>0.223618746605003</v>
      </c>
      <c r="L55" s="38">
        <f>-OPTI4_SORTINO_ALL_DATA[[#This Row], [Net Profit]]/OPTI4_SORTINO_ALL_DATA[[#This Row], [Max Intraday Drawdown]]</f>
      </c>
      <c r="M55" s="41">
        <v>0.5</v>
      </c>
      <c r="N55" s="38">
        <v>0.11</v>
      </c>
      <c r="O55" s="42">
        <v>0.5870798709550799</v>
      </c>
      <c r="P55" s="21">
        <f>(OPTI4_SORTINO_ALL_DATA[[#This Row], [Net Profit]]-B$74)/ABS(B$74)</f>
      </c>
      <c r="Q55" s="21">
        <f>(OPTI4_SORTINO_ALL_DATA[[#This Row], [UPI]]-J$74)/ABS(J$74)</f>
      </c>
      <c r="R55" s="21">
        <f>(OPTI4_SORTINO_ALL_DATA[[#This Row], [SORTINO AJUSTADO]]-K$74)/ABS(K$74)</f>
      </c>
      <c r="S55" s="21">
        <f>(OPTI4_SORTINO_ALL_DATA[[#This Row], [RECOVERY]]-L$74)/ABS(L$74)</f>
      </c>
      <c r="T55" s="21">
        <f>(OPTI4_SORTINO_ALL_DATA[[#This Row], [ROB]]-O$74)/ABS(O$74)</f>
      </c>
      <c r="U55" s="21">
        <f>SUM(OPTI4_SORTINO_ALL_DATA[[#This Row], [VAR NET PROFIT]:[VAR ROB]])</f>
      </c>
      <c r="V55" s="21">
        <f>OPTI4_SORTINO_ALL_DATA[[#This Row], [SUMA]]-OPTI4_SORTINO_ALL_DATA[[#This Row], [VAR ROB]]</f>
      </c>
    </row>
    <row x14ac:dyDescent="0.25" r="56" customHeight="1" ht="18.75">
      <c r="A56" s="21"/>
      <c r="B56" s="36">
        <v>131483.04</v>
      </c>
      <c r="C56" s="36">
        <v>575131.61</v>
      </c>
      <c r="D56" s="36">
        <v>-443648.57</v>
      </c>
      <c r="E56" s="37">
        <v>4439</v>
      </c>
      <c r="F56" s="38">
        <v>37.6661410227529</v>
      </c>
      <c r="G56" s="39">
        <v>1672</v>
      </c>
      <c r="H56" s="39">
        <v>2767</v>
      </c>
      <c r="I56" s="36">
        <v>-69265.6700000001</v>
      </c>
      <c r="J56" s="40">
        <v>0.040312519558306</v>
      </c>
      <c r="K56" s="40">
        <v>0.207962851022177</v>
      </c>
      <c r="L56" s="38">
        <f>-OPTI4_SORTINO_ALL_DATA[[#This Row], [Net Profit]]/OPTI4_SORTINO_ALL_DATA[[#This Row], [Max Intraday Drawdown]]</f>
      </c>
      <c r="M56" s="41">
        <v>1</v>
      </c>
      <c r="N56" s="38">
        <v>0.1</v>
      </c>
      <c r="O56" s="42">
        <v>1.0548351301119496</v>
      </c>
      <c r="P56" s="21">
        <f>(OPTI4_SORTINO_ALL_DATA[[#This Row], [Net Profit]]-B$74)/ABS(B$74)</f>
      </c>
      <c r="Q56" s="21">
        <f>(OPTI4_SORTINO_ALL_DATA[[#This Row], [UPI]]-J$74)/ABS(J$74)</f>
      </c>
      <c r="R56" s="21">
        <f>(OPTI4_SORTINO_ALL_DATA[[#This Row], [SORTINO AJUSTADO]]-K$74)/ABS(K$74)</f>
      </c>
      <c r="S56" s="21">
        <f>(OPTI4_SORTINO_ALL_DATA[[#This Row], [RECOVERY]]-L$74)/ABS(L$74)</f>
      </c>
      <c r="T56" s="21">
        <f>(OPTI4_SORTINO_ALL_DATA[[#This Row], [ROB]]-O$74)/ABS(O$74)</f>
      </c>
      <c r="U56" s="21">
        <f>SUM(OPTI4_SORTINO_ALL_DATA[[#This Row], [VAR NET PROFIT]:[VAR ROB]])</f>
      </c>
      <c r="V56" s="21">
        <f>OPTI4_SORTINO_ALL_DATA[[#This Row], [SUMA]]-OPTI4_SORTINO_ALL_DATA[[#This Row], [VAR ROB]]</f>
      </c>
    </row>
    <row x14ac:dyDescent="0.25" r="57" customHeight="1" ht="18.75">
      <c r="A57" s="21"/>
      <c r="B57" s="36">
        <v>177670.88</v>
      </c>
      <c r="C57" s="36">
        <v>750928.94</v>
      </c>
      <c r="D57" s="36">
        <v>-573258.06</v>
      </c>
      <c r="E57" s="37">
        <v>4832</v>
      </c>
      <c r="F57" s="38">
        <v>37.148178807947</v>
      </c>
      <c r="G57" s="39">
        <v>1795</v>
      </c>
      <c r="H57" s="39">
        <v>3037</v>
      </c>
      <c r="I57" s="36">
        <v>-103244.98</v>
      </c>
      <c r="J57" s="40">
        <v>0.0421379036014964</v>
      </c>
      <c r="K57" s="40">
        <v>0.204867922105208</v>
      </c>
      <c r="L57" s="38">
        <f>-OPTI4_SORTINO_ALL_DATA[[#This Row], [Net Profit]]/OPTI4_SORTINO_ALL_DATA[[#This Row], [Max Intraday Drawdown]]</f>
      </c>
      <c r="M57" s="41">
        <v>0</v>
      </c>
      <c r="N57" s="38">
        <v>0.11</v>
      </c>
      <c r="O57" s="42">
        <v>0.9917184527486009</v>
      </c>
      <c r="P57" s="21">
        <f>(OPTI4_SORTINO_ALL_DATA[[#This Row], [Net Profit]]-B$74)/ABS(B$74)</f>
      </c>
      <c r="Q57" s="21">
        <f>(OPTI4_SORTINO_ALL_DATA[[#This Row], [UPI]]-J$74)/ABS(J$74)</f>
      </c>
      <c r="R57" s="21">
        <f>(OPTI4_SORTINO_ALL_DATA[[#This Row], [SORTINO AJUSTADO]]-K$74)/ABS(K$74)</f>
      </c>
      <c r="S57" s="21">
        <f>(OPTI4_SORTINO_ALL_DATA[[#This Row], [RECOVERY]]-L$74)/ABS(L$74)</f>
      </c>
      <c r="T57" s="21">
        <f>(OPTI4_SORTINO_ALL_DATA[[#This Row], [ROB]]-O$74)/ABS(O$74)</f>
      </c>
      <c r="U57" s="21">
        <f>SUM(OPTI4_SORTINO_ALL_DATA[[#This Row], [VAR NET PROFIT]:[VAR ROB]])</f>
      </c>
      <c r="V57" s="21">
        <f>OPTI4_SORTINO_ALL_DATA[[#This Row], [SUMA]]-OPTI4_SORTINO_ALL_DATA[[#This Row], [VAR ROB]]</f>
      </c>
    </row>
    <row x14ac:dyDescent="0.25" r="58" customHeight="1" ht="18.75">
      <c r="A58" s="21"/>
      <c r="B58" s="36">
        <v>137908.76</v>
      </c>
      <c r="C58" s="36">
        <v>642953.03</v>
      </c>
      <c r="D58" s="36">
        <v>-505044.27</v>
      </c>
      <c r="E58" s="37">
        <v>5078</v>
      </c>
      <c r="F58" s="38">
        <v>36.9042930287515</v>
      </c>
      <c r="G58" s="39">
        <v>1874</v>
      </c>
      <c r="H58" s="39">
        <v>3203</v>
      </c>
      <c r="I58" s="36">
        <v>-72960.4900000001</v>
      </c>
      <c r="J58" s="40">
        <v>0.0395690850898317</v>
      </c>
      <c r="K58" s="40">
        <v>0.197849712735103</v>
      </c>
      <c r="L58" s="38">
        <f>-OPTI4_SORTINO_ALL_DATA[[#This Row], [Net Profit]]/OPTI4_SORTINO_ALL_DATA[[#This Row], [Max Intraday Drawdown]]</f>
      </c>
      <c r="M58" s="41">
        <v>1.5</v>
      </c>
      <c r="N58" s="38">
        <v>0.1</v>
      </c>
      <c r="O58" s="42">
        <v>1.0085783771605488</v>
      </c>
      <c r="P58" s="21">
        <f>(OPTI4_SORTINO_ALL_DATA[[#This Row], [Net Profit]]-B$74)/ABS(B$74)</f>
      </c>
      <c r="Q58" s="21">
        <f>(OPTI4_SORTINO_ALL_DATA[[#This Row], [UPI]]-J$74)/ABS(J$74)</f>
      </c>
      <c r="R58" s="21">
        <f>(OPTI4_SORTINO_ALL_DATA[[#This Row], [SORTINO AJUSTADO]]-K$74)/ABS(K$74)</f>
      </c>
      <c r="S58" s="21">
        <f>(OPTI4_SORTINO_ALL_DATA[[#This Row], [RECOVERY]]-L$74)/ABS(L$74)</f>
      </c>
      <c r="T58" s="21">
        <f>(OPTI4_SORTINO_ALL_DATA[[#This Row], [ROB]]-O$74)/ABS(O$74)</f>
      </c>
      <c r="U58" s="21">
        <f>SUM(OPTI4_SORTINO_ALL_DATA[[#This Row], [VAR NET PROFIT]:[VAR ROB]])</f>
      </c>
      <c r="V58" s="21">
        <f>OPTI4_SORTINO_ALL_DATA[[#This Row], [SUMA]]-OPTI4_SORTINO_ALL_DATA[[#This Row], [VAR ROB]]</f>
      </c>
    </row>
    <row x14ac:dyDescent="0.25" r="59" customHeight="1" ht="18.75">
      <c r="A59" s="21"/>
      <c r="B59" s="36">
        <v>248839.11</v>
      </c>
      <c r="C59" s="36">
        <v>879629.29</v>
      </c>
      <c r="D59" s="36">
        <v>-630790.18</v>
      </c>
      <c r="E59" s="37">
        <v>4249</v>
      </c>
      <c r="F59" s="38">
        <v>37.7735937867734</v>
      </c>
      <c r="G59" s="39">
        <v>1605</v>
      </c>
      <c r="H59" s="39">
        <v>2644</v>
      </c>
      <c r="I59" s="36">
        <v>-135592.68</v>
      </c>
      <c r="J59" s="40">
        <v>0.0536042812311295</v>
      </c>
      <c r="K59" s="40">
        <v>0.227905315435051</v>
      </c>
      <c r="L59" s="38">
        <f>-OPTI4_SORTINO_ALL_DATA[[#This Row], [Net Profit]]/OPTI4_SORTINO_ALL_DATA[[#This Row], [Max Intraday Drawdown]]</f>
      </c>
      <c r="M59" s="41">
        <v>0</v>
      </c>
      <c r="N59" s="38">
        <v>0.12</v>
      </c>
      <c r="O59" s="42">
        <v>0.6457498283381452</v>
      </c>
      <c r="P59" s="21">
        <f>(OPTI4_SORTINO_ALL_DATA[[#This Row], [Net Profit]]-B$74)/ABS(B$74)</f>
      </c>
      <c r="Q59" s="21">
        <f>(OPTI4_SORTINO_ALL_DATA[[#This Row], [UPI]]-J$74)/ABS(J$74)</f>
      </c>
      <c r="R59" s="21">
        <f>(OPTI4_SORTINO_ALL_DATA[[#This Row], [SORTINO AJUSTADO]]-K$74)/ABS(K$74)</f>
      </c>
      <c r="S59" s="21">
        <f>(OPTI4_SORTINO_ALL_DATA[[#This Row], [RECOVERY]]-L$74)/ABS(L$74)</f>
      </c>
      <c r="T59" s="21">
        <f>(OPTI4_SORTINO_ALL_DATA[[#This Row], [ROB]]-O$74)/ABS(O$74)</f>
      </c>
      <c r="U59" s="21">
        <f>SUM(OPTI4_SORTINO_ALL_DATA[[#This Row], [VAR NET PROFIT]:[VAR ROB]])</f>
      </c>
      <c r="V59" s="21">
        <f>OPTI4_SORTINO_ALL_DATA[[#This Row], [SUMA]]-OPTI4_SORTINO_ALL_DATA[[#This Row], [VAR ROB]]</f>
      </c>
    </row>
    <row x14ac:dyDescent="0.25" r="60" customHeight="1" ht="18.75">
      <c r="A60" s="21"/>
      <c r="B60" s="36">
        <v>133521</v>
      </c>
      <c r="C60" s="36">
        <v>661174.97</v>
      </c>
      <c r="D60" s="36">
        <v>-527653.97</v>
      </c>
      <c r="E60" s="37">
        <v>5412</v>
      </c>
      <c r="F60" s="38">
        <v>37.0842572062084</v>
      </c>
      <c r="G60" s="39">
        <v>2007</v>
      </c>
      <c r="H60" s="39">
        <v>3404</v>
      </c>
      <c r="I60" s="36">
        <v>-76662</v>
      </c>
      <c r="J60" s="40">
        <v>0.032399060137811</v>
      </c>
      <c r="K60" s="40">
        <v>0.188318599732301</v>
      </c>
      <c r="L60" s="38">
        <f>-OPTI4_SORTINO_ALL_DATA[[#This Row], [Net Profit]]/OPTI4_SORTINO_ALL_DATA[[#This Row], [Max Intraday Drawdown]]</f>
      </c>
      <c r="M60" s="41">
        <v>0</v>
      </c>
      <c r="N60" s="38">
        <v>0.1</v>
      </c>
      <c r="O60" s="42">
        <v>0.9801824382366405</v>
      </c>
      <c r="P60" s="21">
        <f>(OPTI4_SORTINO_ALL_DATA[[#This Row], [Net Profit]]-B$74)/ABS(B$74)</f>
      </c>
      <c r="Q60" s="21">
        <f>(OPTI4_SORTINO_ALL_DATA[[#This Row], [UPI]]-J$74)/ABS(J$74)</f>
      </c>
      <c r="R60" s="21">
        <f>(OPTI4_SORTINO_ALL_DATA[[#This Row], [SORTINO AJUSTADO]]-K$74)/ABS(K$74)</f>
      </c>
      <c r="S60" s="21">
        <f>(OPTI4_SORTINO_ALL_DATA[[#This Row], [RECOVERY]]-L$74)/ABS(L$74)</f>
      </c>
      <c r="T60" s="21">
        <f>(OPTI4_SORTINO_ALL_DATA[[#This Row], [ROB]]-O$74)/ABS(O$74)</f>
      </c>
      <c r="U60" s="21">
        <f>SUM(OPTI4_SORTINO_ALL_DATA[[#This Row], [VAR NET PROFIT]:[VAR ROB]])</f>
      </c>
      <c r="V60" s="21">
        <f>OPTI4_SORTINO_ALL_DATA[[#This Row], [SUMA]]-OPTI4_SORTINO_ALL_DATA[[#This Row], [VAR ROB]]</f>
      </c>
    </row>
    <row x14ac:dyDescent="0.25" r="61" customHeight="1" ht="18.75">
      <c r="A61" s="21"/>
      <c r="B61" s="36">
        <v>65771.3899999999</v>
      </c>
      <c r="C61" s="36">
        <v>214458.16</v>
      </c>
      <c r="D61" s="36">
        <v>-148686.77</v>
      </c>
      <c r="E61" s="37">
        <v>1374</v>
      </c>
      <c r="F61" s="38">
        <v>38.3551673944687</v>
      </c>
      <c r="G61" s="39">
        <v>527</v>
      </c>
      <c r="H61" s="39">
        <v>847</v>
      </c>
      <c r="I61" s="36">
        <v>-29241.4</v>
      </c>
      <c r="J61" s="40">
        <v>0.0609074650882645</v>
      </c>
      <c r="K61" s="40">
        <v>0.199925806753759</v>
      </c>
      <c r="L61" s="38">
        <f>-OPTI4_SORTINO_ALL_DATA[[#This Row], [Net Profit]]/OPTI4_SORTINO_ALL_DATA[[#This Row], [Max Intraday Drawdown]]</f>
      </c>
      <c r="M61" s="41">
        <v>0.5</v>
      </c>
      <c r="N61" s="38">
        <v>0.1</v>
      </c>
      <c r="O61" s="42">
        <v>0.24225152909099068</v>
      </c>
      <c r="P61" s="21">
        <f>(OPTI4_SORTINO_ALL_DATA[[#This Row], [Net Profit]]-B$74)/ABS(B$74)</f>
      </c>
      <c r="Q61" s="21">
        <f>(OPTI4_SORTINO_ALL_DATA[[#This Row], [UPI]]-J$74)/ABS(J$74)</f>
      </c>
      <c r="R61" s="21">
        <f>(OPTI4_SORTINO_ALL_DATA[[#This Row], [SORTINO AJUSTADO]]-K$74)/ABS(K$74)</f>
      </c>
      <c r="S61" s="21">
        <f>(OPTI4_SORTINO_ALL_DATA[[#This Row], [RECOVERY]]-L$74)/ABS(L$74)</f>
      </c>
      <c r="T61" s="21">
        <f>(OPTI4_SORTINO_ALL_DATA[[#This Row], [ROB]]-O$74)/ABS(O$74)</f>
      </c>
      <c r="U61" s="21">
        <f>SUM(OPTI4_SORTINO_ALL_DATA[[#This Row], [VAR NET PROFIT]:[VAR ROB]])</f>
      </c>
      <c r="V61" s="21">
        <f>OPTI4_SORTINO_ALL_DATA[[#This Row], [SUMA]]-OPTI4_SORTINO_ALL_DATA[[#This Row], [VAR ROB]]</f>
      </c>
    </row>
    <row x14ac:dyDescent="0.25" r="62" customHeight="1" ht="18.75">
      <c r="A62" s="50"/>
      <c r="B62" s="51"/>
      <c r="C62" s="51"/>
      <c r="D62" s="51"/>
      <c r="E62" s="52"/>
      <c r="F62" s="53"/>
      <c r="G62" s="52"/>
      <c r="H62" s="52"/>
      <c r="I62" s="51"/>
      <c r="J62" s="54"/>
      <c r="K62" s="54"/>
      <c r="L62" s="53"/>
      <c r="M62" s="52"/>
      <c r="N62" s="52"/>
      <c r="O62" s="55"/>
      <c r="P62" s="56"/>
      <c r="Q62" s="56"/>
      <c r="R62" s="56"/>
      <c r="S62" s="56"/>
      <c r="T62" s="56"/>
      <c r="U62" s="56"/>
      <c r="V62" s="56"/>
    </row>
    <row x14ac:dyDescent="0.25" r="63" customHeight="1" ht="18.75">
      <c r="A63" s="50"/>
      <c r="B63" s="51"/>
      <c r="C63" s="51"/>
      <c r="D63" s="51"/>
      <c r="E63" s="52"/>
      <c r="F63" s="53"/>
      <c r="G63" s="52"/>
      <c r="H63" s="52"/>
      <c r="I63" s="51"/>
      <c r="J63" s="54"/>
      <c r="K63" s="54"/>
      <c r="L63" s="53"/>
      <c r="M63" s="52"/>
      <c r="N63" s="52"/>
      <c r="O63" s="55"/>
      <c r="P63" s="56"/>
      <c r="Q63" s="56"/>
      <c r="R63" s="56"/>
      <c r="S63" s="56"/>
      <c r="T63" s="56"/>
      <c r="U63" s="56"/>
      <c r="V63" s="56"/>
    </row>
    <row x14ac:dyDescent="0.25" r="64" customHeight="1" ht="30">
      <c r="A64" s="57" t="s">
        <v>32</v>
      </c>
      <c r="B64" s="58">
        <v>593297.6581666666</v>
      </c>
      <c r="C64" s="58">
        <v>1322631.9586666669</v>
      </c>
      <c r="D64" s="58">
        <v>-729334.3005000001</v>
      </c>
      <c r="E64" s="41">
        <v>2231.25</v>
      </c>
      <c r="F64" s="38">
        <v>42.220223712325904</v>
      </c>
      <c r="G64" s="41">
        <v>906.4333333333333</v>
      </c>
      <c r="H64" s="41">
        <v>1324.6833333333334</v>
      </c>
      <c r="I64" s="58">
        <v>-374828.9981666668</v>
      </c>
      <c r="J64" s="40">
        <v>0.09155892480629993</v>
      </c>
      <c r="K64" s="40">
        <v>0.2729281388396555</v>
      </c>
      <c r="L64" s="38">
        <v>1.8205537548581823</v>
      </c>
      <c r="M64" s="41">
        <v>0.75</v>
      </c>
      <c r="N64" s="41">
        <v>0.17000000000000004</v>
      </c>
      <c r="O64" s="42">
        <v>0.48591236559985895</v>
      </c>
      <c r="P64" s="56"/>
      <c r="Q64" s="56"/>
      <c r="R64" s="56"/>
      <c r="S64" s="56"/>
      <c r="T64" s="56"/>
      <c r="U64" s="56"/>
      <c r="V64" s="56"/>
    </row>
    <row x14ac:dyDescent="0.25" r="65" customHeight="1" ht="30">
      <c r="A65" s="57" t="s">
        <v>33</v>
      </c>
      <c r="B65" s="59">
        <v>46289.14321094083</v>
      </c>
      <c r="C65" s="59">
        <v>86312.44908127438</v>
      </c>
      <c r="D65" s="59">
        <v>42929.179998368054</v>
      </c>
      <c r="E65" s="41">
        <v>159.88441556889748</v>
      </c>
      <c r="F65" s="38">
        <v>0.4523623080470074</v>
      </c>
      <c r="G65" s="41">
        <v>57.05566895321341</v>
      </c>
      <c r="H65" s="41">
        <v>102.94946786236929</v>
      </c>
      <c r="I65" s="58">
        <v>36917.34663947165</v>
      </c>
      <c r="J65" s="40">
        <v>0.0030908506764830137</v>
      </c>
      <c r="K65" s="40">
        <v>0.004434450935093736</v>
      </c>
      <c r="L65" s="38">
        <v>0.04955578573946465</v>
      </c>
      <c r="M65" s="41">
        <v>0.07277781371744774</v>
      </c>
      <c r="N65" s="41">
        <v>0.005624803825832129</v>
      </c>
      <c r="O65" s="42">
        <v>0.035267550482947586</v>
      </c>
      <c r="P65" s="56"/>
      <c r="Q65" s="56"/>
      <c r="R65" s="56"/>
      <c r="S65" s="56"/>
      <c r="T65" s="56"/>
      <c r="U65" s="56"/>
      <c r="V65" s="56"/>
    </row>
    <row x14ac:dyDescent="0.25" r="66" customHeight="1" ht="30">
      <c r="A66" s="57" t="s">
        <v>34</v>
      </c>
      <c r="B66" s="60">
        <v>533530.2350000001</v>
      </c>
      <c r="C66" s="58">
        <v>1138340.415</v>
      </c>
      <c r="D66" s="58">
        <v>-712981.4550000001</v>
      </c>
      <c r="E66" s="39">
        <v>1879.5</v>
      </c>
      <c r="F66" s="38">
        <v>42.1312807653014</v>
      </c>
      <c r="G66" s="41">
        <v>800.5</v>
      </c>
      <c r="H66" s="41">
        <v>1081.5</v>
      </c>
      <c r="I66" s="58">
        <v>-298817.635</v>
      </c>
      <c r="J66" s="61">
        <v>0.0983119260762918</v>
      </c>
      <c r="K66" s="62">
        <v>0.28225787694612103</v>
      </c>
      <c r="L66" s="63">
        <v>1.749679820734936</v>
      </c>
      <c r="M66" s="41">
        <v>0.75</v>
      </c>
      <c r="N66" s="39">
        <v>0.17</v>
      </c>
      <c r="O66" s="64">
        <v>0.3849444918920948</v>
      </c>
      <c r="P66" s="56"/>
      <c r="Q66" s="56"/>
      <c r="R66" s="56"/>
      <c r="S66" s="56"/>
      <c r="T66" s="56"/>
      <c r="U66" s="56"/>
      <c r="V66" s="56"/>
    </row>
    <row x14ac:dyDescent="0.25" r="67" customHeight="1" ht="30">
      <c r="A67" s="57" t="s">
        <v>35</v>
      </c>
      <c r="B67" s="58" t="s">
        <v>36</v>
      </c>
      <c r="C67" s="58" t="s">
        <v>36</v>
      </c>
      <c r="D67" s="58" t="s">
        <v>36</v>
      </c>
      <c r="E67" s="41" t="s">
        <v>36</v>
      </c>
      <c r="F67" s="38" t="s">
        <v>36</v>
      </c>
      <c r="G67" s="41" t="s">
        <v>36</v>
      </c>
      <c r="H67" s="41" t="s">
        <v>36</v>
      </c>
      <c r="I67" s="58" t="s">
        <v>36</v>
      </c>
      <c r="J67" s="40" t="s">
        <v>36</v>
      </c>
      <c r="K67" s="40" t="s">
        <v>36</v>
      </c>
      <c r="L67" s="38" t="s">
        <v>36</v>
      </c>
      <c r="M67" s="41">
        <v>0</v>
      </c>
      <c r="N67" s="39">
        <v>0.1</v>
      </c>
      <c r="O67" s="42" t="s">
        <v>36</v>
      </c>
      <c r="P67" s="56"/>
      <c r="Q67" s="56"/>
      <c r="R67" s="56"/>
      <c r="S67" s="56"/>
      <c r="T67" s="56"/>
      <c r="U67" s="56"/>
      <c r="V67" s="56"/>
    </row>
    <row x14ac:dyDescent="0.25" r="68" customHeight="1" ht="30">
      <c r="A68" s="57" t="s">
        <v>37</v>
      </c>
      <c r="B68" s="58">
        <v>358554.16153236787</v>
      </c>
      <c r="C68" s="58">
        <v>668573.3557243027</v>
      </c>
      <c r="D68" s="58">
        <v>332527.99840004</v>
      </c>
      <c r="E68" s="39">
        <v>1238.4593576328916</v>
      </c>
      <c r="F68" s="38">
        <v>3.503983371036018</v>
      </c>
      <c r="G68" s="41">
        <v>441.95131132503826</v>
      </c>
      <c r="H68" s="41">
        <v>797.4431490637439</v>
      </c>
      <c r="I68" s="58">
        <v>285960.53744168015</v>
      </c>
      <c r="J68" s="40">
        <v>0.02394162639126528</v>
      </c>
      <c r="K68" s="40">
        <v>0.03434910924238389</v>
      </c>
      <c r="L68" s="38">
        <v>0.38385746575433916</v>
      </c>
      <c r="M68" s="41">
        <v>0.5637345210021216</v>
      </c>
      <c r="N68" s="41">
        <v>0.0435695430862632</v>
      </c>
      <c r="O68" s="42">
        <v>0.2731812713639707</v>
      </c>
      <c r="P68" s="56"/>
      <c r="Q68" s="56"/>
      <c r="R68" s="56"/>
      <c r="S68" s="56"/>
      <c r="T68" s="56"/>
      <c r="U68" s="56"/>
      <c r="V68" s="56"/>
    </row>
    <row x14ac:dyDescent="0.25" r="69" customHeight="1" ht="30">
      <c r="A69" s="57" t="s">
        <v>38</v>
      </c>
      <c r="B69" s="58">
        <v>128561086752.17935</v>
      </c>
      <c r="C69" s="58">
        <v>446990331984.45496</v>
      </c>
      <c r="D69" s="58">
        <v>110574869719.93704</v>
      </c>
      <c r="E69" s="39">
        <v>1533781.5805084745</v>
      </c>
      <c r="F69" s="38">
        <v>12.277899464496938</v>
      </c>
      <c r="G69" s="41">
        <v>195320.9615819209</v>
      </c>
      <c r="H69" s="41">
        <v>635915.5759887006</v>
      </c>
      <c r="I69" s="58">
        <v>81773428973.93457</v>
      </c>
      <c r="J69" s="40">
        <v>0.0005732014742589303</v>
      </c>
      <c r="K69" s="40">
        <v>0.0011798613057452225</v>
      </c>
      <c r="L69" s="38">
        <v>0.14734655401534366</v>
      </c>
      <c r="M69" s="41">
        <v>0.3177966101694915</v>
      </c>
      <c r="N69" s="41">
        <v>0.0018983050847457457</v>
      </c>
      <c r="O69" s="42">
        <v>0.0746280070240354</v>
      </c>
      <c r="P69" s="56"/>
      <c r="Q69" s="56"/>
      <c r="R69" s="56"/>
      <c r="S69" s="56"/>
      <c r="T69" s="56"/>
      <c r="U69" s="56"/>
      <c r="V69" s="56"/>
    </row>
    <row x14ac:dyDescent="0.25" r="70" customHeight="1" ht="30">
      <c r="A70" s="57" t="s">
        <v>39</v>
      </c>
      <c r="B70" s="58">
        <v>-0.9808309678817984</v>
      </c>
      <c r="C70" s="58">
        <v>-1.0759255415603848</v>
      </c>
      <c r="D70" s="58">
        <v>-1.1977502650586846</v>
      </c>
      <c r="E70" s="39">
        <v>-0.2029926961821089</v>
      </c>
      <c r="F70" s="38">
        <v>0.3698904395775471</v>
      </c>
      <c r="G70" s="41">
        <v>-0.44725120634368976</v>
      </c>
      <c r="H70" s="41">
        <v>-0.06122491858272028</v>
      </c>
      <c r="I70" s="59">
        <v>-0.6782457066386649</v>
      </c>
      <c r="J70" s="40">
        <v>-0.40531762409877503</v>
      </c>
      <c r="K70" s="40">
        <v>-0.241583831758577</v>
      </c>
      <c r="L70" s="38">
        <v>0.17606711420980048</v>
      </c>
      <c r="M70" s="41">
        <v>-1.3734543254688436</v>
      </c>
      <c r="N70" s="39">
        <v>-1.2109379051075968</v>
      </c>
      <c r="O70" s="42">
        <v>0.9384794787440547</v>
      </c>
      <c r="P70" s="56"/>
      <c r="Q70" s="56"/>
      <c r="R70" s="56"/>
      <c r="S70" s="56"/>
      <c r="T70" s="56"/>
      <c r="U70" s="56"/>
      <c r="V70" s="56"/>
    </row>
    <row x14ac:dyDescent="0.25" r="71" customHeight="1" ht="30">
      <c r="A71" s="57" t="s">
        <v>40</v>
      </c>
      <c r="B71" s="58">
        <v>0.4447870487813559</v>
      </c>
      <c r="C71" s="58">
        <v>0.3455376875642697</v>
      </c>
      <c r="D71" s="58">
        <v>-0.006665925233719048</v>
      </c>
      <c r="E71" s="39">
        <v>0.8211899705525783</v>
      </c>
      <c r="F71" s="38">
        <v>0.7954828486459746</v>
      </c>
      <c r="G71" s="41">
        <v>0.6980092938328696</v>
      </c>
      <c r="H71" s="41">
        <v>0.8870015787435969</v>
      </c>
      <c r="I71" s="59">
        <v>-0.7655220017262571</v>
      </c>
      <c r="J71" s="40">
        <v>-0.8041671957646139</v>
      </c>
      <c r="K71" s="40">
        <v>-0.6733747847190712</v>
      </c>
      <c r="L71" s="38">
        <v>0.7192395747474706</v>
      </c>
      <c r="M71" s="41">
        <v>4.67189116148517e-17</v>
      </c>
      <c r="N71" s="39">
        <v>-2.865426579044238e-15</v>
      </c>
      <c r="O71" s="42">
        <v>1.3271217666062736</v>
      </c>
      <c r="P71" s="56"/>
      <c r="Q71" s="56"/>
      <c r="R71" s="56"/>
      <c r="S71" s="56"/>
      <c r="T71" s="56"/>
      <c r="U71" s="56"/>
      <c r="V71" s="56"/>
    </row>
    <row x14ac:dyDescent="0.25" r="72" customHeight="1" ht="30">
      <c r="A72" s="57" t="s">
        <v>41</v>
      </c>
      <c r="B72" s="58">
        <v>1276680.76</v>
      </c>
      <c r="C72" s="58">
        <v>2373905.36</v>
      </c>
      <c r="D72" s="58">
        <v>1097224.6</v>
      </c>
      <c r="E72" s="39">
        <v>4784</v>
      </c>
      <c r="F72" s="38">
        <v>14.6880636591466</v>
      </c>
      <c r="G72" s="39">
        <v>1683</v>
      </c>
      <c r="H72" s="39">
        <v>3100</v>
      </c>
      <c r="I72" s="58">
        <v>1005972.46</v>
      </c>
      <c r="J72" s="40">
        <v>0.087369111811406</v>
      </c>
      <c r="K72" s="40">
        <v>0.13664472004388098</v>
      </c>
      <c r="L72" s="38">
        <v>1.6676688707495357</v>
      </c>
      <c r="M72" s="41">
        <v>1.5</v>
      </c>
      <c r="N72" s="39">
        <v>0.13999999999999999</v>
      </c>
      <c r="O72" s="42">
        <v>1.069468486204978</v>
      </c>
      <c r="P72" s="56"/>
      <c r="Q72" s="56"/>
      <c r="R72" s="56"/>
      <c r="S72" s="56"/>
      <c r="T72" s="56"/>
      <c r="U72" s="56"/>
      <c r="V72" s="56"/>
    </row>
    <row x14ac:dyDescent="0.25" r="73" customHeight="1" ht="30">
      <c r="A73" s="57" t="s">
        <v>42</v>
      </c>
      <c r="B73" s="60">
        <v>65771.3899999999</v>
      </c>
      <c r="C73" s="58">
        <v>214458.16</v>
      </c>
      <c r="D73" s="58">
        <v>-1245911.37</v>
      </c>
      <c r="E73" s="39">
        <v>628</v>
      </c>
      <c r="F73" s="38">
        <v>36.9042930287515</v>
      </c>
      <c r="G73" s="39">
        <v>324</v>
      </c>
      <c r="H73" s="39">
        <v>304</v>
      </c>
      <c r="I73" s="58">
        <v>-1035213.86</v>
      </c>
      <c r="J73" s="61">
        <v>0.032399060137811</v>
      </c>
      <c r="K73" s="62">
        <v>0.188318599732301</v>
      </c>
      <c r="L73" s="63">
        <v>1.2151514431042212</v>
      </c>
      <c r="M73" s="41">
        <v>0</v>
      </c>
      <c r="N73" s="39">
        <v>0.1</v>
      </c>
      <c r="O73" s="64">
        <v>0.22022668791040578</v>
      </c>
      <c r="P73" s="56"/>
      <c r="Q73" s="56"/>
      <c r="R73" s="56"/>
      <c r="S73" s="56"/>
      <c r="T73" s="56"/>
      <c r="U73" s="56"/>
      <c r="V73" s="56"/>
    </row>
    <row x14ac:dyDescent="0.25" r="74" customHeight="1" ht="30">
      <c r="A74" s="57" t="s">
        <v>43</v>
      </c>
      <c r="B74" s="60">
        <v>1342452.15</v>
      </c>
      <c r="C74" s="58">
        <v>2588363.52</v>
      </c>
      <c r="D74" s="58">
        <v>-148686.77</v>
      </c>
      <c r="E74" s="39">
        <v>5412</v>
      </c>
      <c r="F74" s="38">
        <v>51.5923566878981</v>
      </c>
      <c r="G74" s="39">
        <v>2007</v>
      </c>
      <c r="H74" s="39">
        <v>3404</v>
      </c>
      <c r="I74" s="58">
        <v>-29241.4</v>
      </c>
      <c r="J74" s="61">
        <v>0.119768171949217</v>
      </c>
      <c r="K74" s="62">
        <v>0.324963319776182</v>
      </c>
      <c r="L74" s="63">
        <v>2.882820313853757</v>
      </c>
      <c r="M74" s="41">
        <v>1.5</v>
      </c>
      <c r="N74" s="39">
        <v>0.24</v>
      </c>
      <c r="O74" s="64">
        <v>1.2896951741153837</v>
      </c>
      <c r="P74" s="56"/>
      <c r="Q74" s="56"/>
      <c r="R74" s="56"/>
      <c r="S74" s="56"/>
      <c r="T74" s="56"/>
      <c r="U74" s="56"/>
      <c r="V74" s="56"/>
    </row>
    <row x14ac:dyDescent="0.25" r="75" customHeight="1" ht="30">
      <c r="A75" s="57" t="s">
        <v>44</v>
      </c>
      <c r="B75" s="58">
        <v>92624.36162075856</v>
      </c>
      <c r="C75" s="58">
        <v>172710.81168310906</v>
      </c>
      <c r="D75" s="58">
        <v>85901.09076185383</v>
      </c>
      <c r="E75" s="41">
        <v>319.9279765817079</v>
      </c>
      <c r="F75" s="38">
        <v>0.9051748876234035</v>
      </c>
      <c r="G75" s="41">
        <v>114.16812986911437</v>
      </c>
      <c r="H75" s="41">
        <v>206.0014093692477</v>
      </c>
      <c r="I75" s="58">
        <v>73871.43999686526</v>
      </c>
      <c r="J75" s="40">
        <v>0.006184777918003509</v>
      </c>
      <c r="K75" s="40">
        <v>0.008873315825481768</v>
      </c>
      <c r="L75" s="38">
        <v>0.0991608982222013</v>
      </c>
      <c r="M75" s="41">
        <v>0.14562806887598193</v>
      </c>
      <c r="N75" s="41">
        <v>0.011255206458143301</v>
      </c>
      <c r="O75" s="42">
        <v>0.07057020551287281</v>
      </c>
      <c r="P75" s="56"/>
      <c r="Q75" s="56"/>
      <c r="R75" s="56"/>
      <c r="S75" s="56"/>
      <c r="T75" s="56"/>
      <c r="U75" s="56"/>
      <c r="V75" s="56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FICHA</vt:lpstr>
      <vt:lpstr>INS</vt:lpstr>
      <vt:lpstr>OOS</vt:lpstr>
      <vt:lpstr>ALL_DATA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2025-11-09T12:13:00.624Z</dcterms:created>
  <dcterms:modified xsi:type="dcterms:W3CDTF">2025-11-09T12:13:00.624Z</dcterms:modified>
</cp:coreProperties>
</file>