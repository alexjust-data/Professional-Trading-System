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sersansistemas-my.sharepoint.com/personal/info_sersansistemas_com/Documents/MARKETING/CURSOS/CURSO DE TRADING ALGORÍTMICO/PRÁCTICAS/Sistemas Candidatos/Sistema Ruptura acciones/"/>
    </mc:Choice>
  </mc:AlternateContent>
  <xr:revisionPtr revIDLastSave="2039" documentId="8_{E1707016-D8ED-438A-B14B-7116B8361FFD}" xr6:coauthVersionLast="47" xr6:coauthVersionMax="47" xr10:uidLastSave="{9DFA03E3-3E84-4351-B774-88D18F9A820C}"/>
  <bookViews>
    <workbookView xWindow="-120" yWindow="-120" windowWidth="29040" windowHeight="15720" activeTab="3" xr2:uid="{68C63FFC-9B23-4CE8-9956-450DAFBE6DB0}"/>
  </bookViews>
  <sheets>
    <sheet name="FICHA" sheetId="1" r:id="rId1"/>
    <sheet name="INS" sheetId="7" r:id="rId2"/>
    <sheet name="OOS" sheetId="9" r:id="rId3"/>
    <sheet name="ALL_DAT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0" i="8" l="1"/>
  <c r="T57" i="8"/>
  <c r="T59" i="8"/>
  <c r="T43" i="8"/>
  <c r="T51" i="8"/>
  <c r="T53" i="8"/>
  <c r="T54" i="8"/>
  <c r="T52" i="8"/>
  <c r="T28" i="8"/>
  <c r="T32" i="8"/>
  <c r="T17" i="8"/>
  <c r="T8" i="8"/>
  <c r="T11" i="8"/>
  <c r="T18" i="8"/>
  <c r="T3" i="8"/>
  <c r="T61" i="8"/>
  <c r="T55" i="8"/>
  <c r="T37" i="8"/>
  <c r="T38" i="8"/>
  <c r="T49" i="8"/>
  <c r="T31" i="8"/>
  <c r="T20" i="8"/>
  <c r="T27" i="8"/>
  <c r="T23" i="8"/>
  <c r="T26" i="8"/>
  <c r="T24" i="8"/>
  <c r="T30" i="8"/>
  <c r="T29" i="8"/>
  <c r="T25" i="8"/>
  <c r="T13" i="8"/>
  <c r="T56" i="8"/>
  <c r="T40" i="8"/>
  <c r="T48" i="8"/>
  <c r="T47" i="8"/>
  <c r="T35" i="8"/>
  <c r="T41" i="8"/>
  <c r="T36" i="8"/>
  <c r="T39" i="8"/>
  <c r="T22" i="8"/>
  <c r="T19" i="8"/>
  <c r="T10" i="8"/>
  <c r="T6" i="8"/>
  <c r="T9" i="8"/>
  <c r="T16" i="8"/>
  <c r="T2" i="8"/>
  <c r="T58" i="8"/>
  <c r="T44" i="8"/>
  <c r="T50" i="8"/>
  <c r="T42" i="8"/>
  <c r="T34" i="8"/>
  <c r="T46" i="8"/>
  <c r="T45" i="8"/>
  <c r="T33" i="8"/>
  <c r="T14" i="8"/>
  <c r="T21" i="8"/>
  <c r="T15" i="8"/>
  <c r="T7" i="8"/>
  <c r="T5" i="8"/>
  <c r="T12" i="8"/>
  <c r="T4" i="8"/>
  <c r="S23" i="8"/>
  <c r="S50" i="8"/>
  <c r="R60" i="8"/>
  <c r="R57" i="8"/>
  <c r="R59" i="8"/>
  <c r="R43" i="8"/>
  <c r="R51" i="8"/>
  <c r="R53" i="8"/>
  <c r="R54" i="8"/>
  <c r="R52" i="8"/>
  <c r="R28" i="8"/>
  <c r="R32" i="8"/>
  <c r="R17" i="8"/>
  <c r="R8" i="8"/>
  <c r="R11" i="8"/>
  <c r="R18" i="8"/>
  <c r="R3" i="8"/>
  <c r="R61" i="8"/>
  <c r="R55" i="8"/>
  <c r="R37" i="8"/>
  <c r="R38" i="8"/>
  <c r="R49" i="8"/>
  <c r="R31" i="8"/>
  <c r="R20" i="8"/>
  <c r="R27" i="8"/>
  <c r="R23" i="8"/>
  <c r="R26" i="8"/>
  <c r="R24" i="8"/>
  <c r="R30" i="8"/>
  <c r="R29" i="8"/>
  <c r="R25" i="8"/>
  <c r="R13" i="8"/>
  <c r="R56" i="8"/>
  <c r="R40" i="8"/>
  <c r="R48" i="8"/>
  <c r="R47" i="8"/>
  <c r="R35" i="8"/>
  <c r="R41" i="8"/>
  <c r="R36" i="8"/>
  <c r="R39" i="8"/>
  <c r="R22" i="8"/>
  <c r="R19" i="8"/>
  <c r="R10" i="8"/>
  <c r="R6" i="8"/>
  <c r="R9" i="8"/>
  <c r="R16" i="8"/>
  <c r="R2" i="8"/>
  <c r="R58" i="8"/>
  <c r="R44" i="8"/>
  <c r="R50" i="8"/>
  <c r="R42" i="8"/>
  <c r="R34" i="8"/>
  <c r="R46" i="8"/>
  <c r="R45" i="8"/>
  <c r="R33" i="8"/>
  <c r="R14" i="8"/>
  <c r="R21" i="8"/>
  <c r="R15" i="8"/>
  <c r="R7" i="8"/>
  <c r="R5" i="8"/>
  <c r="R12" i="8"/>
  <c r="R4" i="8"/>
  <c r="Q60" i="8"/>
  <c r="Q57" i="8"/>
  <c r="Q59" i="8"/>
  <c r="Q43" i="8"/>
  <c r="Q51" i="8"/>
  <c r="Q53" i="8"/>
  <c r="Q54" i="8"/>
  <c r="Q52" i="8"/>
  <c r="Q28" i="8"/>
  <c r="Q32" i="8"/>
  <c r="Q17" i="8"/>
  <c r="Q8" i="8"/>
  <c r="Q11" i="8"/>
  <c r="Q18" i="8"/>
  <c r="Q3" i="8"/>
  <c r="Q61" i="8"/>
  <c r="Q55" i="8"/>
  <c r="Q37" i="8"/>
  <c r="Q38" i="8"/>
  <c r="Q49" i="8"/>
  <c r="Q31" i="8"/>
  <c r="Q20" i="8"/>
  <c r="Q27" i="8"/>
  <c r="Q23" i="8"/>
  <c r="Q26" i="8"/>
  <c r="Q24" i="8"/>
  <c r="Q30" i="8"/>
  <c r="Q29" i="8"/>
  <c r="Q25" i="8"/>
  <c r="Q13" i="8"/>
  <c r="Q56" i="8"/>
  <c r="Q40" i="8"/>
  <c r="Q48" i="8"/>
  <c r="Q47" i="8"/>
  <c r="Q35" i="8"/>
  <c r="Q41" i="8"/>
  <c r="Q36" i="8"/>
  <c r="Q39" i="8"/>
  <c r="Q22" i="8"/>
  <c r="Q19" i="8"/>
  <c r="Q10" i="8"/>
  <c r="Q6" i="8"/>
  <c r="Q9" i="8"/>
  <c r="Q16" i="8"/>
  <c r="Q2" i="8"/>
  <c r="Q58" i="8"/>
  <c r="Q44" i="8"/>
  <c r="Q50" i="8"/>
  <c r="Q42" i="8"/>
  <c r="Q34" i="8"/>
  <c r="Q46" i="8"/>
  <c r="Q45" i="8"/>
  <c r="Q33" i="8"/>
  <c r="Q14" i="8"/>
  <c r="Q21" i="8"/>
  <c r="Q15" i="8"/>
  <c r="Q7" i="8"/>
  <c r="Q5" i="8"/>
  <c r="Q12" i="8"/>
  <c r="Q4" i="8"/>
  <c r="P60" i="8"/>
  <c r="P57" i="8"/>
  <c r="P59" i="8"/>
  <c r="P43" i="8"/>
  <c r="P51" i="8"/>
  <c r="P53" i="8"/>
  <c r="P54" i="8"/>
  <c r="P52" i="8"/>
  <c r="P28" i="8"/>
  <c r="P32" i="8"/>
  <c r="P17" i="8"/>
  <c r="P8" i="8"/>
  <c r="P11" i="8"/>
  <c r="P18" i="8"/>
  <c r="P3" i="8"/>
  <c r="P61" i="8"/>
  <c r="P55" i="8"/>
  <c r="P37" i="8"/>
  <c r="P38" i="8"/>
  <c r="P49" i="8"/>
  <c r="P31" i="8"/>
  <c r="P20" i="8"/>
  <c r="P27" i="8"/>
  <c r="P23" i="8"/>
  <c r="P26" i="8"/>
  <c r="P24" i="8"/>
  <c r="P30" i="8"/>
  <c r="P29" i="8"/>
  <c r="P25" i="8"/>
  <c r="P13" i="8"/>
  <c r="P56" i="8"/>
  <c r="P40" i="8"/>
  <c r="P48" i="8"/>
  <c r="P47" i="8"/>
  <c r="P35" i="8"/>
  <c r="P41" i="8"/>
  <c r="P36" i="8"/>
  <c r="P39" i="8"/>
  <c r="P22" i="8"/>
  <c r="P19" i="8"/>
  <c r="P10" i="8"/>
  <c r="P6" i="8"/>
  <c r="P9" i="8"/>
  <c r="P16" i="8"/>
  <c r="P2" i="8"/>
  <c r="P58" i="8"/>
  <c r="P44" i="8"/>
  <c r="P50" i="8"/>
  <c r="P42" i="8"/>
  <c r="P34" i="8"/>
  <c r="P46" i="8"/>
  <c r="P45" i="8"/>
  <c r="P33" i="8"/>
  <c r="P14" i="8"/>
  <c r="P21" i="8"/>
  <c r="P15" i="8"/>
  <c r="P7" i="8"/>
  <c r="P5" i="8"/>
  <c r="U5" i="8" s="1"/>
  <c r="V5" i="8" s="1"/>
  <c r="P12" i="8"/>
  <c r="P4" i="8"/>
  <c r="T37" i="9"/>
  <c r="T38" i="9"/>
  <c r="T29" i="9"/>
  <c r="T11" i="9"/>
  <c r="T17" i="9"/>
  <c r="T22" i="9"/>
  <c r="T45" i="9"/>
  <c r="T36" i="9"/>
  <c r="T20" i="9"/>
  <c r="T32" i="9"/>
  <c r="T2" i="9"/>
  <c r="T23" i="9"/>
  <c r="T35" i="9"/>
  <c r="T39" i="9"/>
  <c r="T25" i="9"/>
  <c r="T61" i="9"/>
  <c r="T54" i="9"/>
  <c r="T51" i="9"/>
  <c r="T60" i="9"/>
  <c r="T57" i="9"/>
  <c r="T52" i="9"/>
  <c r="T47" i="9"/>
  <c r="T50" i="9"/>
  <c r="T49" i="9"/>
  <c r="T53" i="9"/>
  <c r="T55" i="9"/>
  <c r="T59" i="9"/>
  <c r="T58" i="9"/>
  <c r="T56" i="9"/>
  <c r="T48" i="9"/>
  <c r="T46" i="9"/>
  <c r="T3" i="9"/>
  <c r="T8" i="9"/>
  <c r="T9" i="9"/>
  <c r="T5" i="9"/>
  <c r="T6" i="9"/>
  <c r="T21" i="9"/>
  <c r="T33" i="9"/>
  <c r="T13" i="9"/>
  <c r="T14" i="9"/>
  <c r="T19" i="9"/>
  <c r="T34" i="9"/>
  <c r="T43" i="9"/>
  <c r="T44" i="9"/>
  <c r="T41" i="9"/>
  <c r="T42" i="9"/>
  <c r="T4" i="9"/>
  <c r="T27" i="9"/>
  <c r="T16" i="9"/>
  <c r="T15" i="9"/>
  <c r="T10" i="9"/>
  <c r="T30" i="9"/>
  <c r="T31" i="9"/>
  <c r="T7" i="9"/>
  <c r="T12" i="9"/>
  <c r="T18" i="9"/>
  <c r="T28" i="9"/>
  <c r="T26" i="9"/>
  <c r="T40" i="9"/>
  <c r="T24" i="9"/>
  <c r="R37" i="9"/>
  <c r="Q37" i="9"/>
  <c r="S46" i="9"/>
  <c r="S12" i="9"/>
  <c r="R38" i="9"/>
  <c r="R29" i="9"/>
  <c r="R11" i="9"/>
  <c r="R17" i="9"/>
  <c r="R22" i="9"/>
  <c r="R45" i="9"/>
  <c r="R36" i="9"/>
  <c r="R20" i="9"/>
  <c r="R32" i="9"/>
  <c r="R2" i="9"/>
  <c r="R23" i="9"/>
  <c r="R35" i="9"/>
  <c r="R39" i="9"/>
  <c r="R25" i="9"/>
  <c r="R61" i="9"/>
  <c r="R54" i="9"/>
  <c r="R51" i="9"/>
  <c r="R60" i="9"/>
  <c r="R57" i="9"/>
  <c r="R52" i="9"/>
  <c r="R47" i="9"/>
  <c r="R50" i="9"/>
  <c r="R49" i="9"/>
  <c r="R53" i="9"/>
  <c r="R55" i="9"/>
  <c r="R59" i="9"/>
  <c r="R58" i="9"/>
  <c r="R56" i="9"/>
  <c r="R48" i="9"/>
  <c r="R46" i="9"/>
  <c r="R3" i="9"/>
  <c r="R8" i="9"/>
  <c r="R9" i="9"/>
  <c r="R5" i="9"/>
  <c r="R6" i="9"/>
  <c r="R21" i="9"/>
  <c r="R33" i="9"/>
  <c r="R13" i="9"/>
  <c r="R14" i="9"/>
  <c r="R19" i="9"/>
  <c r="R34" i="9"/>
  <c r="R43" i="9"/>
  <c r="R44" i="9"/>
  <c r="R41" i="9"/>
  <c r="R42" i="9"/>
  <c r="R4" i="9"/>
  <c r="R27" i="9"/>
  <c r="R16" i="9"/>
  <c r="R15" i="9"/>
  <c r="R10" i="9"/>
  <c r="R30" i="9"/>
  <c r="R31" i="9"/>
  <c r="R7" i="9"/>
  <c r="R12" i="9"/>
  <c r="R18" i="9"/>
  <c r="R28" i="9"/>
  <c r="R26" i="9"/>
  <c r="R40" i="9"/>
  <c r="R24" i="9"/>
  <c r="Q38" i="9"/>
  <c r="Q29" i="9"/>
  <c r="Q11" i="9"/>
  <c r="Q17" i="9"/>
  <c r="Q22" i="9"/>
  <c r="Q45" i="9"/>
  <c r="Q36" i="9"/>
  <c r="Q20" i="9"/>
  <c r="Q32" i="9"/>
  <c r="Q2" i="9"/>
  <c r="Q23" i="9"/>
  <c r="Q35" i="9"/>
  <c r="Q39" i="9"/>
  <c r="Q25" i="9"/>
  <c r="Q61" i="9"/>
  <c r="Q54" i="9"/>
  <c r="Q51" i="9"/>
  <c r="Q60" i="9"/>
  <c r="Q57" i="9"/>
  <c r="Q52" i="9"/>
  <c r="Q47" i="9"/>
  <c r="Q50" i="9"/>
  <c r="Q49" i="9"/>
  <c r="Q53" i="9"/>
  <c r="Q55" i="9"/>
  <c r="Q59" i="9"/>
  <c r="Q58" i="9"/>
  <c r="Q56" i="9"/>
  <c r="Q48" i="9"/>
  <c r="Q46" i="9"/>
  <c r="Q3" i="9"/>
  <c r="Q8" i="9"/>
  <c r="Q9" i="9"/>
  <c r="Q5" i="9"/>
  <c r="Q6" i="9"/>
  <c r="Q21" i="9"/>
  <c r="Q33" i="9"/>
  <c r="Q13" i="9"/>
  <c r="Q14" i="9"/>
  <c r="Q19" i="9"/>
  <c r="Q34" i="9"/>
  <c r="Q43" i="9"/>
  <c r="Q44" i="9"/>
  <c r="Q41" i="9"/>
  <c r="Q42" i="9"/>
  <c r="Q4" i="9"/>
  <c r="Q27" i="9"/>
  <c r="Q16" i="9"/>
  <c r="Q15" i="9"/>
  <c r="Q10" i="9"/>
  <c r="Q30" i="9"/>
  <c r="Q31" i="9"/>
  <c r="Q7" i="9"/>
  <c r="Q12" i="9"/>
  <c r="Q18" i="9"/>
  <c r="Q28" i="9"/>
  <c r="Q26" i="9"/>
  <c r="Q40" i="9"/>
  <c r="Q24" i="9"/>
  <c r="P37" i="9"/>
  <c r="P38" i="9"/>
  <c r="P29" i="9"/>
  <c r="P11" i="9"/>
  <c r="P17" i="9"/>
  <c r="P22" i="9"/>
  <c r="P45" i="9"/>
  <c r="P36" i="9"/>
  <c r="P20" i="9"/>
  <c r="P32" i="9"/>
  <c r="P2" i="9"/>
  <c r="P23" i="9"/>
  <c r="P35" i="9"/>
  <c r="P39" i="9"/>
  <c r="P25" i="9"/>
  <c r="P61" i="9"/>
  <c r="P54" i="9"/>
  <c r="U54" i="9" s="1"/>
  <c r="V54" i="9" s="1"/>
  <c r="P51" i="9"/>
  <c r="P60" i="9"/>
  <c r="P57" i="9"/>
  <c r="P52" i="9"/>
  <c r="P47" i="9"/>
  <c r="P50" i="9"/>
  <c r="P49" i="9"/>
  <c r="P53" i="9"/>
  <c r="P55" i="9"/>
  <c r="P59" i="9"/>
  <c r="P58" i="9"/>
  <c r="P56" i="9"/>
  <c r="P48" i="9"/>
  <c r="P46" i="9"/>
  <c r="P3" i="9"/>
  <c r="P8" i="9"/>
  <c r="P9" i="9"/>
  <c r="P5" i="9"/>
  <c r="P6" i="9"/>
  <c r="P21" i="9"/>
  <c r="P33" i="9"/>
  <c r="P13" i="9"/>
  <c r="P14" i="9"/>
  <c r="P19" i="9"/>
  <c r="P34" i="9"/>
  <c r="P43" i="9"/>
  <c r="P44" i="9"/>
  <c r="P41" i="9"/>
  <c r="P42" i="9"/>
  <c r="P4" i="9"/>
  <c r="P27" i="9"/>
  <c r="P16" i="9"/>
  <c r="P15" i="9"/>
  <c r="P10" i="9"/>
  <c r="P30" i="9"/>
  <c r="P31" i="9"/>
  <c r="P7" i="9"/>
  <c r="P12" i="9"/>
  <c r="P18" i="9"/>
  <c r="P28" i="9"/>
  <c r="P26" i="9"/>
  <c r="P40" i="9"/>
  <c r="P24" i="9"/>
  <c r="S5" i="7"/>
  <c r="T61" i="7"/>
  <c r="T58" i="7"/>
  <c r="T57" i="7"/>
  <c r="T53" i="7"/>
  <c r="T55" i="7"/>
  <c r="T54" i="7"/>
  <c r="T48" i="7"/>
  <c r="T47" i="7"/>
  <c r="T35" i="7"/>
  <c r="T36" i="7"/>
  <c r="T28" i="7"/>
  <c r="T20" i="7"/>
  <c r="T21" i="7"/>
  <c r="T27" i="7"/>
  <c r="T12" i="7"/>
  <c r="T56" i="7"/>
  <c r="T50" i="7"/>
  <c r="T32" i="7"/>
  <c r="T24" i="7"/>
  <c r="T33" i="7"/>
  <c r="T23" i="7"/>
  <c r="T9" i="7"/>
  <c r="T18" i="7"/>
  <c r="T5" i="7"/>
  <c r="T6" i="7"/>
  <c r="T2" i="7"/>
  <c r="T7" i="7"/>
  <c r="T8" i="7"/>
  <c r="T10" i="7"/>
  <c r="T15" i="7"/>
  <c r="T59" i="7"/>
  <c r="T51" i="7"/>
  <c r="T44" i="7"/>
  <c r="T45" i="7"/>
  <c r="T46" i="7"/>
  <c r="T40" i="7"/>
  <c r="T37" i="7"/>
  <c r="T39" i="7"/>
  <c r="T29" i="7"/>
  <c r="T31" i="7"/>
  <c r="T19" i="7"/>
  <c r="T14" i="7"/>
  <c r="T4" i="7"/>
  <c r="T17" i="7"/>
  <c r="T3" i="7"/>
  <c r="T60" i="7"/>
  <c r="T49" i="7"/>
  <c r="T52" i="7"/>
  <c r="T42" i="7"/>
  <c r="T43" i="7"/>
  <c r="T41" i="7"/>
  <c r="T38" i="7"/>
  <c r="T34" i="7"/>
  <c r="T26" i="7"/>
  <c r="T30" i="7"/>
  <c r="T25" i="7"/>
  <c r="T13" i="7"/>
  <c r="T11" i="7"/>
  <c r="T22" i="7"/>
  <c r="T16" i="7"/>
  <c r="R57" i="7"/>
  <c r="R53" i="7"/>
  <c r="R55" i="7"/>
  <c r="R54" i="7"/>
  <c r="R48" i="7"/>
  <c r="R47" i="7"/>
  <c r="R35" i="7"/>
  <c r="R36" i="7"/>
  <c r="R28" i="7"/>
  <c r="R20" i="7"/>
  <c r="R21" i="7"/>
  <c r="R27" i="7"/>
  <c r="R12" i="7"/>
  <c r="R56" i="7"/>
  <c r="R50" i="7"/>
  <c r="R32" i="7"/>
  <c r="R24" i="7"/>
  <c r="R33" i="7"/>
  <c r="R23" i="7"/>
  <c r="R9" i="7"/>
  <c r="R18" i="7"/>
  <c r="R5" i="7"/>
  <c r="R6" i="7"/>
  <c r="R2" i="7"/>
  <c r="R7" i="7"/>
  <c r="R8" i="7"/>
  <c r="R10" i="7"/>
  <c r="R15" i="7"/>
  <c r="R59" i="7"/>
  <c r="R51" i="7"/>
  <c r="R44" i="7"/>
  <c r="R45" i="7"/>
  <c r="R46" i="7"/>
  <c r="R40" i="7"/>
  <c r="R37" i="7"/>
  <c r="R39" i="7"/>
  <c r="R29" i="7"/>
  <c r="R31" i="7"/>
  <c r="R19" i="7"/>
  <c r="R14" i="7"/>
  <c r="R4" i="7"/>
  <c r="R17" i="7"/>
  <c r="R3" i="7"/>
  <c r="R60" i="7"/>
  <c r="R49" i="7"/>
  <c r="R52" i="7"/>
  <c r="R42" i="7"/>
  <c r="R43" i="7"/>
  <c r="R41" i="7"/>
  <c r="R38" i="7"/>
  <c r="R34" i="7"/>
  <c r="R26" i="7"/>
  <c r="R30" i="7"/>
  <c r="R25" i="7"/>
  <c r="R13" i="7"/>
  <c r="R11" i="7"/>
  <c r="R22" i="7"/>
  <c r="R16" i="7"/>
  <c r="R61" i="7"/>
  <c r="R58" i="7"/>
  <c r="Q61" i="7"/>
  <c r="Q58" i="7"/>
  <c r="Q57" i="7"/>
  <c r="Q53" i="7"/>
  <c r="Q55" i="7"/>
  <c r="Q54" i="7"/>
  <c r="Q48" i="7"/>
  <c r="Q47" i="7"/>
  <c r="Q35" i="7"/>
  <c r="Q36" i="7"/>
  <c r="Q28" i="7"/>
  <c r="Q20" i="7"/>
  <c r="Q21" i="7"/>
  <c r="Q27" i="7"/>
  <c r="Q12" i="7"/>
  <c r="Q56" i="7"/>
  <c r="Q50" i="7"/>
  <c r="Q32" i="7"/>
  <c r="Q24" i="7"/>
  <c r="Q33" i="7"/>
  <c r="Q23" i="7"/>
  <c r="Q9" i="7"/>
  <c r="Q18" i="7"/>
  <c r="Q5" i="7"/>
  <c r="Q6" i="7"/>
  <c r="Q2" i="7"/>
  <c r="Q7" i="7"/>
  <c r="Q8" i="7"/>
  <c r="Q10" i="7"/>
  <c r="Q15" i="7"/>
  <c r="Q59" i="7"/>
  <c r="Q51" i="7"/>
  <c r="Q44" i="7"/>
  <c r="Q45" i="7"/>
  <c r="Q46" i="7"/>
  <c r="Q40" i="7"/>
  <c r="Q37" i="7"/>
  <c r="Q39" i="7"/>
  <c r="Q29" i="7"/>
  <c r="Q31" i="7"/>
  <c r="Q19" i="7"/>
  <c r="Q14" i="7"/>
  <c r="Q4" i="7"/>
  <c r="Q17" i="7"/>
  <c r="Q3" i="7"/>
  <c r="Q60" i="7"/>
  <c r="Q49" i="7"/>
  <c r="Q52" i="7"/>
  <c r="Q42" i="7"/>
  <c r="Q43" i="7"/>
  <c r="Q41" i="7"/>
  <c r="Q38" i="7"/>
  <c r="Q34" i="7"/>
  <c r="Q26" i="7"/>
  <c r="Q30" i="7"/>
  <c r="Q25" i="7"/>
  <c r="Q13" i="7"/>
  <c r="Q11" i="7"/>
  <c r="Q22" i="7"/>
  <c r="Q16" i="7"/>
  <c r="P61" i="7"/>
  <c r="P58" i="7"/>
  <c r="P57" i="7"/>
  <c r="P53" i="7"/>
  <c r="P55" i="7"/>
  <c r="P54" i="7"/>
  <c r="U54" i="7" s="1"/>
  <c r="V54" i="7" s="1"/>
  <c r="P48" i="7"/>
  <c r="P47" i="7"/>
  <c r="P35" i="7"/>
  <c r="P36" i="7"/>
  <c r="P28" i="7"/>
  <c r="P20" i="7"/>
  <c r="P21" i="7"/>
  <c r="P27" i="7"/>
  <c r="P12" i="7"/>
  <c r="P56" i="7"/>
  <c r="P50" i="7"/>
  <c r="P32" i="7"/>
  <c r="U32" i="7" s="1"/>
  <c r="V32" i="7" s="1"/>
  <c r="P24" i="7"/>
  <c r="U24" i="7" s="1"/>
  <c r="V24" i="7" s="1"/>
  <c r="P33" i="7"/>
  <c r="P23" i="7"/>
  <c r="P9" i="7"/>
  <c r="P18" i="7"/>
  <c r="P5" i="7"/>
  <c r="P6" i="7"/>
  <c r="P2" i="7"/>
  <c r="P7" i="7"/>
  <c r="P8" i="7"/>
  <c r="P10" i="7"/>
  <c r="P15" i="7"/>
  <c r="U15" i="7" s="1"/>
  <c r="V15" i="7" s="1"/>
  <c r="P59" i="7"/>
  <c r="U59" i="7" s="1"/>
  <c r="V59" i="7" s="1"/>
  <c r="P51" i="7"/>
  <c r="P44" i="7"/>
  <c r="U44" i="7" s="1"/>
  <c r="V44" i="7" s="1"/>
  <c r="P45" i="7"/>
  <c r="P46" i="7"/>
  <c r="P40" i="7"/>
  <c r="P37" i="7"/>
  <c r="P39" i="7"/>
  <c r="P29" i="7"/>
  <c r="P31" i="7"/>
  <c r="P19" i="7"/>
  <c r="P14" i="7"/>
  <c r="P4" i="7"/>
  <c r="U4" i="7" s="1"/>
  <c r="V4" i="7" s="1"/>
  <c r="P17" i="7"/>
  <c r="P3" i="7"/>
  <c r="P60" i="7"/>
  <c r="P49" i="7"/>
  <c r="P52" i="7"/>
  <c r="U52" i="7" s="1"/>
  <c r="V52" i="7" s="1"/>
  <c r="P42" i="7"/>
  <c r="P43" i="7"/>
  <c r="P41" i="7"/>
  <c r="P38" i="7"/>
  <c r="P34" i="7"/>
  <c r="P26" i="7"/>
  <c r="U26" i="7" s="1"/>
  <c r="V26" i="7" s="1"/>
  <c r="P30" i="7"/>
  <c r="U30" i="7" s="1"/>
  <c r="V30" i="7" s="1"/>
  <c r="P25" i="7"/>
  <c r="P13" i="7"/>
  <c r="P11" i="7"/>
  <c r="P22" i="7"/>
  <c r="P16" i="7"/>
  <c r="L7" i="9"/>
  <c r="S7" i="9" s="1"/>
  <c r="L24" i="9"/>
  <c r="S24" i="9" s="1"/>
  <c r="L26" i="9"/>
  <c r="S26" i="9" s="1"/>
  <c r="L6" i="9"/>
  <c r="S6" i="9" s="1"/>
  <c r="L25" i="9"/>
  <c r="S25" i="9" s="1"/>
  <c r="L12" i="9"/>
  <c r="L23" i="9"/>
  <c r="S23" i="9" s="1"/>
  <c r="L18" i="9"/>
  <c r="S18" i="9" s="1"/>
  <c r="L2" i="9"/>
  <c r="S2" i="9" s="1"/>
  <c r="L10" i="9"/>
  <c r="S10" i="9" s="1"/>
  <c r="L28" i="9"/>
  <c r="S28" i="9" s="1"/>
  <c r="L5" i="9"/>
  <c r="S5" i="9" s="1"/>
  <c r="L19" i="9"/>
  <c r="S19" i="9" s="1"/>
  <c r="L14" i="9"/>
  <c r="S14" i="9" s="1"/>
  <c r="L40" i="9"/>
  <c r="S40" i="9" s="1"/>
  <c r="L13" i="9"/>
  <c r="S13" i="9" s="1"/>
  <c r="L34" i="9"/>
  <c r="S34" i="9" s="1"/>
  <c r="L35" i="9"/>
  <c r="S35" i="9" s="1"/>
  <c r="L15" i="9"/>
  <c r="S15" i="9" s="1"/>
  <c r="L20" i="9"/>
  <c r="S20" i="9" s="1"/>
  <c r="L32" i="9"/>
  <c r="S32" i="9" s="1"/>
  <c r="L41" i="9"/>
  <c r="S41" i="9" s="1"/>
  <c r="L43" i="9"/>
  <c r="S43" i="9" s="1"/>
  <c r="L21" i="9"/>
  <c r="S21" i="9" s="1"/>
  <c r="L22" i="9"/>
  <c r="S22" i="9" s="1"/>
  <c r="L17" i="9"/>
  <c r="S17" i="9" s="1"/>
  <c r="L30" i="9"/>
  <c r="S30" i="9" s="1"/>
  <c r="L39" i="9"/>
  <c r="S39" i="9" s="1"/>
  <c r="L44" i="9"/>
  <c r="S44" i="9" s="1"/>
  <c r="L9" i="9"/>
  <c r="S9" i="9" s="1"/>
  <c r="L31" i="9"/>
  <c r="S31" i="9" s="1"/>
  <c r="L16" i="9"/>
  <c r="S16" i="9" s="1"/>
  <c r="L8" i="9"/>
  <c r="S8" i="9" s="1"/>
  <c r="L4" i="9"/>
  <c r="S4" i="9" s="1"/>
  <c r="L33" i="9"/>
  <c r="S33" i="9" s="1"/>
  <c r="L36" i="9"/>
  <c r="S36" i="9" s="1"/>
  <c r="L27" i="9"/>
  <c r="S27" i="9" s="1"/>
  <c r="L48" i="9"/>
  <c r="S48" i="9" s="1"/>
  <c r="L3" i="9"/>
  <c r="S3" i="9" s="1"/>
  <c r="L11" i="9"/>
  <c r="S11" i="9" s="1"/>
  <c r="L45" i="9"/>
  <c r="S45" i="9" s="1"/>
  <c r="L56" i="9"/>
  <c r="S56" i="9" s="1"/>
  <c r="L38" i="9"/>
  <c r="S38" i="9" s="1"/>
  <c r="L58" i="9"/>
  <c r="S58" i="9" s="1"/>
  <c r="L29" i="9"/>
  <c r="S29" i="9" s="1"/>
  <c r="L49" i="9"/>
  <c r="S49" i="9" s="1"/>
  <c r="L55" i="9"/>
  <c r="S55" i="9" s="1"/>
  <c r="L50" i="9"/>
  <c r="S50" i="9" s="1"/>
  <c r="L47" i="9"/>
  <c r="S47" i="9" s="1"/>
  <c r="L53" i="9"/>
  <c r="S53" i="9" s="1"/>
  <c r="L59" i="9"/>
  <c r="S59" i="9" s="1"/>
  <c r="L42" i="9"/>
  <c r="S42" i="9" s="1"/>
  <c r="L52" i="9"/>
  <c r="S52" i="9" s="1"/>
  <c r="L37" i="9"/>
  <c r="S37" i="9" s="1"/>
  <c r="L46" i="9"/>
  <c r="L57" i="9"/>
  <c r="S57" i="9" s="1"/>
  <c r="L60" i="9"/>
  <c r="S60" i="9" s="1"/>
  <c r="L51" i="9"/>
  <c r="S51" i="9" s="1"/>
  <c r="L54" i="9"/>
  <c r="S54" i="9" s="1"/>
  <c r="L61" i="9"/>
  <c r="S61" i="9" s="1"/>
  <c r="L2" i="8"/>
  <c r="S2" i="8" s="1"/>
  <c r="L3" i="8"/>
  <c r="S3" i="8" s="1"/>
  <c r="L4" i="8"/>
  <c r="S4" i="8" s="1"/>
  <c r="L5" i="8"/>
  <c r="S5" i="8" s="1"/>
  <c r="L9" i="8"/>
  <c r="S9" i="8" s="1"/>
  <c r="L8" i="8"/>
  <c r="S8" i="8" s="1"/>
  <c r="L7" i="8"/>
  <c r="S7" i="8" s="1"/>
  <c r="L11" i="8"/>
  <c r="S11" i="8" s="1"/>
  <c r="L6" i="8"/>
  <c r="S6" i="8" s="1"/>
  <c r="L18" i="8"/>
  <c r="S18" i="8" s="1"/>
  <c r="L12" i="8"/>
  <c r="S12" i="8" s="1"/>
  <c r="L16" i="8"/>
  <c r="S16" i="8" s="1"/>
  <c r="L10" i="8"/>
  <c r="S10" i="8" s="1"/>
  <c r="L17" i="8"/>
  <c r="S17" i="8" s="1"/>
  <c r="L15" i="8"/>
  <c r="S15" i="8" s="1"/>
  <c r="L19" i="8"/>
  <c r="S19" i="8" s="1"/>
  <c r="L21" i="8"/>
  <c r="S21" i="8" s="1"/>
  <c r="L14" i="8"/>
  <c r="S14" i="8" s="1"/>
  <c r="L32" i="8"/>
  <c r="S32" i="8" s="1"/>
  <c r="L13" i="8"/>
  <c r="S13" i="8" s="1"/>
  <c r="L22" i="8"/>
  <c r="S22" i="8" s="1"/>
  <c r="L28" i="8"/>
  <c r="S28" i="8" s="1"/>
  <c r="L25" i="8"/>
  <c r="S25" i="8" s="1"/>
  <c r="L33" i="8"/>
  <c r="S33" i="8" s="1"/>
  <c r="L29" i="8"/>
  <c r="S29" i="8" s="1"/>
  <c r="L39" i="8"/>
  <c r="S39" i="8" s="1"/>
  <c r="L45" i="8"/>
  <c r="S45" i="8" s="1"/>
  <c r="L30" i="8"/>
  <c r="S30" i="8" s="1"/>
  <c r="L36" i="8"/>
  <c r="S36" i="8" s="1"/>
  <c r="L24" i="8"/>
  <c r="S24" i="8" s="1"/>
  <c r="L52" i="8"/>
  <c r="S52" i="8" s="1"/>
  <c r="L54" i="8"/>
  <c r="S54" i="8" s="1"/>
  <c r="L26" i="8"/>
  <c r="S26" i="8" s="1"/>
  <c r="L46" i="8"/>
  <c r="S46" i="8" s="1"/>
  <c r="L41" i="8"/>
  <c r="S41" i="8" s="1"/>
  <c r="L34" i="8"/>
  <c r="S34" i="8" s="1"/>
  <c r="L23" i="8"/>
  <c r="L42" i="8"/>
  <c r="S42" i="8" s="1"/>
  <c r="L53" i="8"/>
  <c r="S53" i="8" s="1"/>
  <c r="L51" i="8"/>
  <c r="S51" i="8" s="1"/>
  <c r="L35" i="8"/>
  <c r="S35" i="8" s="1"/>
  <c r="L27" i="8"/>
  <c r="S27" i="8" s="1"/>
  <c r="L43" i="8"/>
  <c r="S43" i="8" s="1"/>
  <c r="L20" i="8"/>
  <c r="S20" i="8" s="1"/>
  <c r="L47" i="8"/>
  <c r="S47" i="8" s="1"/>
  <c r="L50" i="8"/>
  <c r="L31" i="8"/>
  <c r="S31" i="8" s="1"/>
  <c r="L48" i="8"/>
  <c r="S48" i="8" s="1"/>
  <c r="L59" i="8"/>
  <c r="S59" i="8" s="1"/>
  <c r="L49" i="8"/>
  <c r="S49" i="8" s="1"/>
  <c r="L44" i="8"/>
  <c r="S44" i="8" s="1"/>
  <c r="L40" i="8"/>
  <c r="S40" i="8" s="1"/>
  <c r="L38" i="8"/>
  <c r="S38" i="8" s="1"/>
  <c r="L57" i="8"/>
  <c r="S57" i="8" s="1"/>
  <c r="L37" i="8"/>
  <c r="S37" i="8" s="1"/>
  <c r="L58" i="8"/>
  <c r="S58" i="8" s="1"/>
  <c r="L60" i="8"/>
  <c r="S60" i="8" s="1"/>
  <c r="L56" i="8"/>
  <c r="S56" i="8" s="1"/>
  <c r="L55" i="8"/>
  <c r="S55" i="8" s="1"/>
  <c r="L61" i="8"/>
  <c r="S61" i="8" s="1"/>
  <c r="L3" i="7"/>
  <c r="S3" i="7" s="1"/>
  <c r="L12" i="7"/>
  <c r="S12" i="7" s="1"/>
  <c r="L4" i="7"/>
  <c r="S4" i="7" s="1"/>
  <c r="L11" i="7"/>
  <c r="S11" i="7" s="1"/>
  <c r="L13" i="7"/>
  <c r="S13" i="7" s="1"/>
  <c r="L16" i="7"/>
  <c r="S16" i="7" s="1"/>
  <c r="L21" i="7"/>
  <c r="S21" i="7" s="1"/>
  <c r="L20" i="7"/>
  <c r="S20" i="7" s="1"/>
  <c r="L14" i="7"/>
  <c r="S14" i="7" s="1"/>
  <c r="L17" i="7"/>
  <c r="S17" i="7" s="1"/>
  <c r="L22" i="7"/>
  <c r="S22" i="7" s="1"/>
  <c r="L27" i="7"/>
  <c r="S27" i="7" s="1"/>
  <c r="L19" i="7"/>
  <c r="S19" i="7" s="1"/>
  <c r="L28" i="7"/>
  <c r="S28" i="7" s="1"/>
  <c r="L25" i="7"/>
  <c r="S25" i="7" s="1"/>
  <c r="L30" i="7"/>
  <c r="S30" i="7" s="1"/>
  <c r="L26" i="7"/>
  <c r="S26" i="7" s="1"/>
  <c r="L36" i="7"/>
  <c r="S36" i="7" s="1"/>
  <c r="L31" i="7"/>
  <c r="S31" i="7" s="1"/>
  <c r="L10" i="7"/>
  <c r="S10" i="7" s="1"/>
  <c r="L29" i="7"/>
  <c r="S29" i="7" s="1"/>
  <c r="L15" i="7"/>
  <c r="S15" i="7" s="1"/>
  <c r="L34" i="7"/>
  <c r="S34" i="7" s="1"/>
  <c r="L8" i="7"/>
  <c r="S8" i="7" s="1"/>
  <c r="L35" i="7"/>
  <c r="S35" i="7" s="1"/>
  <c r="L7" i="7"/>
  <c r="S7" i="7" s="1"/>
  <c r="L2" i="7"/>
  <c r="S2" i="7" s="1"/>
  <c r="L38" i="7"/>
  <c r="S38" i="7" s="1"/>
  <c r="L39" i="7"/>
  <c r="S39" i="7" s="1"/>
  <c r="L6" i="7"/>
  <c r="S6" i="7" s="1"/>
  <c r="L37" i="7"/>
  <c r="S37" i="7" s="1"/>
  <c r="L47" i="7"/>
  <c r="S47" i="7" s="1"/>
  <c r="L48" i="7"/>
  <c r="S48" i="7" s="1"/>
  <c r="L5" i="7"/>
  <c r="L41" i="7"/>
  <c r="S41" i="7" s="1"/>
  <c r="L18" i="7"/>
  <c r="S18" i="7" s="1"/>
  <c r="L40" i="7"/>
  <c r="S40" i="7" s="1"/>
  <c r="L43" i="7"/>
  <c r="S43" i="7" s="1"/>
  <c r="L42" i="7"/>
  <c r="S42" i="7" s="1"/>
  <c r="L9" i="7"/>
  <c r="S9" i="7" s="1"/>
  <c r="L54" i="7"/>
  <c r="S54" i="7" s="1"/>
  <c r="L53" i="7"/>
  <c r="S53" i="7" s="1"/>
  <c r="L55" i="7"/>
  <c r="S55" i="7" s="1"/>
  <c r="L45" i="7"/>
  <c r="S45" i="7" s="1"/>
  <c r="L46" i="7"/>
  <c r="S46" i="7" s="1"/>
  <c r="L23" i="7"/>
  <c r="S23" i="7" s="1"/>
  <c r="L52" i="7"/>
  <c r="S52" i="7" s="1"/>
  <c r="L57" i="7"/>
  <c r="S57" i="7" s="1"/>
  <c r="L33" i="7"/>
  <c r="S33" i="7" s="1"/>
  <c r="L44" i="7"/>
  <c r="S44" i="7" s="1"/>
  <c r="L24" i="7"/>
  <c r="S24" i="7" s="1"/>
  <c r="L32" i="7"/>
  <c r="S32" i="7" s="1"/>
  <c r="L49" i="7"/>
  <c r="S49" i="7" s="1"/>
  <c r="L58" i="7"/>
  <c r="S58" i="7" s="1"/>
  <c r="L51" i="7"/>
  <c r="S51" i="7" s="1"/>
  <c r="L60" i="7"/>
  <c r="S60" i="7" s="1"/>
  <c r="L61" i="7"/>
  <c r="S61" i="7" s="1"/>
  <c r="L59" i="7"/>
  <c r="S59" i="7" s="1"/>
  <c r="L50" i="7"/>
  <c r="S50" i="7" s="1"/>
  <c r="L56" i="7"/>
  <c r="S56" i="7" s="1"/>
  <c r="U51" i="8" l="1"/>
  <c r="V51" i="8" s="1"/>
  <c r="U19" i="8"/>
  <c r="V19" i="8" s="1"/>
  <c r="U43" i="8"/>
  <c r="V43" i="8" s="1"/>
  <c r="U46" i="8"/>
  <c r="V46" i="8" s="1"/>
  <c r="U30" i="8"/>
  <c r="V30" i="8" s="1"/>
  <c r="U3" i="8"/>
  <c r="V3" i="8" s="1"/>
  <c r="U24" i="8"/>
  <c r="V24" i="8" s="1"/>
  <c r="U57" i="8"/>
  <c r="V57" i="8" s="1"/>
  <c r="U36" i="8"/>
  <c r="V36" i="8" s="1"/>
  <c r="U4" i="8"/>
  <c r="V4" i="8" s="1"/>
  <c r="U50" i="8"/>
  <c r="V50" i="8" s="1"/>
  <c r="U41" i="8"/>
  <c r="V41" i="8" s="1"/>
  <c r="U23" i="8"/>
  <c r="V23" i="8" s="1"/>
  <c r="U8" i="8"/>
  <c r="V8" i="8" s="1"/>
  <c r="U35" i="8"/>
  <c r="V35" i="8" s="1"/>
  <c r="U27" i="8"/>
  <c r="V27" i="8" s="1"/>
  <c r="U14" i="8"/>
  <c r="V14" i="8" s="1"/>
  <c r="U6" i="8"/>
  <c r="V6" i="8" s="1"/>
  <c r="U13" i="8"/>
  <c r="V13" i="8" s="1"/>
  <c r="U37" i="8"/>
  <c r="V37" i="8" s="1"/>
  <c r="U33" i="8"/>
  <c r="V33" i="8" s="1"/>
  <c r="U10" i="8"/>
  <c r="V10" i="8" s="1"/>
  <c r="U25" i="8"/>
  <c r="V25" i="8" s="1"/>
  <c r="U55" i="8"/>
  <c r="V55" i="8" s="1"/>
  <c r="U45" i="8"/>
  <c r="V45" i="8" s="1"/>
  <c r="U29" i="8"/>
  <c r="V29" i="8" s="1"/>
  <c r="U61" i="8"/>
  <c r="V61" i="8" s="1"/>
  <c r="U22" i="8"/>
  <c r="V22" i="8" s="1"/>
  <c r="U34" i="8"/>
  <c r="V34" i="8" s="1"/>
  <c r="U39" i="8"/>
  <c r="V39" i="8" s="1"/>
  <c r="U18" i="8"/>
  <c r="V18" i="8" s="1"/>
  <c r="U59" i="8"/>
  <c r="V59" i="8" s="1"/>
  <c r="U42" i="8"/>
  <c r="V42" i="8" s="1"/>
  <c r="U26" i="8"/>
  <c r="V26" i="8" s="1"/>
  <c r="U11" i="8"/>
  <c r="V11" i="8" s="1"/>
  <c r="U60" i="8"/>
  <c r="V60" i="8" s="1"/>
  <c r="U53" i="8"/>
  <c r="V53" i="8" s="1"/>
  <c r="U12" i="8"/>
  <c r="V12" i="8" s="1"/>
  <c r="U44" i="8"/>
  <c r="V44" i="8" s="1"/>
  <c r="U17" i="8"/>
  <c r="V17" i="8" s="1"/>
  <c r="U58" i="8"/>
  <c r="V58" i="8" s="1"/>
  <c r="U20" i="8"/>
  <c r="V20" i="8" s="1"/>
  <c r="U7" i="8"/>
  <c r="V7" i="8" s="1"/>
  <c r="U2" i="8"/>
  <c r="V2" i="8" s="1"/>
  <c r="U48" i="8"/>
  <c r="V48" i="8" s="1"/>
  <c r="U31" i="8"/>
  <c r="V31" i="8" s="1"/>
  <c r="U28" i="8"/>
  <c r="V28" i="8" s="1"/>
  <c r="U47" i="8"/>
  <c r="V47" i="8" s="1"/>
  <c r="U15" i="8"/>
  <c r="V15" i="8" s="1"/>
  <c r="U16" i="8"/>
  <c r="V16" i="8" s="1"/>
  <c r="U40" i="8"/>
  <c r="V40" i="8" s="1"/>
  <c r="U49" i="8"/>
  <c r="V49" i="8" s="1"/>
  <c r="U52" i="8"/>
  <c r="V52" i="8" s="1"/>
  <c r="U32" i="8"/>
  <c r="V32" i="8" s="1"/>
  <c r="U21" i="8"/>
  <c r="V21" i="8" s="1"/>
  <c r="U9" i="8"/>
  <c r="V9" i="8" s="1"/>
  <c r="U56" i="8"/>
  <c r="V56" i="8" s="1"/>
  <c r="U38" i="8"/>
  <c r="V38" i="8" s="1"/>
  <c r="U54" i="8"/>
  <c r="V54" i="8" s="1"/>
  <c r="U58" i="9"/>
  <c r="V58" i="9" s="1"/>
  <c r="U11" i="9"/>
  <c r="V11" i="9" s="1"/>
  <c r="U13" i="9"/>
  <c r="V13" i="9" s="1"/>
  <c r="U25" i="9"/>
  <c r="V25" i="9" s="1"/>
  <c r="U14" i="9"/>
  <c r="V14" i="9" s="1"/>
  <c r="U61" i="9"/>
  <c r="V61" i="9" s="1"/>
  <c r="U15" i="9"/>
  <c r="V15" i="9" s="1"/>
  <c r="U33" i="9"/>
  <c r="V33" i="9" s="1"/>
  <c r="U55" i="9"/>
  <c r="V55" i="9" s="1"/>
  <c r="U39" i="9"/>
  <c r="V39" i="9" s="1"/>
  <c r="U38" i="9"/>
  <c r="V38" i="9" s="1"/>
  <c r="U35" i="9"/>
  <c r="V35" i="9" s="1"/>
  <c r="U6" i="9"/>
  <c r="V6" i="9" s="1"/>
  <c r="U49" i="9"/>
  <c r="V49" i="9" s="1"/>
  <c r="U2" i="9"/>
  <c r="V2" i="9" s="1"/>
  <c r="U40" i="9"/>
  <c r="V40" i="9" s="1"/>
  <c r="U42" i="9"/>
  <c r="V42" i="9" s="1"/>
  <c r="U9" i="9"/>
  <c r="V9" i="9" s="1"/>
  <c r="U47" i="9"/>
  <c r="V47" i="9" s="1"/>
  <c r="U50" i="9"/>
  <c r="V50" i="9" s="1"/>
  <c r="U28" i="9"/>
  <c r="V28" i="9" s="1"/>
  <c r="U52" i="9"/>
  <c r="V52" i="9" s="1"/>
  <c r="U18" i="9"/>
  <c r="V18" i="9" s="1"/>
  <c r="U44" i="9"/>
  <c r="V44" i="9" s="1"/>
  <c r="U57" i="9"/>
  <c r="V57" i="9" s="1"/>
  <c r="U36" i="9"/>
  <c r="V36" i="9" s="1"/>
  <c r="U12" i="9"/>
  <c r="V12" i="9" s="1"/>
  <c r="U43" i="9"/>
  <c r="V43" i="9" s="1"/>
  <c r="U46" i="9"/>
  <c r="V46" i="9" s="1"/>
  <c r="U45" i="9"/>
  <c r="V45" i="9" s="1"/>
  <c r="U21" i="9"/>
  <c r="V21" i="9" s="1"/>
  <c r="U5" i="9"/>
  <c r="V5" i="9" s="1"/>
  <c r="U34" i="9"/>
  <c r="V34" i="9" s="1"/>
  <c r="U51" i="9"/>
  <c r="V51" i="9" s="1"/>
  <c r="U41" i="9"/>
  <c r="V41" i="9" s="1"/>
  <c r="U31" i="9"/>
  <c r="V31" i="9" s="1"/>
  <c r="U19" i="9"/>
  <c r="V19" i="9" s="1"/>
  <c r="U56" i="9"/>
  <c r="V56" i="9" s="1"/>
  <c r="U17" i="9"/>
  <c r="V17" i="9" s="1"/>
  <c r="U4" i="9"/>
  <c r="V4" i="9" s="1"/>
  <c r="U10" i="9"/>
  <c r="V10" i="9" s="1"/>
  <c r="U16" i="9"/>
  <c r="V16" i="9" s="1"/>
  <c r="U53" i="9"/>
  <c r="V53" i="9" s="1"/>
  <c r="U37" i="9"/>
  <c r="V37" i="9" s="1"/>
  <c r="U30" i="9"/>
  <c r="V30" i="9" s="1"/>
  <c r="U59" i="9"/>
  <c r="V59" i="9" s="1"/>
  <c r="U29" i="9"/>
  <c r="V29" i="9" s="1"/>
  <c r="U24" i="9"/>
  <c r="V24" i="9" s="1"/>
  <c r="U27" i="9"/>
  <c r="V27" i="9" s="1"/>
  <c r="U23" i="9"/>
  <c r="V23" i="9" s="1"/>
  <c r="U26" i="9"/>
  <c r="V26" i="9" s="1"/>
  <c r="U32" i="9"/>
  <c r="V32" i="9" s="1"/>
  <c r="U8" i="9"/>
  <c r="V8" i="9" s="1"/>
  <c r="U20" i="9"/>
  <c r="V20" i="9" s="1"/>
  <c r="U3" i="9"/>
  <c r="V3" i="9" s="1"/>
  <c r="U60" i="9"/>
  <c r="V60" i="9" s="1"/>
  <c r="U7" i="9"/>
  <c r="V7" i="9" s="1"/>
  <c r="U48" i="9"/>
  <c r="V48" i="9" s="1"/>
  <c r="U22" i="9"/>
  <c r="V22" i="9" s="1"/>
  <c r="U19" i="7"/>
  <c r="V19" i="7" s="1"/>
  <c r="U7" i="7"/>
  <c r="V7" i="7" s="1"/>
  <c r="U12" i="7"/>
  <c r="V12" i="7" s="1"/>
  <c r="U48" i="7"/>
  <c r="V48" i="7" s="1"/>
  <c r="U14" i="7"/>
  <c r="V14" i="7" s="1"/>
  <c r="U42" i="7"/>
  <c r="V42" i="7" s="1"/>
  <c r="U37" i="7"/>
  <c r="V37" i="7" s="1"/>
  <c r="U6" i="7"/>
  <c r="V6" i="7" s="1"/>
  <c r="U21" i="7"/>
  <c r="V21" i="7" s="1"/>
  <c r="U61" i="7"/>
  <c r="V61" i="7" s="1"/>
  <c r="U40" i="7"/>
  <c r="V40" i="7" s="1"/>
  <c r="U5" i="7"/>
  <c r="V5" i="7" s="1"/>
  <c r="U20" i="7"/>
  <c r="V20" i="7" s="1"/>
  <c r="U16" i="7"/>
  <c r="V16" i="7" s="1"/>
  <c r="U46" i="7"/>
  <c r="V46" i="7" s="1"/>
  <c r="U28" i="7"/>
  <c r="V28" i="7" s="1"/>
  <c r="U60" i="7"/>
  <c r="V60" i="7" s="1"/>
  <c r="U45" i="7"/>
  <c r="V45" i="7" s="1"/>
  <c r="U10" i="7"/>
  <c r="V10" i="7" s="1"/>
  <c r="U34" i="7"/>
  <c r="V34" i="7" s="1"/>
  <c r="U41" i="7"/>
  <c r="V41" i="7" s="1"/>
  <c r="U29" i="7"/>
  <c r="V29" i="7" s="1"/>
  <c r="U57" i="7"/>
  <c r="V57" i="7" s="1"/>
  <c r="U43" i="7"/>
  <c r="V43" i="7" s="1"/>
  <c r="U39" i="7"/>
  <c r="V39" i="7" s="1"/>
  <c r="U2" i="7"/>
  <c r="V2" i="7" s="1"/>
  <c r="U27" i="7"/>
  <c r="V27" i="7" s="1"/>
  <c r="U58" i="7"/>
  <c r="V58" i="7" s="1"/>
  <c r="U50" i="7"/>
  <c r="V50" i="7" s="1"/>
  <c r="U22" i="7"/>
  <c r="V22" i="7" s="1"/>
  <c r="U49" i="7"/>
  <c r="V49" i="7" s="1"/>
  <c r="U11" i="7"/>
  <c r="V11" i="7" s="1"/>
  <c r="U9" i="7"/>
  <c r="V9" i="7" s="1"/>
  <c r="U36" i="7"/>
  <c r="V36" i="7" s="1"/>
  <c r="U18" i="7"/>
  <c r="V18" i="7" s="1"/>
  <c r="U13" i="7"/>
  <c r="V13" i="7" s="1"/>
  <c r="U3" i="7"/>
  <c r="V3" i="7" s="1"/>
  <c r="U23" i="7"/>
  <c r="V23" i="7" s="1"/>
  <c r="U35" i="7"/>
  <c r="V35" i="7" s="1"/>
  <c r="U25" i="7"/>
  <c r="V25" i="7" s="1"/>
  <c r="U17" i="7"/>
  <c r="V17" i="7" s="1"/>
  <c r="U51" i="7"/>
  <c r="V51" i="7" s="1"/>
  <c r="U33" i="7"/>
  <c r="V33" i="7" s="1"/>
  <c r="U47" i="7"/>
  <c r="V47" i="7" s="1"/>
  <c r="U55" i="7"/>
  <c r="V55" i="7" s="1"/>
  <c r="U38" i="7"/>
  <c r="V38" i="7" s="1"/>
  <c r="U31" i="7"/>
  <c r="V31" i="7" s="1"/>
  <c r="U8" i="7"/>
  <c r="V8" i="7" s="1"/>
  <c r="U56" i="7"/>
  <c r="V56" i="7" s="1"/>
  <c r="U53" i="7"/>
  <c r="V53" i="7" s="1"/>
  <c r="D29" i="1"/>
  <c r="D28" i="1"/>
  <c r="E28" i="1" s="1"/>
  <c r="D27" i="1"/>
  <c r="E27" i="1" s="1"/>
  <c r="G20" i="1"/>
  <c r="G19" i="1"/>
  <c r="G18" i="1"/>
  <c r="G17" i="1"/>
  <c r="G16" i="1"/>
  <c r="G15" i="1"/>
  <c r="G14" i="1"/>
  <c r="G13" i="1"/>
  <c r="G12" i="1"/>
  <c r="G11" i="1"/>
  <c r="G10" i="1"/>
  <c r="G8" i="1"/>
  <c r="G7" i="1"/>
  <c r="G5" i="1"/>
  <c r="G2" i="1"/>
  <c r="G24" i="1" l="1"/>
</calcChain>
</file>

<file path=xl/sharedStrings.xml><?xml version="1.0" encoding="utf-8"?>
<sst xmlns="http://schemas.openxmlformats.org/spreadsheetml/2006/main" count="181" uniqueCount="85">
  <si>
    <t>rango</t>
  </si>
  <si>
    <t>incremento</t>
  </si>
  <si>
    <t>OPTIMIZACIÓN GENÉTICA</t>
  </si>
  <si>
    <t>Per_Canal</t>
  </si>
  <si>
    <t>SíMBOLO: NASDAQ100</t>
  </si>
  <si>
    <t xml:space="preserve">Price_Up </t>
  </si>
  <si>
    <t>Close</t>
  </si>
  <si>
    <t>Price_Dw</t>
  </si>
  <si>
    <t>Bar_Filtro</t>
  </si>
  <si>
    <t>OperoCortos</t>
  </si>
  <si>
    <t>false</t>
  </si>
  <si>
    <t>Filtro_ATR</t>
  </si>
  <si>
    <t>Salgo_Media</t>
  </si>
  <si>
    <t>Prc_Stop</t>
  </si>
  <si>
    <t>Prc_Profit</t>
  </si>
  <si>
    <t>COMISION: 5$ por trade</t>
  </si>
  <si>
    <t>Prc_Trail</t>
  </si>
  <si>
    <t>Bar_Exit</t>
  </si>
  <si>
    <t>Start_Equity</t>
  </si>
  <si>
    <t>MMVar_Start</t>
  </si>
  <si>
    <t>MMVar_Profits</t>
  </si>
  <si>
    <t>Min_Size</t>
  </si>
  <si>
    <t>Max_Size</t>
  </si>
  <si>
    <t>RoundTo</t>
  </si>
  <si>
    <t>COMBINACIONES</t>
  </si>
  <si>
    <t>Net Profit</t>
  </si>
  <si>
    <t>Gross Profit</t>
  </si>
  <si>
    <t>Gross Loss</t>
  </si>
  <si>
    <t>Total Trades</t>
  </si>
  <si>
    <t>% Profitable</t>
  </si>
  <si>
    <t>Winning Trades</t>
  </si>
  <si>
    <t>Losing Trades</t>
  </si>
  <si>
    <t>Max Intraday Drawdown</t>
  </si>
  <si>
    <t>Filtro_ATR (CURSO - Sistema ruptura acciones)</t>
  </si>
  <si>
    <t>Prc_Trail (CURSO - Sistema ruptura acciones)</t>
  </si>
  <si>
    <t>RECOVERY</t>
  </si>
  <si>
    <t>Desde 29/nov/2006 a 09/feb/2024</t>
  </si>
  <si>
    <t>PERIODO OOS: 11/dic/2018 a 09/feb/2024</t>
  </si>
  <si>
    <t>PERIODO INS: 29/nov/2006 a 31/dic/2018</t>
  </si>
  <si>
    <t>17 AÑOS</t>
  </si>
  <si>
    <t>FITNESS: SORTINO AJUSTADO y UPI</t>
  </si>
  <si>
    <t>SLIPPAGE: 0.02</t>
  </si>
  <si>
    <t>MAX BARS: 25</t>
  </si>
  <si>
    <t>INICIO OPERATIVA</t>
  </si>
  <si>
    <t>Días</t>
  </si>
  <si>
    <t>FIIN INS</t>
  </si>
  <si>
    <t>INS</t>
  </si>
  <si>
    <t>FIN OPERATIVA</t>
  </si>
  <si>
    <t>OOS</t>
  </si>
  <si>
    <t>CÁLCULO ROB</t>
  </si>
  <si>
    <t>Los inputs tienen que estar ordenados. Hacemos el cálculo del NetProfit por día en INS y OOS y dividimos en ALLDATA para obtener el valor de ROB</t>
  </si>
  <si>
    <t>Opti Filtro_ATR + Prc_Trail</t>
  </si>
  <si>
    <t>UPI</t>
  </si>
  <si>
    <t>ROB</t>
  </si>
  <si>
    <t>SORTINO AJUSTADO</t>
  </si>
  <si>
    <t>M EJORES</t>
  </si>
  <si>
    <t>Media</t>
  </si>
  <si>
    <t>Error típico</t>
  </si>
  <si>
    <t>Mediana</t>
  </si>
  <si>
    <t>Moda</t>
  </si>
  <si>
    <t>Desviación estándar</t>
  </si>
  <si>
    <t>Varianza de la muestra</t>
  </si>
  <si>
    <t>Curtosis</t>
  </si>
  <si>
    <t>Coeficiente de asimetría</t>
  </si>
  <si>
    <t>Rango</t>
  </si>
  <si>
    <t>Mínimo</t>
  </si>
  <si>
    <t>Máximo</t>
  </si>
  <si>
    <t>Nivel de confianza(95.0%)</t>
  </si>
  <si>
    <t>VAR NET PROFIT</t>
  </si>
  <si>
    <t>VAR UPI2</t>
  </si>
  <si>
    <t>VAR SORTINO</t>
  </si>
  <si>
    <t>VAR RECOVERY</t>
  </si>
  <si>
    <t>VAR ROB</t>
  </si>
  <si>
    <t>SUMA</t>
  </si>
  <si>
    <t>SUMA SIN ROB</t>
  </si>
  <si>
    <t>01º</t>
  </si>
  <si>
    <t>02º</t>
  </si>
  <si>
    <t>03º</t>
  </si>
  <si>
    <t>04º</t>
  </si>
  <si>
    <t>05º</t>
  </si>
  <si>
    <t>06º</t>
  </si>
  <si>
    <t>07º</t>
  </si>
  <si>
    <t>08º</t>
  </si>
  <si>
    <t>09º</t>
  </si>
  <si>
    <t>10º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</si>
</sst>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_-* #,##0.00&quot;€&quot;_-;\-* #,##0.00&quot;€&quot;_-;_-* &quot;-&quot;??&quot;€&quot;_-;_-@_-"/>
    <numFmt numFmtId="166" formatCode="_-* #,##0.00_€_-;\-* #,##0.00_€_-;_-* &quot;-&quot;??_€_-;_-@_-"/>
    <numFmt numFmtId="167" formatCode="&quot;$&quot;#,##0.00;[Red]\-&quot;$&quot;#,##0.00"/>
    <numFmt numFmtId="168" formatCode="0.000"/>
    <numFmt numFmtId="170" formatCode="&quot;$&quot;#,##0;[Red]\-&quot;$&quot;#,##0"/>
    <numFmt numFmtId="171" formatCode="&quot;$&quot;#,##0.0;[Red]\-&quot;$&quot;#,##0.0"/>
    <numFmt numFmtId="172" formatCode="#,##0.00_ ;[Red]\-#,##0.00\ "/>
  </numFmts>
  <fonts count="5" x14ac:knownFonts="1">
    <font>
      <sz val="11"/>
      <color theme="1"/>
      <name val="Myriad Pro"/>
      <family val="2"/>
      <scheme val="minor"/>
    </font>
    <font>
      <b/>
      <sz val="11"/>
      <color theme="1"/>
      <name val="Myriad Pro"/>
      <family val="2"/>
      <scheme val="minor"/>
    </font>
    <font>
      <sz val="11"/>
      <color theme="1"/>
      <name val="Myriad Pro"/>
      <family val="2"/>
    </font>
    <font>
      <sz val="11"/>
      <color theme="1"/>
      <name val="Myriad Pro"/>
      <family val="2"/>
      <scheme val="minor"/>
    </font>
    <font>
      <sz val="8"/>
      <name val="Myriad Pro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EEECE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38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5" borderId="0" xfId="0" applyFill="1"/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38" fontId="0" fillId="0" borderId="0" xfId="0" applyNumberFormat="1" applyAlignment="1">
      <alignment horizontal="center" vertical="center"/>
    </xf>
    <xf numFmtId="40" fontId="0" fillId="0" borderId="0" xfId="0" applyNumberFormat="1" applyAlignment="1">
      <alignment horizontal="center" vertical="center"/>
    </xf>
    <xf numFmtId="0" fontId="0" fillId="7" borderId="0" xfId="0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 vertical="center"/>
    </xf>
    <xf numFmtId="38" fontId="0" fillId="9" borderId="0" xfId="0" applyNumberFormat="1" applyFill="1" applyAlignment="1">
      <alignment horizontal="center"/>
    </xf>
    <xf numFmtId="0" fontId="0" fillId="9" borderId="0" xfId="0" applyFill="1" applyAlignment="1">
      <alignment horizontal="left" vertical="center"/>
    </xf>
    <xf numFmtId="164" fontId="0" fillId="9" borderId="0" xfId="0" applyNumberFormat="1" applyFill="1" applyAlignment="1">
      <alignment horizontal="center" vertical="center"/>
    </xf>
    <xf numFmtId="2" fontId="0" fillId="9" borderId="0" xfId="0" applyNumberForma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14" fontId="0" fillId="0" borderId="0" xfId="0" applyNumberFormat="1"/>
    <xf numFmtId="0" fontId="2" fillId="8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 wrapText="1"/>
    </xf>
    <xf numFmtId="167" fontId="0" fillId="8" borderId="0" xfId="0" applyNumberFormat="1" applyFill="1" applyAlignment="1">
      <alignment horizontal="center"/>
    </xf>
    <xf numFmtId="2" fontId="0" fillId="8" borderId="0" xfId="0" applyNumberFormat="1" applyFill="1" applyAlignment="1">
      <alignment horizontal="center"/>
    </xf>
    <xf numFmtId="1" fontId="0" fillId="8" borderId="0" xfId="0" applyNumberFormat="1" applyFill="1" applyAlignment="1">
      <alignment horizontal="center"/>
    </xf>
    <xf numFmtId="168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67" fontId="0" fillId="7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1" fontId="0" fillId="7" borderId="0" xfId="0" applyNumberFormat="1" applyFill="1" applyAlignment="1">
      <alignment horizontal="center"/>
    </xf>
    <xf numFmtId="168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67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1" fontId="0" fillId="11" borderId="0" xfId="0" applyNumberFormat="1" applyFill="1" applyAlignment="1">
      <alignment horizontal="center"/>
    </xf>
    <xf numFmtId="167" fontId="0" fillId="2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0" fontId="0" fillId="8" borderId="0" xfId="3" applyNumberFormat="1" applyFont="1" applyFill="1" applyAlignment="1">
      <alignment horizontal="center"/>
    </xf>
    <xf numFmtId="10" fontId="0" fillId="7" borderId="0" xfId="3" applyNumberFormat="1" applyFont="1" applyFill="1" applyAlignment="1">
      <alignment horizontal="center"/>
    </xf>
    <xf numFmtId="10" fontId="0" fillId="2" borderId="0" xfId="3" applyNumberFormat="1" applyFont="1" applyFill="1" applyAlignment="1">
      <alignment horizontal="center"/>
    </xf>
    <xf numFmtId="170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0" fontId="0" fillId="0" borderId="0" xfId="3" applyNumberFormat="1" applyFont="1" applyFill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0" fontId="1" fillId="11" borderId="0" xfId="0" applyNumberFormat="1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8" fontId="1" fillId="12" borderId="0" xfId="0" applyNumberFormat="1" applyFont="1" applyFill="1" applyAlignment="1">
      <alignment horizontal="center" vertical="center"/>
    </xf>
    <xf numFmtId="168" fontId="1" fillId="7" borderId="0" xfId="0" applyNumberFormat="1" applyFont="1" applyFill="1" applyAlignment="1">
      <alignment horizontal="center" vertical="center"/>
    </xf>
    <xf numFmtId="2" fontId="1" fillId="13" borderId="0" xfId="0" applyNumberFormat="1" applyFont="1" applyFill="1" applyAlignment="1">
      <alignment horizontal="center" vertical="center"/>
    </xf>
    <xf numFmtId="10" fontId="1" fillId="14" borderId="0" xfId="3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172" fontId="2" fillId="0" borderId="0" xfId="2" applyNumberFormat="1" applyFont="1" applyFill="1" applyAlignment="1">
      <alignment horizontal="center"/>
    </xf>
    <xf numFmtId="0" fontId="0" fillId="6" borderId="0" xfId="2" applyNumberFormat="1" applyFont="1" applyFill="1" applyAlignment="1">
      <alignment horizontal="center"/>
    </xf>
    <xf numFmtId="167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8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0" fontId="0" fillId="6" borderId="0" xfId="3" applyNumberFormat="1" applyFont="1" applyFill="1" applyAlignment="1">
      <alignment horizontal="center"/>
    </xf>
  </cellXfs>
  <cellStyles count="4">
    <cellStyle name="Millares 2" xfId="2" xr:uid="{2556A7DF-182C-4458-A61A-625BD3497DD9}"/>
    <cellStyle name="Moneda 2" xfId="1" xr:uid="{E2BD0ED8-0AC7-4FB2-A42A-9FDA20BE5184}"/>
    <cellStyle name="Normal" xfId="0" builtinId="0"/>
    <cellStyle name="Porcentaje" xfId="3" builtinId="5"/>
  </cellStyles>
  <dxfs count="171">
    <dxf>
      <font/>
      <numFmt numFmtId="172" formatCode="#,##0.00_ ;[Red]\-#,##0.00\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/>
      <numFmt numFmtId="172" formatCode="#,##0.00_ ;[Red]\-#,##0.00\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8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8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8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8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8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8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70" formatCode="&quot;$&quot;#,##0;[Red]\-&quot;$&quot;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border outline="0">
        <bottom style="medium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border outline="0">
        <bottom style="medium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border outline="0">
        <bottom style="medium">
          <color indexed="64"/>
        </bottom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yriad Pro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yriad Pro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8" formatCode="0.0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8" formatCode="0.0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8" formatCode="0.0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8" formatCode="0.0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yriad Pro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8" formatCode="0.0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8" formatCode="0.0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&quot;$&quot;#,##0.00;[Red]\-&quot;$&quot;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yriad Pro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DE9D9"/>
      <color rgb="FFB9E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AE9E1C-8124-47A1-A3CF-B93190ABED96}" name="OPTI4_UPI_INS" displayName="OPTI4_UPI_INS" ref="A1:V61" totalsRowShown="0" headerRowDxfId="170" dataDxfId="169">
  <autoFilter ref="A1:V61" xr:uid="{12AE9E1C-8124-47A1-A3CF-B93190ABED96}"/>
  <sortState xmlns:xlrd2="http://schemas.microsoft.com/office/spreadsheetml/2017/richdata2" ref="B2:V61">
    <sortCondition descending="1" ref="U1:U61"/>
  </sortState>
  <tableColumns count="22">
    <tableColumn id="22" xr3:uid="{66353105-E321-42AD-91B8-8522B62A87C3}" name="M EJORES" dataDxfId="16" dataCellStyle="Millares 2"/>
    <tableColumn id="1" xr3:uid="{6179A864-CC5D-48C7-8AE0-E78761EC3C9F}" name="Net Profit" dataDxfId="168"/>
    <tableColumn id="2" xr3:uid="{0E472A59-0A22-4CD7-B895-EB45273ABD88}" name="Gross Profit" dataDxfId="167"/>
    <tableColumn id="3" xr3:uid="{D23E7CB0-0812-4400-838E-EF49D1A84EDF}" name="Gross Loss" dataDxfId="166"/>
    <tableColumn id="4" xr3:uid="{76C41779-D80F-4437-9357-A92D85AE0CE5}" name="Total Trades" dataDxfId="165"/>
    <tableColumn id="5" xr3:uid="{97D93062-B3BE-4071-880B-7382DB1C347C}" name="% Profitable" dataDxfId="164"/>
    <tableColumn id="6" xr3:uid="{051B8650-CD19-4C54-8F5B-6254D07A48D5}" name="Winning Trades" dataDxfId="163"/>
    <tableColumn id="7" xr3:uid="{9428003D-5EA0-4752-B799-33C87BD38E12}" name="Losing Trades" dataDxfId="162"/>
    <tableColumn id="8" xr3:uid="{35732308-F2CD-4A87-B74F-F3676B37572E}" name="Max Intraday Drawdown" dataDxfId="161"/>
    <tableColumn id="9" xr3:uid="{79C25AE4-0A5B-4D3E-B56E-94D08222D39A}" name="UPI" dataDxfId="160"/>
    <tableColumn id="13" xr3:uid="{09B7CFBB-9A0C-4E66-87B5-14DE469E2C05}" name="SORTINO AJUSTADO" dataDxfId="159"/>
    <tableColumn id="14" xr3:uid="{A395EB4A-81BD-4892-8461-26A15FDF5ECD}" name="RECOVERY" dataDxfId="158">
      <calculatedColumnFormula>-OPTI4_UPI_INS[[#This Row],[Net Profit]]/OPTI4_UPI_INS[[#This Row],[Max Intraday Drawdown]]</calculatedColumnFormula>
    </tableColumn>
    <tableColumn id="10" xr3:uid="{E5276D11-1B2C-4191-96DE-388E1B401700}" name="Filtro_ATR (CURSO - Sistema ruptura acciones)" dataDxfId="157"/>
    <tableColumn id="11" xr3:uid="{8E3ACD6F-2898-483B-A5A1-A94ADBB4237A}" name="Prc_Trail (CURSO - Sistema ruptura acciones)" dataDxfId="124"/>
    <tableColumn id="12" xr3:uid="{F33659A0-0E6E-47A2-8DF1-4717DCF53D82}" name="ROB" dataDxfId="123" dataCellStyle="Porcentaje"/>
    <tableColumn id="15" xr3:uid="{F016366B-E6B8-430C-915B-E65E7C79B57D}" name="VAR NET PROFIT" dataDxfId="23" dataCellStyle="Millares 2">
      <calculatedColumnFormula>(OPTI4_UPI_INS[[#This Row],[Net Profit]]-B$74)/ABS(B$74)</calculatedColumnFormula>
    </tableColumn>
    <tableColumn id="16" xr3:uid="{5EF886C3-DD8A-454B-9736-35CABBF3A81D}" name="VAR UPI2" dataDxfId="22" dataCellStyle="Millares 2">
      <calculatedColumnFormula>(OPTI4_UPI_INS[[#This Row],[UPI]]-J$74)/ABS(J$74)</calculatedColumnFormula>
    </tableColumn>
    <tableColumn id="17" xr3:uid="{F0C64167-F234-4789-A6F7-7B2441198F41}" name="VAR SORTINO" dataDxfId="21" dataCellStyle="Millares 2">
      <calculatedColumnFormula>(OPTI4_UPI_INS[[#This Row],[SORTINO AJUSTADO]]-K$74)/ABS(K$74)</calculatedColumnFormula>
    </tableColumn>
    <tableColumn id="18" xr3:uid="{2EAE6871-8F7C-4165-98ED-4D6188EAC0C1}" name="VAR RECOVERY" dataDxfId="20" dataCellStyle="Millares 2">
      <calculatedColumnFormula>(OPTI4_UPI_INS[[#This Row],[RECOVERY]]-L$74)/ABS(L$74)</calculatedColumnFormula>
    </tableColumn>
    <tableColumn id="19" xr3:uid="{BD0C37C8-E1EB-4505-9A24-7C78FFA61FFF}" name="VAR ROB" dataDxfId="19" dataCellStyle="Millares 2">
      <calculatedColumnFormula>(OPTI4_UPI_INS[[#This Row],[ROB]]-O$74)/ABS(O$74)</calculatedColumnFormula>
    </tableColumn>
    <tableColumn id="20" xr3:uid="{7662BCE7-3879-4D19-ABA2-56DB72FD9249}" name="SUMA" dataDxfId="18" dataCellStyle="Millares 2">
      <calculatedColumnFormula>SUM(OPTI4_UPI_INS[[#This Row],[VAR NET PROFIT]:[VAR ROB]])</calculatedColumnFormula>
    </tableColumn>
    <tableColumn id="21" xr3:uid="{DF4FFCBC-152B-4025-9A46-883791FE299B}" name="SUMA SIN ROB" dataDxfId="17" dataCellStyle="Millares 2">
      <calculatedColumnFormula>OPTI4_UPI_INS[[#This Row],[SUMA]]-OPTI4_UPI_INS[[#This Row],[VAR ROB]]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D08648-B29D-4710-90B4-038069E85FEF}" name="Tabla4" displayName="Tabla4" ref="A64:O75" headerRowCount="0" totalsRowShown="0" headerRowDxfId="122" dataDxfId="24" tableBorderDxfId="121">
  <tableColumns count="15">
    <tableColumn id="1" xr3:uid="{3951BE0F-43D2-4E06-B123-338836AC0448}" name="Columna1" headerRowDxfId="120" dataDxfId="39"/>
    <tableColumn id="2" xr3:uid="{15AEC4BF-A8B4-4C0F-9659-EE8A45435323}" name="Columna2" headerRowDxfId="119" dataDxfId="38"/>
    <tableColumn id="3" xr3:uid="{5A11181B-720B-4695-A8CC-630A1F09F45C}" name="Columna3" headerRowDxfId="118" dataDxfId="37"/>
    <tableColumn id="4" xr3:uid="{701AEE75-E9BA-43AE-ABAC-754AEB3E1919}" name="Columna4" headerRowDxfId="117" dataDxfId="36"/>
    <tableColumn id="5" xr3:uid="{A245AE1B-55C9-4885-BB33-A895DB98A1D6}" name="Columna5" headerRowDxfId="116" dataDxfId="35"/>
    <tableColumn id="6" xr3:uid="{E9955F73-E6C0-4687-9FC4-63D0C00DF5D7}" name="Columna6" headerRowDxfId="115" dataDxfId="34"/>
    <tableColumn id="7" xr3:uid="{41698408-6CA8-4220-805E-47F9E2F562E7}" name="Columna7" headerRowDxfId="114" dataDxfId="33"/>
    <tableColumn id="8" xr3:uid="{C5065C19-11E3-4415-B168-606DDDB2626E}" name="Columna8" headerRowDxfId="113" dataDxfId="32"/>
    <tableColumn id="9" xr3:uid="{48B00451-F91F-4573-9EAB-4FE9058C116D}" name="Columna9" headerRowDxfId="112" dataDxfId="31"/>
    <tableColumn id="10" xr3:uid="{98542023-24BD-4AD8-A5D1-40C024B6BE80}" name="Columna10" headerRowDxfId="111" dataDxfId="30"/>
    <tableColumn id="11" xr3:uid="{A2A14B0B-EE4C-4A11-BB49-5CFB2001CE85}" name="Columna11" headerRowDxfId="110" dataDxfId="29"/>
    <tableColumn id="12" xr3:uid="{0A89E27F-A6BD-49BE-88A3-2900374A926B}" name="Columna12" headerRowDxfId="109" dataDxfId="28"/>
    <tableColumn id="13" xr3:uid="{ED906631-0CBD-4E7D-83D9-BD0A8978EC91}" name="Columna13" headerRowDxfId="108" dataDxfId="27"/>
    <tableColumn id="14" xr3:uid="{36CB55F3-1DED-4AE8-9462-CA9DBD24B6EA}" name="Columna14" headerRowDxfId="107" dataDxfId="26"/>
    <tableColumn id="15" xr3:uid="{937BE12D-C09C-405A-BABC-3994332B2FB5}" name="Columna15" headerRowDxfId="106" dataDxfId="25" dataCellStyle="Porcentaje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AF9CB9-B9C2-4EB7-AD11-D51352237CDB}" name="OPTI4_UPI_OOS" displayName="OPTI4_UPI_OOS" ref="A1:V61" totalsRowShown="0" headerRowDxfId="156" dataDxfId="155">
  <autoFilter ref="A1:V61" xr:uid="{06AF9CB9-B9C2-4EB7-AD11-D51352237CDB}"/>
  <sortState xmlns:xlrd2="http://schemas.microsoft.com/office/spreadsheetml/2017/richdata2" ref="B2:V61">
    <sortCondition descending="1" ref="U1:U61"/>
  </sortState>
  <tableColumns count="22">
    <tableColumn id="22" xr3:uid="{0C1874AE-EC69-42F1-AEF8-5C8E7359D630}" name="M EJORES" dataDxfId="8" dataCellStyle="Millares 2"/>
    <tableColumn id="1" xr3:uid="{3984F59A-2B34-44B4-8405-86E61CF6A2D7}" name="Net Profit" dataDxfId="154"/>
    <tableColumn id="2" xr3:uid="{E6449C42-DB78-40A8-B661-BBBC9D1B37EB}" name="Gross Profit" dataDxfId="153"/>
    <tableColumn id="3" xr3:uid="{DD3352FD-7A17-4F37-A8F1-2472CB5F0542}" name="Gross Loss" dataDxfId="152"/>
    <tableColumn id="4" xr3:uid="{790D10F0-1E11-4AAE-B3F0-36B08497FFB5}" name="Total Trades" dataDxfId="151"/>
    <tableColumn id="5" xr3:uid="{234016F3-1A77-467E-8E9B-FB50069E2229}" name="% Profitable" dataDxfId="150"/>
    <tableColumn id="6" xr3:uid="{E6287EF4-4F91-4577-8EEC-C69A56B3702B}" name="Winning Trades" dataDxfId="149"/>
    <tableColumn id="7" xr3:uid="{2D4BE8A1-787C-4D6A-9BF5-C6E837184C36}" name="Losing Trades" dataDxfId="148"/>
    <tableColumn id="8" xr3:uid="{48156C65-1154-4D34-B966-A776603CD2FA}" name="Max Intraday Drawdown" dataDxfId="147"/>
    <tableColumn id="9" xr3:uid="{29862264-F5B1-43C4-B088-30634F665A67}" name="UPI" dataDxfId="146"/>
    <tableColumn id="12" xr3:uid="{FC0CCBA2-8A86-4A20-9B5F-F04D655BF7E8}" name="SORTINO AJUSTADO" dataDxfId="145"/>
    <tableColumn id="13" xr3:uid="{73AEFBD4-9FCD-4B15-81A8-76554A3D202B}" name="RECOVERY" dataDxfId="144">
      <calculatedColumnFormula>-OPTI4_UPI_OOS[[#This Row],[Net Profit]]/OPTI4_UPI_OOS[[#This Row],[Max Intraday Drawdown]]</calculatedColumnFormula>
    </tableColumn>
    <tableColumn id="10" xr3:uid="{6A3F5A28-F911-40FC-B10A-E513180DCA08}" name="Filtro_ATR (CURSO - Sistema ruptura acciones)" dataDxfId="143"/>
    <tableColumn id="11" xr3:uid="{EEB026C9-F2BC-4DB9-9731-28A201E9A530}" name="Prc_Trail (CURSO - Sistema ruptura acciones)" dataDxfId="126"/>
    <tableColumn id="14" xr3:uid="{59E5C02C-CE97-48BB-9F65-0A3DBC88704A}" name="ROB" dataDxfId="125" dataCellStyle="Porcentaje"/>
    <tableColumn id="15" xr3:uid="{7DA683B5-7E5B-467C-B82F-906422355420}" name="VAR NET PROFIT" dataDxfId="15" dataCellStyle="Millares 2">
      <calculatedColumnFormula>(OPTI4_UPI_OOS[[#This Row],[Net Profit]]-B$74)/ABS(B$74)</calculatedColumnFormula>
    </tableColumn>
    <tableColumn id="16" xr3:uid="{4C472E3D-D7DE-4C49-8D66-E6774C84C66C}" name="VAR UPI2" dataDxfId="14" dataCellStyle="Millares 2">
      <calculatedColumnFormula>(OPTI4_UPI_OOS[[#This Row],[UPI]]-J$74)/ABS(J$74)</calculatedColumnFormula>
    </tableColumn>
    <tableColumn id="17" xr3:uid="{F4F072B3-CDE1-4FEB-868A-CA65601A976E}" name="VAR SORTINO" dataDxfId="13" dataCellStyle="Millares 2">
      <calculatedColumnFormula>(OPTI4_UPI_OOS[[#This Row],[SORTINO AJUSTADO]]-K$74)/ABS(K$74)</calculatedColumnFormula>
    </tableColumn>
    <tableColumn id="18" xr3:uid="{7290A6BF-51E0-4295-BDE9-1378990CC744}" name="VAR RECOVERY" dataDxfId="12" dataCellStyle="Millares 2">
      <calculatedColumnFormula>(OPTI4_UPI_OOS[[#This Row],[RECOVERY]]-L$74)/ABS(L$74)</calculatedColumnFormula>
    </tableColumn>
    <tableColumn id="19" xr3:uid="{585A22C5-C3B0-467A-B0BD-4F7D6154DB66}" name="VAR ROB" dataDxfId="11" dataCellStyle="Millares 2">
      <calculatedColumnFormula>(OPTI4_UPI_OOS[[#This Row],[ROB]]-O$74)/ABS(O$74)</calculatedColumnFormula>
    </tableColumn>
    <tableColumn id="20" xr3:uid="{57C0FF8C-4F31-4707-A223-5F8B4DF13A4A}" name="SUMA" dataDxfId="10" dataCellStyle="Millares 2">
      <calculatedColumnFormula>SUM(OPTI4_UPI_OOS[[#This Row],[VAR NET PROFIT]:[VAR ROB]])</calculatedColumnFormula>
    </tableColumn>
    <tableColumn id="21" xr3:uid="{99A82C6B-1FBC-402E-8A5D-7DF31372C391}" name="SUMA SIN ROB" dataDxfId="9" dataCellStyle="Millares 2">
      <calculatedColumnFormula>OPTI4_UPI_OOS[[#This Row],[SUMA]]-OPTI4_UPI_OOS[[#This Row],[VAR ROB]]</calculatedColumnFormula>
    </tableColumn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EE1460-C973-46A2-BE0F-E83C603457CD}" name="Tabla5" displayName="Tabla5" ref="A64:O75" headerRowCount="0" totalsRowShown="0" headerRowDxfId="105" dataDxfId="40" tableBorderDxfId="104">
  <tableColumns count="15">
    <tableColumn id="1" xr3:uid="{A35B452E-BFC7-4FCB-B230-C6CDA5134A37}" name="Columna1" headerRowDxfId="103" dataDxfId="55"/>
    <tableColumn id="2" xr3:uid="{1ACB63F8-76B2-490F-B0E3-CA7A711F09F6}" name="Columna2" headerRowDxfId="102" dataDxfId="54"/>
    <tableColumn id="3" xr3:uid="{0E095819-A87D-4FF7-B5A4-9EAFA71B2C49}" name="Columna3" headerRowDxfId="101" dataDxfId="53"/>
    <tableColumn id="4" xr3:uid="{9D040201-9C07-4BE0-AFB6-AE3577B5B75F}" name="Columna4" headerRowDxfId="100" dataDxfId="52"/>
    <tableColumn id="5" xr3:uid="{F1D0A7E7-5041-47F4-93A5-F5058E0D4F8A}" name="Columna5" headerRowDxfId="99" dataDxfId="51"/>
    <tableColumn id="6" xr3:uid="{DC6238D4-7353-4214-BE5D-3D79CF6F1CAA}" name="Columna6" headerRowDxfId="98" dataDxfId="50"/>
    <tableColumn id="7" xr3:uid="{BABDCCAD-16AC-4155-BDBE-0EE061D20139}" name="Columna7" headerRowDxfId="97" dataDxfId="49"/>
    <tableColumn id="8" xr3:uid="{173AE59F-DF73-434E-A555-74FA96FD030F}" name="Columna8" headerRowDxfId="96" dataDxfId="48"/>
    <tableColumn id="9" xr3:uid="{B0361108-DCA0-4A57-B89D-A5E26689E259}" name="Columna9" headerRowDxfId="95" dataDxfId="47"/>
    <tableColumn id="10" xr3:uid="{99298A1D-23D2-4451-8593-043746718ABD}" name="Columna10" headerRowDxfId="94" dataDxfId="46"/>
    <tableColumn id="11" xr3:uid="{961C0257-ECEB-45F0-9B7B-2A3969F5486B}" name="Columna11" headerRowDxfId="93" dataDxfId="45"/>
    <tableColumn id="12" xr3:uid="{8AC91EC1-E8A7-4D56-8FD2-4307A084C518}" name="Columna12" headerRowDxfId="92" dataDxfId="44"/>
    <tableColumn id="13" xr3:uid="{3DADCED3-EB95-40F1-924F-65FF088D885B}" name="Columna13" headerRowDxfId="91" dataDxfId="43"/>
    <tableColumn id="14" xr3:uid="{308AE743-4F12-4B81-8EBA-FB788C4E3364}" name="Columna14" headerRowDxfId="90" dataDxfId="42"/>
    <tableColumn id="15" xr3:uid="{FBC8997B-AE58-4210-A4CD-28E4EF9172D0}" name="Columna15" headerRowDxfId="89" dataDxfId="41" dataCellStyle="Porcentaje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56B466-3BC1-4D3F-A4C7-7328A561DFFA}" name="OPTI4_SORTINO_ALL_DATA" displayName="OPTI4_SORTINO_ALL_DATA" ref="A1:V61" totalsRowShown="0" headerRowDxfId="142" dataDxfId="141">
  <autoFilter ref="A1:V61" xr:uid="{AE56B466-3BC1-4D3F-A4C7-7328A561DFFA}"/>
  <sortState xmlns:xlrd2="http://schemas.microsoft.com/office/spreadsheetml/2017/richdata2" ref="B2:V61">
    <sortCondition descending="1" ref="U1:U61"/>
  </sortState>
  <tableColumns count="22">
    <tableColumn id="22" xr3:uid="{34D404ED-EDD2-48B8-AA64-CAE50D13D039}" name="M EJORES" dataDxfId="0" dataCellStyle="Millares 2"/>
    <tableColumn id="1" xr3:uid="{1C1E2160-9C64-4B28-BF5D-345A03BCEC6D}" name="Net Profit" dataDxfId="140"/>
    <tableColumn id="2" xr3:uid="{64637F37-4FB8-4AD3-8FA0-FAB2E4F2B479}" name="Gross Profit" dataDxfId="139"/>
    <tableColumn id="3" xr3:uid="{4D4906E2-D433-4446-9923-04CABF4BEE72}" name="Gross Loss" dataDxfId="138"/>
    <tableColumn id="4" xr3:uid="{45034755-2C08-4EF3-8027-418AC01CB95F}" name="Total Trades" dataDxfId="137"/>
    <tableColumn id="5" xr3:uid="{1DDAACB1-7DDE-4FD3-A860-F61B07E84A34}" name="% Profitable" dataDxfId="136"/>
    <tableColumn id="6" xr3:uid="{43392FAD-1AD9-45BC-B778-D9E50B9A12C3}" name="Winning Trades" dataDxfId="135"/>
    <tableColumn id="7" xr3:uid="{509F777A-E3E2-40A2-AD04-506BC9EEF9A3}" name="Losing Trades" dataDxfId="134"/>
    <tableColumn id="8" xr3:uid="{09E682BC-E957-4278-B4F4-D7358AC7A23F}" name="Max Intraday Drawdown" dataDxfId="133"/>
    <tableColumn id="12" xr3:uid="{3D8DBE14-50BE-4787-8BEC-677B6B4C2FCC}" name="UPI" dataDxfId="132"/>
    <tableColumn id="9" xr3:uid="{8A390C5B-B5EF-438D-A3BE-F05A97D25F0F}" name="SORTINO AJUSTADO" dataDxfId="131"/>
    <tableColumn id="13" xr3:uid="{3C315B3F-00D4-413F-9EB5-419DEEB7EA01}" name="RECOVERY" dataDxfId="130">
      <calculatedColumnFormula>-OPTI4_SORTINO_ALL_DATA[[#This Row],[Net Profit]]/OPTI4_SORTINO_ALL_DATA[[#This Row],[Max Intraday Drawdown]]</calculatedColumnFormula>
    </tableColumn>
    <tableColumn id="10" xr3:uid="{152D8540-2630-441B-A57B-CDCAAC6E82E1}" name="Filtro_ATR (CURSO - Sistema ruptura acciones)" dataDxfId="129"/>
    <tableColumn id="11" xr3:uid="{3A723D29-177C-4B8F-AB5D-AC0BB143E74E}" name="Prc_Trail (CURSO - Sistema ruptura acciones)" dataDxfId="128"/>
    <tableColumn id="14" xr3:uid="{2E533750-1DE2-42EC-B37F-DA2AFB2979B9}" name="ROB" dataDxfId="127"/>
    <tableColumn id="15" xr3:uid="{41A8A3F5-1FDA-4C9C-9F27-A6AA3343A690}" name="VAR NET PROFIT" dataDxfId="7" dataCellStyle="Millares 2">
      <calculatedColumnFormula>(OPTI4_SORTINO_ALL_DATA[[#This Row],[Net Profit]]-B$74)/ABS(B$74)</calculatedColumnFormula>
    </tableColumn>
    <tableColumn id="16" xr3:uid="{F2A6153E-EE0E-4B65-92AA-CE63FD69C3AD}" name="VAR UPI2" dataDxfId="6" dataCellStyle="Millares 2">
      <calculatedColumnFormula>(OPTI4_SORTINO_ALL_DATA[[#This Row],[UPI]]-J$74)/ABS(J$74)</calculatedColumnFormula>
    </tableColumn>
    <tableColumn id="17" xr3:uid="{F87EB79B-37A3-42C8-9F81-D1A5FD20FC92}" name="VAR SORTINO" dataDxfId="5" dataCellStyle="Millares 2">
      <calculatedColumnFormula>(OPTI4_SORTINO_ALL_DATA[[#This Row],[SORTINO AJUSTADO]]-K$74)/ABS(K$74)</calculatedColumnFormula>
    </tableColumn>
    <tableColumn id="18" xr3:uid="{83F1D7F6-77F0-4E84-9A52-E5A19A7D7885}" name="VAR RECOVERY" dataDxfId="4" dataCellStyle="Millares 2">
      <calculatedColumnFormula>(OPTI4_SORTINO_ALL_DATA[[#This Row],[RECOVERY]]-L$74)/ABS(L$74)</calculatedColumnFormula>
    </tableColumn>
    <tableColumn id="19" xr3:uid="{A1E271AE-DD23-4E32-BC03-A945048EB241}" name="VAR ROB" dataDxfId="3" dataCellStyle="Millares 2">
      <calculatedColumnFormula>(OPTI4_SORTINO_ALL_DATA[[#This Row],[ROB]]-O$74)/ABS(O$74)</calculatedColumnFormula>
    </tableColumn>
    <tableColumn id="20" xr3:uid="{7B129068-3539-4365-882C-675EA915D143}" name="SUMA" dataDxfId="2" dataCellStyle="Millares 2">
      <calculatedColumnFormula>SUM(OPTI4_SORTINO_ALL_DATA[[#This Row],[VAR NET PROFIT]:[VAR ROB]])</calculatedColumnFormula>
    </tableColumn>
    <tableColumn id="21" xr3:uid="{F8E66B20-03B1-48D8-9BDD-60AA9E35374F}" name="SUMA SIN ROB" dataDxfId="1" dataCellStyle="Millares 2">
      <calculatedColumnFormula>OPTI4_SORTINO_ALL_DATA[[#This Row],[SUMA]]-OPTI4_SORTINO_ALL_DATA[[#This Row],[VAR ROB]]</calculatedColumnFormula>
    </tableColumn>
  </tableColumns>
  <tableStyleInfo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6FA355-4DAF-4A50-B3A9-CC33324644FB}" name="Tabla6" displayName="Tabla6" ref="A64:O75" headerRowCount="0" totalsRowShown="0" headerRowDxfId="88" dataDxfId="57" tableBorderDxfId="87">
  <tableColumns count="15">
    <tableColumn id="1" xr3:uid="{662D555D-A5E5-4908-9F96-C3AC279501FB}" name="Columna1" headerRowDxfId="86" dataDxfId="71"/>
    <tableColumn id="2" xr3:uid="{72173978-D5D6-4D7E-B6D2-5996AD5F1D2B}" name="Columna2" headerRowDxfId="85" dataDxfId="70"/>
    <tableColumn id="3" xr3:uid="{A24E3B70-B552-4C41-B2E7-1357B96AE163}" name="Columna3" headerRowDxfId="84" dataDxfId="69"/>
    <tableColumn id="4" xr3:uid="{3ACEFCA1-85C0-49CC-8F52-35FE07DA8340}" name="Columna4" headerRowDxfId="83" dataDxfId="68"/>
    <tableColumn id="5" xr3:uid="{6836A287-0DFE-4091-815C-A654DB6E09D7}" name="Columna5" headerRowDxfId="82" dataDxfId="67"/>
    <tableColumn id="6" xr3:uid="{1C5E6304-0AFE-4C64-9EA9-68AC31DED670}" name="Columna6" headerRowDxfId="81" dataDxfId="66"/>
    <tableColumn id="7" xr3:uid="{66464811-3F8D-40EC-B77E-B71235043A95}" name="Columna7" headerRowDxfId="80" dataDxfId="65"/>
    <tableColumn id="8" xr3:uid="{4A065A20-7E6A-40B7-A6C2-7E12ABEE899F}" name="Columna8" headerRowDxfId="79" dataDxfId="64"/>
    <tableColumn id="9" xr3:uid="{A49F3943-90ED-42E0-BF5F-43C2DD95F0A1}" name="Columna9" headerRowDxfId="78" dataDxfId="63"/>
    <tableColumn id="10" xr3:uid="{4345B4F2-440F-4234-863B-FDC0B979902D}" name="Columna10" headerRowDxfId="77" dataDxfId="62"/>
    <tableColumn id="11" xr3:uid="{BAE65D64-2A42-4B19-88BD-AC0D190250F9}" name="Columna11" headerRowDxfId="76" dataDxfId="61"/>
    <tableColumn id="12" xr3:uid="{7A45FD60-2A62-45C8-9EFF-32EC2CFD5191}" name="Columna12" headerRowDxfId="75" dataDxfId="60"/>
    <tableColumn id="13" xr3:uid="{96CB6256-1F23-41D2-A03F-C8C1CF0804CD}" name="Columna13" headerRowDxfId="74" dataDxfId="59"/>
    <tableColumn id="14" xr3:uid="{89B503BE-7600-476B-8A0B-42EA496FF1C0}" name="Columna14" headerRowDxfId="73" dataDxfId="58"/>
    <tableColumn id="15" xr3:uid="{1A9C6579-4DC5-41ED-89F9-FDC642D6EE6E}" name="Columna15" headerRowDxfId="72" dataDxfId="56" dataCellStyle="Porcentaje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Sersan Sistemas">
  <a:themeElements>
    <a:clrScheme name="Personalizado 2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007A9F"/>
      </a:accent1>
      <a:accent2>
        <a:srgbClr val="D0003E"/>
      </a:accent2>
      <a:accent3>
        <a:srgbClr val="9BBB59"/>
      </a:accent3>
      <a:accent4>
        <a:srgbClr val="8064A2"/>
      </a:accent4>
      <a:accent5>
        <a:srgbClr val="4F81BD"/>
      </a:accent5>
      <a:accent6>
        <a:srgbClr val="F79646"/>
      </a:accent6>
      <a:hlink>
        <a:srgbClr val="0000FF"/>
      </a:hlink>
      <a:folHlink>
        <a:srgbClr val="800080"/>
      </a:folHlink>
    </a:clrScheme>
    <a:fontScheme name="Sersan Sistemas">
      <a:majorFont>
        <a:latin typeface="Myriad Pro Black"/>
        <a:ea typeface=""/>
        <a:cs typeface=""/>
      </a:majorFont>
      <a:minorFont>
        <a:latin typeface="Myriad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DCA24-65CC-48ED-B06C-2CB099DD4941}">
  <dimension ref="A1:G31"/>
  <sheetViews>
    <sheetView zoomScaleNormal="100" workbookViewId="0">
      <selection activeCell="H22" sqref="H22"/>
    </sheetView>
  </sheetViews>
  <sheetFormatPr baseColWidth="10" defaultRowHeight="15" x14ac:dyDescent="0.25"/>
  <cols>
    <col min="1" max="1" width="35.625" bestFit="1" customWidth="1"/>
    <col min="2" max="2" width="10.625" customWidth="1"/>
    <col min="3" max="3" width="14.5" style="5" bestFit="1" customWidth="1"/>
    <col min="4" max="5" width="6.875" bestFit="1" customWidth="1"/>
    <col min="6" max="6" width="10.125" bestFit="1" customWidth="1"/>
    <col min="7" max="7" width="5.75" bestFit="1" customWidth="1"/>
    <col min="16353" max="16353" width="3.875" bestFit="1" customWidth="1"/>
    <col min="16354" max="16384" width="3.875" customWidth="1"/>
  </cols>
  <sheetData>
    <row r="1" spans="1:7" x14ac:dyDescent="0.25">
      <c r="A1" s="4" t="s">
        <v>2</v>
      </c>
      <c r="B1" s="1"/>
      <c r="C1" s="2"/>
      <c r="D1" s="3" t="s">
        <v>0</v>
      </c>
      <c r="E1" s="3" t="s">
        <v>0</v>
      </c>
      <c r="F1" s="3" t="s">
        <v>1</v>
      </c>
      <c r="G1" s="3" t="s">
        <v>0</v>
      </c>
    </row>
    <row r="2" spans="1:7" x14ac:dyDescent="0.25">
      <c r="A2" t="s">
        <v>4</v>
      </c>
      <c r="B2" s="1"/>
      <c r="C2" s="20" t="s">
        <v>3</v>
      </c>
      <c r="D2" s="21">
        <v>20</v>
      </c>
      <c r="E2" s="21">
        <v>20</v>
      </c>
      <c r="F2" s="21">
        <v>1</v>
      </c>
      <c r="G2" s="22">
        <f t="shared" ref="G2:G20" si="0">1+(E2-D2)/F2</f>
        <v>1</v>
      </c>
    </row>
    <row r="3" spans="1:7" x14ac:dyDescent="0.25">
      <c r="A3" s="7" t="s">
        <v>36</v>
      </c>
      <c r="B3" s="1"/>
      <c r="C3" s="7" t="s">
        <v>5</v>
      </c>
      <c r="D3" s="3" t="s">
        <v>6</v>
      </c>
      <c r="E3" s="3" t="s">
        <v>6</v>
      </c>
      <c r="F3" s="3"/>
      <c r="G3" s="6"/>
    </row>
    <row r="4" spans="1:7" x14ac:dyDescent="0.25">
      <c r="A4" s="8" t="s">
        <v>37</v>
      </c>
      <c r="B4" s="1"/>
      <c r="C4" s="7" t="s">
        <v>7</v>
      </c>
      <c r="D4" s="3" t="s">
        <v>6</v>
      </c>
      <c r="E4" s="3" t="s">
        <v>6</v>
      </c>
      <c r="F4" s="3"/>
      <c r="G4" s="6"/>
    </row>
    <row r="5" spans="1:7" x14ac:dyDescent="0.25">
      <c r="A5" s="9" t="s">
        <v>38</v>
      </c>
      <c r="B5" s="1"/>
      <c r="C5" s="7" t="s">
        <v>8</v>
      </c>
      <c r="D5" s="3">
        <v>0</v>
      </c>
      <c r="E5" s="3">
        <v>0</v>
      </c>
      <c r="F5" s="3">
        <v>1</v>
      </c>
      <c r="G5" s="6">
        <f t="shared" si="0"/>
        <v>1</v>
      </c>
    </row>
    <row r="6" spans="1:7" x14ac:dyDescent="0.25">
      <c r="A6" t="s">
        <v>39</v>
      </c>
      <c r="B6" s="1"/>
      <c r="C6" s="7" t="s">
        <v>9</v>
      </c>
      <c r="D6" s="10" t="s">
        <v>10</v>
      </c>
      <c r="E6" s="10" t="s">
        <v>10</v>
      </c>
      <c r="F6" s="3"/>
      <c r="G6" s="6"/>
    </row>
    <row r="7" spans="1:7" x14ac:dyDescent="0.25">
      <c r="A7" s="7" t="s">
        <v>40</v>
      </c>
      <c r="B7" s="1"/>
      <c r="C7" s="23" t="s">
        <v>11</v>
      </c>
      <c r="D7" s="24">
        <v>0</v>
      </c>
      <c r="E7" s="24">
        <v>1.5</v>
      </c>
      <c r="F7" s="21">
        <v>0.5</v>
      </c>
      <c r="G7" s="22">
        <f t="shared" si="0"/>
        <v>4</v>
      </c>
    </row>
    <row r="8" spans="1:7" x14ac:dyDescent="0.25">
      <c r="A8" s="7"/>
      <c r="B8" s="1"/>
      <c r="C8" s="7"/>
      <c r="D8" s="3"/>
      <c r="E8" s="11"/>
      <c r="F8" s="3">
        <v>0.1</v>
      </c>
      <c r="G8" s="6">
        <f t="shared" si="0"/>
        <v>1</v>
      </c>
    </row>
    <row r="9" spans="1:7" x14ac:dyDescent="0.25">
      <c r="A9" s="7"/>
      <c r="B9" s="1"/>
      <c r="C9" s="7" t="s">
        <v>12</v>
      </c>
      <c r="D9" s="3" t="s">
        <v>10</v>
      </c>
      <c r="E9" s="3" t="s">
        <v>10</v>
      </c>
      <c r="F9" s="3"/>
      <c r="G9" s="6"/>
    </row>
    <row r="10" spans="1:7" x14ac:dyDescent="0.25">
      <c r="A10" s="7"/>
      <c r="B10" s="1"/>
      <c r="C10" s="7" t="s">
        <v>13</v>
      </c>
      <c r="D10" s="3">
        <v>0</v>
      </c>
      <c r="E10" s="3">
        <v>0</v>
      </c>
      <c r="F10" s="3">
        <v>1</v>
      </c>
      <c r="G10" s="6">
        <f t="shared" si="0"/>
        <v>1</v>
      </c>
    </row>
    <row r="11" spans="1:7" x14ac:dyDescent="0.25">
      <c r="A11" s="12" t="s">
        <v>15</v>
      </c>
      <c r="B11" s="1"/>
      <c r="C11" s="7" t="s">
        <v>14</v>
      </c>
      <c r="D11" s="3">
        <v>0</v>
      </c>
      <c r="E11" s="3">
        <v>0</v>
      </c>
      <c r="F11" s="3">
        <v>1</v>
      </c>
      <c r="G11" s="6">
        <f t="shared" si="0"/>
        <v>1</v>
      </c>
    </row>
    <row r="12" spans="1:7" x14ac:dyDescent="0.25">
      <c r="A12" s="12" t="s">
        <v>41</v>
      </c>
      <c r="B12" s="1"/>
      <c r="C12" s="23" t="s">
        <v>16</v>
      </c>
      <c r="D12" s="25">
        <v>0.1</v>
      </c>
      <c r="E12" s="25">
        <v>0.24</v>
      </c>
      <c r="F12" s="21">
        <v>0.01</v>
      </c>
      <c r="G12" s="22">
        <f t="shared" si="0"/>
        <v>14.999999999999998</v>
      </c>
    </row>
    <row r="13" spans="1:7" x14ac:dyDescent="0.25">
      <c r="A13" s="12" t="s">
        <v>42</v>
      </c>
      <c r="B13" s="1"/>
      <c r="C13" s="7" t="s">
        <v>17</v>
      </c>
      <c r="D13" s="3">
        <v>0</v>
      </c>
      <c r="E13" s="3">
        <v>0</v>
      </c>
      <c r="F13" s="3">
        <v>1</v>
      </c>
      <c r="G13" s="6">
        <f t="shared" si="0"/>
        <v>1</v>
      </c>
    </row>
    <row r="14" spans="1:7" x14ac:dyDescent="0.25">
      <c r="A14" s="7"/>
      <c r="B14" s="1"/>
      <c r="C14" s="7"/>
      <c r="D14" s="3"/>
      <c r="E14" s="3"/>
      <c r="F14" s="3">
        <v>1</v>
      </c>
      <c r="G14" s="6">
        <f t="shared" si="0"/>
        <v>1</v>
      </c>
    </row>
    <row r="15" spans="1:7" x14ac:dyDescent="0.25">
      <c r="A15" s="13"/>
      <c r="B15" s="1"/>
      <c r="C15" s="7" t="s">
        <v>18</v>
      </c>
      <c r="D15" s="3">
        <v>100000</v>
      </c>
      <c r="E15" s="3">
        <v>100000</v>
      </c>
      <c r="F15" s="3">
        <v>2</v>
      </c>
      <c r="G15" s="6">
        <f t="shared" si="0"/>
        <v>1</v>
      </c>
    </row>
    <row r="16" spans="1:7" x14ac:dyDescent="0.25">
      <c r="A16" s="13"/>
      <c r="B16" s="1"/>
      <c r="C16" s="5" t="s">
        <v>19</v>
      </c>
      <c r="D16" s="3">
        <v>100</v>
      </c>
      <c r="E16" s="3">
        <v>100</v>
      </c>
      <c r="F16" s="3">
        <v>3</v>
      </c>
      <c r="G16" s="6">
        <f t="shared" si="0"/>
        <v>1</v>
      </c>
    </row>
    <row r="17" spans="1:7" x14ac:dyDescent="0.25">
      <c r="A17" s="13"/>
      <c r="B17" s="1"/>
      <c r="C17" s="5" t="s">
        <v>20</v>
      </c>
      <c r="D17" s="3">
        <v>100</v>
      </c>
      <c r="E17" s="3">
        <v>100</v>
      </c>
      <c r="F17" s="3">
        <v>4</v>
      </c>
      <c r="G17" s="6">
        <f t="shared" si="0"/>
        <v>1</v>
      </c>
    </row>
    <row r="18" spans="1:7" x14ac:dyDescent="0.25">
      <c r="A18" s="7"/>
      <c r="B18" s="1"/>
      <c r="C18" s="5" t="s">
        <v>21</v>
      </c>
      <c r="D18" s="3">
        <v>1</v>
      </c>
      <c r="E18" s="3">
        <v>1</v>
      </c>
      <c r="F18" s="3">
        <v>5</v>
      </c>
      <c r="G18" s="6">
        <f t="shared" si="0"/>
        <v>1</v>
      </c>
    </row>
    <row r="19" spans="1:7" x14ac:dyDescent="0.25">
      <c r="A19" s="7"/>
      <c r="B19" s="1"/>
      <c r="C19" s="5" t="s">
        <v>22</v>
      </c>
      <c r="D19" s="3">
        <v>100000</v>
      </c>
      <c r="E19" s="3">
        <v>100000</v>
      </c>
      <c r="F19" s="3">
        <v>6</v>
      </c>
      <c r="G19" s="6">
        <f t="shared" si="0"/>
        <v>1</v>
      </c>
    </row>
    <row r="20" spans="1:7" x14ac:dyDescent="0.25">
      <c r="A20" s="7"/>
      <c r="B20" s="1"/>
      <c r="C20" s="5" t="s">
        <v>23</v>
      </c>
      <c r="D20" s="3">
        <v>1</v>
      </c>
      <c r="E20" s="3">
        <v>1</v>
      </c>
      <c r="F20" s="3">
        <v>7</v>
      </c>
      <c r="G20" s="6">
        <f t="shared" si="0"/>
        <v>1</v>
      </c>
    </row>
    <row r="21" spans="1:7" x14ac:dyDescent="0.25">
      <c r="A21" s="7"/>
      <c r="B21" s="1"/>
      <c r="C21" s="7"/>
      <c r="D21" s="3"/>
      <c r="E21" s="3"/>
      <c r="F21" s="3"/>
      <c r="G21" s="1"/>
    </row>
    <row r="22" spans="1:7" x14ac:dyDescent="0.25">
      <c r="A22" s="26" t="s">
        <v>51</v>
      </c>
      <c r="B22" s="1"/>
      <c r="C22" s="7"/>
      <c r="D22" s="3"/>
      <c r="E22" s="3"/>
      <c r="F22" s="3"/>
      <c r="G22" s="1"/>
    </row>
    <row r="23" spans="1:7" x14ac:dyDescent="0.25">
      <c r="B23" s="1"/>
      <c r="C23" s="7"/>
      <c r="D23" s="3"/>
      <c r="E23" s="3"/>
      <c r="F23" s="3"/>
      <c r="G23" s="1"/>
    </row>
    <row r="24" spans="1:7" x14ac:dyDescent="0.25">
      <c r="C24" s="7" t="s">
        <v>24</v>
      </c>
      <c r="D24" s="14"/>
      <c r="E24" s="14"/>
      <c r="F24" s="15"/>
      <c r="G24" s="6">
        <f>PRODUCT(G2:G23)</f>
        <v>59.999999999999993</v>
      </c>
    </row>
    <row r="25" spans="1:7" x14ac:dyDescent="0.25">
      <c r="C25" s="7"/>
      <c r="D25" s="3"/>
      <c r="E25" s="3"/>
      <c r="F25" s="3"/>
      <c r="G25" s="1"/>
    </row>
    <row r="26" spans="1:7" x14ac:dyDescent="0.25">
      <c r="A26" t="s">
        <v>43</v>
      </c>
      <c r="B26" s="27">
        <v>39083</v>
      </c>
      <c r="D26" t="s">
        <v>44</v>
      </c>
    </row>
    <row r="27" spans="1:7" x14ac:dyDescent="0.25">
      <c r="A27" t="s">
        <v>45</v>
      </c>
      <c r="B27" s="27">
        <v>43465</v>
      </c>
      <c r="C27" s="5" t="s">
        <v>46</v>
      </c>
      <c r="D27" s="5">
        <f>B27-B26</f>
        <v>4382</v>
      </c>
      <c r="E27">
        <f>D27/D29</f>
        <v>0.70134443021766968</v>
      </c>
    </row>
    <row r="28" spans="1:7" x14ac:dyDescent="0.25">
      <c r="A28" t="s">
        <v>47</v>
      </c>
      <c r="B28" s="27">
        <v>45331</v>
      </c>
      <c r="C28" s="5" t="s">
        <v>48</v>
      </c>
      <c r="D28" s="5">
        <f>B28-B27</f>
        <v>1866</v>
      </c>
      <c r="E28">
        <f>D28/D29</f>
        <v>0.29865556978233032</v>
      </c>
    </row>
    <row r="29" spans="1:7" x14ac:dyDescent="0.25">
      <c r="D29" s="5">
        <f>B28-B26</f>
        <v>6248</v>
      </c>
    </row>
    <row r="30" spans="1:7" x14ac:dyDescent="0.25">
      <c r="A30" t="s">
        <v>49</v>
      </c>
    </row>
    <row r="31" spans="1:7" x14ac:dyDescent="0.25">
      <c r="A31" t="s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345D4-2BAB-4852-9207-9D7A655FB64F}">
  <dimension ref="A1:V75"/>
  <sheetViews>
    <sheetView workbookViewId="0">
      <pane ySplit="2" topLeftCell="A57" activePane="bottomLeft" state="frozen"/>
      <selection pane="bottomLeft" activeCell="O75" sqref="O75"/>
    </sheetView>
  </sheetViews>
  <sheetFormatPr baseColWidth="10" defaultRowHeight="15" x14ac:dyDescent="0.25"/>
  <cols>
    <col min="1" max="1" width="21.25" style="52" bestFit="1" customWidth="1"/>
    <col min="2" max="4" width="15" style="53" bestFit="1" customWidth="1"/>
    <col min="5" max="5" width="7.875" style="52" bestFit="1" customWidth="1"/>
    <col min="6" max="6" width="7.5" style="54" bestFit="1" customWidth="1"/>
    <col min="7" max="7" width="8.375" style="55" bestFit="1" customWidth="1"/>
    <col min="8" max="8" width="8.25" style="55" bestFit="1" customWidth="1"/>
    <col min="9" max="9" width="14" style="53" bestFit="1" customWidth="1"/>
    <col min="10" max="10" width="6.125" style="56" bestFit="1" customWidth="1"/>
    <col min="11" max="11" width="9.375" style="56" bestFit="1" customWidth="1"/>
    <col min="12" max="12" width="7.25" style="54" bestFit="1" customWidth="1"/>
    <col min="13" max="13" width="17.375" style="57" bestFit="1" customWidth="1"/>
    <col min="14" max="14" width="17.375" style="55" bestFit="1" customWidth="1"/>
    <col min="15" max="15" width="17.375" style="54" bestFit="1" customWidth="1"/>
  </cols>
  <sheetData>
    <row r="1" spans="1:22" s="52" customFormat="1" ht="67.5" customHeight="1" x14ac:dyDescent="0.25">
      <c r="A1" s="71" t="s">
        <v>55</v>
      </c>
      <c r="B1" s="30" t="s">
        <v>25</v>
      </c>
      <c r="C1" s="51" t="s">
        <v>26</v>
      </c>
      <c r="D1" s="51" t="s">
        <v>27</v>
      </c>
      <c r="E1" s="51" t="s">
        <v>28</v>
      </c>
      <c r="F1" s="51" t="s">
        <v>29</v>
      </c>
      <c r="G1" s="51" t="s">
        <v>30</v>
      </c>
      <c r="H1" s="51" t="s">
        <v>31</v>
      </c>
      <c r="I1" s="51" t="s">
        <v>32</v>
      </c>
      <c r="J1" s="28" t="s">
        <v>52</v>
      </c>
      <c r="K1" s="29" t="s">
        <v>54</v>
      </c>
      <c r="L1" s="17" t="s">
        <v>35</v>
      </c>
      <c r="M1" s="51" t="s">
        <v>33</v>
      </c>
      <c r="N1" s="51" t="s">
        <v>34</v>
      </c>
      <c r="O1" s="51" t="s">
        <v>53</v>
      </c>
      <c r="P1" s="71" t="s">
        <v>68</v>
      </c>
      <c r="Q1" s="71" t="s">
        <v>69</v>
      </c>
      <c r="R1" s="71" t="s">
        <v>70</v>
      </c>
      <c r="S1" s="71" t="s">
        <v>71</v>
      </c>
      <c r="T1" s="71" t="s">
        <v>72</v>
      </c>
      <c r="U1" s="71" t="s">
        <v>73</v>
      </c>
      <c r="V1" s="71" t="s">
        <v>74</v>
      </c>
    </row>
    <row r="2" spans="1:22" x14ac:dyDescent="0.25">
      <c r="A2" s="73" t="s">
        <v>75</v>
      </c>
      <c r="B2" s="31">
        <v>322109.78999999998</v>
      </c>
      <c r="C2" s="31">
        <v>435696.05</v>
      </c>
      <c r="D2" s="31">
        <v>-113586.26</v>
      </c>
      <c r="E2" s="19">
        <v>483</v>
      </c>
      <c r="F2" s="32">
        <v>49.068322981366499</v>
      </c>
      <c r="G2" s="33">
        <v>237</v>
      </c>
      <c r="H2" s="33">
        <v>246</v>
      </c>
      <c r="I2" s="31">
        <v>-103042.65</v>
      </c>
      <c r="J2" s="34">
        <v>0.15306049225176899</v>
      </c>
      <c r="K2" s="34">
        <v>0.292215115596551</v>
      </c>
      <c r="L2" s="32">
        <f>-OPTI4_UPI_INS[[#This Row],[Net Profit]]/OPTI4_UPI_INS[[#This Row],[Max Intraday Drawdown]]</f>
        <v>3.1259851139309789</v>
      </c>
      <c r="M2" s="35">
        <v>0.5</v>
      </c>
      <c r="N2" s="32">
        <v>0.2</v>
      </c>
      <c r="O2" s="58">
        <v>0.25683657993579889</v>
      </c>
      <c r="P2" s="72">
        <f>(OPTI4_UPI_INS[[#This Row],[Net Profit]]-B$74)/ABS(B$74)</f>
        <v>-0.45367005954781442</v>
      </c>
      <c r="Q2" s="72">
        <f>(OPTI4_UPI_INS[[#This Row],[UPI]]-J$74)/ABS(J$74)</f>
        <v>0</v>
      </c>
      <c r="R2" s="72">
        <f>(OPTI4_UPI_INS[[#This Row],[SORTINO AJUSTADO]]-K$74)/ABS(K$74)</f>
        <v>-5.041287185392436E-2</v>
      </c>
      <c r="S2" s="72">
        <f>(OPTI4_UPI_INS[[#This Row],[RECOVERY]]-L$74)/ABS(L$74)</f>
        <v>-0.29806009321003707</v>
      </c>
      <c r="T2" s="72">
        <f>(OPTI4_UPI_INS[[#This Row],[ROB]]-O$74)/ABS(O$74)</f>
        <v>-0.80085481818448601</v>
      </c>
      <c r="U2" s="72">
        <f>SUM(OPTI4_UPI_INS[[#This Row],[VAR NET PROFIT]:[VAR ROB]])</f>
        <v>-1.6029978427962619</v>
      </c>
      <c r="V2" s="72">
        <f>OPTI4_UPI_INS[[#This Row],[SUMA]]-OPTI4_UPI_INS[[#This Row],[VAR ROB]]</f>
        <v>-0.80214302461177589</v>
      </c>
    </row>
    <row r="3" spans="1:22" x14ac:dyDescent="0.25">
      <c r="A3" s="73" t="s">
        <v>76</v>
      </c>
      <c r="B3" s="41">
        <v>589588.39</v>
      </c>
      <c r="C3" s="41">
        <v>857728.33</v>
      </c>
      <c r="D3" s="41">
        <v>-268139.94</v>
      </c>
      <c r="E3" s="42">
        <v>762</v>
      </c>
      <c r="F3" s="43">
        <v>43.307086614173201</v>
      </c>
      <c r="G3" s="44">
        <v>330</v>
      </c>
      <c r="H3" s="44">
        <v>432</v>
      </c>
      <c r="I3" s="36">
        <v>-315018.44</v>
      </c>
      <c r="J3" s="39">
        <v>0.122449417446725</v>
      </c>
      <c r="K3" s="39">
        <v>0.307728597971896</v>
      </c>
      <c r="L3" s="37">
        <f>-OPTI4_UPI_INS[[#This Row],[Net Profit]]/OPTI4_UPI_INS[[#This Row],[Max Intraday Drawdown]]</f>
        <v>1.8715996117560609</v>
      </c>
      <c r="M3" s="40">
        <v>1</v>
      </c>
      <c r="N3" s="37">
        <v>0.24</v>
      </c>
      <c r="O3" s="59">
        <v>0.22022668791040578</v>
      </c>
      <c r="P3" s="72">
        <f>(OPTI4_UPI_INS[[#This Row],[Net Profit]]-B$74)/ABS(B$74)</f>
        <v>0</v>
      </c>
      <c r="Q3" s="72">
        <f>(OPTI4_UPI_INS[[#This Row],[UPI]]-J$74)/ABS(J$74)</f>
        <v>-0.19999331215198157</v>
      </c>
      <c r="R3" s="72">
        <f>(OPTI4_UPI_INS[[#This Row],[SORTINO AJUSTADO]]-K$74)/ABS(K$74)</f>
        <v>0</v>
      </c>
      <c r="S3" s="72">
        <f>(OPTI4_UPI_INS[[#This Row],[RECOVERY]]-L$74)/ABS(L$74)</f>
        <v>-0.57973233744158281</v>
      </c>
      <c r="T3" s="72">
        <f>(OPTI4_UPI_INS[[#This Row],[ROB]]-O$74)/ABS(O$74)</f>
        <v>-0.82924128714255152</v>
      </c>
      <c r="U3" s="72">
        <f>SUM(OPTI4_UPI_INS[[#This Row],[VAR NET PROFIT]:[VAR ROB]])</f>
        <v>-1.6089669367361159</v>
      </c>
      <c r="V3" s="72">
        <f>OPTI4_UPI_INS[[#This Row],[SUMA]]-OPTI4_UPI_INS[[#This Row],[VAR ROB]]</f>
        <v>-0.77972564959356438</v>
      </c>
    </row>
    <row r="4" spans="1:22" x14ac:dyDescent="0.25">
      <c r="A4" s="73" t="s">
        <v>77</v>
      </c>
      <c r="B4" s="74">
        <v>560618.42000000004</v>
      </c>
      <c r="C4" s="74">
        <v>851225.1</v>
      </c>
      <c r="D4" s="74">
        <v>-290606.68</v>
      </c>
      <c r="E4" s="75">
        <v>891</v>
      </c>
      <c r="F4" s="76">
        <v>42.536475869809202</v>
      </c>
      <c r="G4" s="77">
        <v>379</v>
      </c>
      <c r="H4" s="77">
        <v>512</v>
      </c>
      <c r="I4" s="74">
        <v>-261982.91</v>
      </c>
      <c r="J4" s="78">
        <v>0.11835850623566301</v>
      </c>
      <c r="K4" s="78">
        <v>0.30350887306411201</v>
      </c>
      <c r="L4" s="76">
        <f>-OPTI4_UPI_INS[[#This Row],[Net Profit]]/OPTI4_UPI_INS[[#This Row],[Max Intraday Drawdown]]</f>
        <v>2.1399045456820067</v>
      </c>
      <c r="M4" s="79">
        <v>1</v>
      </c>
      <c r="N4" s="76">
        <v>0.22</v>
      </c>
      <c r="O4" s="80">
        <v>0.22676013055247946</v>
      </c>
      <c r="P4" s="72">
        <f>(OPTI4_UPI_INS[[#This Row],[Net Profit]]-B$74)/ABS(B$74)</f>
        <v>-4.9135923453309471E-2</v>
      </c>
      <c r="Q4" s="72">
        <f>(OPTI4_UPI_INS[[#This Row],[UPI]]-J$74)/ABS(J$74)</f>
        <v>-0.22672072659367079</v>
      </c>
      <c r="R4" s="72">
        <f>(OPTI4_UPI_INS[[#This Row],[SORTINO AJUSTADO]]-K$74)/ABS(K$74)</f>
        <v>-1.3712488652645051E-2</v>
      </c>
      <c r="S4" s="72">
        <f>(OPTI4_UPI_INS[[#This Row],[RECOVERY]]-L$74)/ABS(L$74)</f>
        <v>-0.51948446886666411</v>
      </c>
      <c r="T4" s="72">
        <f>(OPTI4_UPI_INS[[#This Row],[ROB]]-O$74)/ABS(O$74)</f>
        <v>-0.82417540586052307</v>
      </c>
      <c r="U4" s="72">
        <f>SUM(OPTI4_UPI_INS[[#This Row],[VAR NET PROFIT]:[VAR ROB]])</f>
        <v>-1.6332290134268126</v>
      </c>
      <c r="V4" s="72">
        <f>OPTI4_UPI_INS[[#This Row],[SUMA]]-OPTI4_UPI_INS[[#This Row],[VAR ROB]]</f>
        <v>-0.80905360756628952</v>
      </c>
    </row>
    <row r="5" spans="1:22" x14ac:dyDescent="0.25">
      <c r="A5" s="73" t="s">
        <v>78</v>
      </c>
      <c r="B5" s="74">
        <v>249262.72</v>
      </c>
      <c r="C5" s="74">
        <v>357589.38</v>
      </c>
      <c r="D5" s="74">
        <v>-108326.66</v>
      </c>
      <c r="E5" s="75">
        <v>552</v>
      </c>
      <c r="F5" s="76">
        <v>48.188405797101503</v>
      </c>
      <c r="G5" s="77">
        <v>266</v>
      </c>
      <c r="H5" s="77">
        <v>286</v>
      </c>
      <c r="I5" s="74">
        <v>-69416.689999999697</v>
      </c>
      <c r="J5" s="78">
        <v>0.13791055327919799</v>
      </c>
      <c r="K5" s="78">
        <v>0.28844268755485297</v>
      </c>
      <c r="L5" s="76">
        <f>-OPTI4_UPI_INS[[#This Row],[Net Profit]]/OPTI4_UPI_INS[[#This Row],[Max Intraday Drawdown]]</f>
        <v>3.5908182888005911</v>
      </c>
      <c r="M5" s="79">
        <v>0.5</v>
      </c>
      <c r="N5" s="76">
        <v>0.18</v>
      </c>
      <c r="O5" s="80">
        <v>0.33632118430705504</v>
      </c>
      <c r="P5" s="72">
        <f>(OPTI4_UPI_INS[[#This Row],[Net Profit]]-B$74)/ABS(B$74)</f>
        <v>-0.57722586769390083</v>
      </c>
      <c r="Q5" s="72">
        <f>(OPTI4_UPI_INS[[#This Row],[UPI]]-J$74)/ABS(J$74)</f>
        <v>-9.8980074803698428E-2</v>
      </c>
      <c r="R5" s="72">
        <f>(OPTI4_UPI_INS[[#This Row],[SORTINO AJUSTADO]]-K$74)/ABS(K$74)</f>
        <v>-6.267181712765077E-2</v>
      </c>
      <c r="S5" s="72">
        <f>(OPTI4_UPI_INS[[#This Row],[RECOVERY]]-L$74)/ABS(L$74)</f>
        <v>-0.19368181130883205</v>
      </c>
      <c r="T5" s="72">
        <f>(OPTI4_UPI_INS[[#This Row],[ROB]]-O$74)/ABS(O$74)</f>
        <v>-0.73922428256138784</v>
      </c>
      <c r="U5" s="72">
        <f>SUM(OPTI4_UPI_INS[[#This Row],[VAR NET PROFIT]:[VAR ROB]])</f>
        <v>-1.6717838534954699</v>
      </c>
      <c r="V5" s="72">
        <f>OPTI4_UPI_INS[[#This Row],[SUMA]]-OPTI4_UPI_INS[[#This Row],[VAR ROB]]</f>
        <v>-0.93255957093408204</v>
      </c>
    </row>
    <row r="6" spans="1:22" x14ac:dyDescent="0.25">
      <c r="A6" s="73" t="s">
        <v>79</v>
      </c>
      <c r="B6" s="74">
        <v>280474.86</v>
      </c>
      <c r="C6" s="74">
        <v>388289.35</v>
      </c>
      <c r="D6" s="74">
        <v>-107814.49</v>
      </c>
      <c r="E6" s="75">
        <v>513</v>
      </c>
      <c r="F6" s="76">
        <v>49.317738791422997</v>
      </c>
      <c r="G6" s="77">
        <v>253</v>
      </c>
      <c r="H6" s="77">
        <v>260</v>
      </c>
      <c r="I6" s="74">
        <v>-83742.139999999694</v>
      </c>
      <c r="J6" s="78">
        <v>0.13833715908368599</v>
      </c>
      <c r="K6" s="78">
        <v>0.28776462230465899</v>
      </c>
      <c r="L6" s="76">
        <f>-OPTI4_UPI_INS[[#This Row],[Net Profit]]/OPTI4_UPI_INS[[#This Row],[Max Intraday Drawdown]]</f>
        <v>3.3492678835291407</v>
      </c>
      <c r="M6" s="79">
        <v>0.5</v>
      </c>
      <c r="N6" s="76">
        <v>0.19</v>
      </c>
      <c r="O6" s="80">
        <v>0.28646012112708824</v>
      </c>
      <c r="P6" s="72">
        <f>(OPTI4_UPI_INS[[#This Row],[Net Profit]]-B$74)/ABS(B$74)</f>
        <v>-0.52428700300560538</v>
      </c>
      <c r="Q6" s="72">
        <f>(OPTI4_UPI_INS[[#This Row],[UPI]]-J$74)/ABS(J$74)</f>
        <v>-9.6192903547341321E-2</v>
      </c>
      <c r="R6" s="72">
        <f>(OPTI4_UPI_INS[[#This Row],[SORTINO AJUSTADO]]-K$74)/ABS(K$74)</f>
        <v>-6.4875269308120223E-2</v>
      </c>
      <c r="S6" s="72">
        <f>(OPTI4_UPI_INS[[#This Row],[RECOVERY]]-L$74)/ABS(L$74)</f>
        <v>-0.2479219509069707</v>
      </c>
      <c r="T6" s="72">
        <f>(OPTI4_UPI_INS[[#This Row],[ROB]]-O$74)/ABS(O$74)</f>
        <v>-0.77788540511243331</v>
      </c>
      <c r="U6" s="72">
        <f>SUM(OPTI4_UPI_INS[[#This Row],[VAR NET PROFIT]:[VAR ROB]])</f>
        <v>-1.7111625318804711</v>
      </c>
      <c r="V6" s="72">
        <f>OPTI4_UPI_INS[[#This Row],[SUMA]]-OPTI4_UPI_INS[[#This Row],[VAR ROB]]</f>
        <v>-0.93327712676803776</v>
      </c>
    </row>
    <row r="7" spans="1:22" x14ac:dyDescent="0.25">
      <c r="A7" s="73" t="s">
        <v>80</v>
      </c>
      <c r="B7" s="74">
        <v>332644.67</v>
      </c>
      <c r="C7" s="74">
        <v>446115.43</v>
      </c>
      <c r="D7" s="74">
        <v>-113470.76</v>
      </c>
      <c r="E7" s="75">
        <v>447</v>
      </c>
      <c r="F7" s="76">
        <v>49.440715883668901</v>
      </c>
      <c r="G7" s="77">
        <v>221</v>
      </c>
      <c r="H7" s="77">
        <v>226</v>
      </c>
      <c r="I7" s="74">
        <v>-119739.43</v>
      </c>
      <c r="J7" s="78">
        <v>0.14587619036697899</v>
      </c>
      <c r="K7" s="78">
        <v>0.29299176403820398</v>
      </c>
      <c r="L7" s="76">
        <f>-OPTI4_UPI_INS[[#This Row],[Net Profit]]/OPTI4_UPI_INS[[#This Row],[Max Intraday Drawdown]]</f>
        <v>2.7780712669168377</v>
      </c>
      <c r="M7" s="79">
        <v>0.5</v>
      </c>
      <c r="N7" s="76">
        <v>0.21</v>
      </c>
      <c r="O7" s="80">
        <v>0.22900400119830064</v>
      </c>
      <c r="P7" s="72">
        <f>(OPTI4_UPI_INS[[#This Row],[Net Profit]]-B$74)/ABS(B$74)</f>
        <v>-0.43580186509439239</v>
      </c>
      <c r="Q7" s="72">
        <f>(OPTI4_UPI_INS[[#This Row],[UPI]]-J$74)/ABS(J$74)</f>
        <v>-4.6937663528303225E-2</v>
      </c>
      <c r="R7" s="72">
        <f>(OPTI4_UPI_INS[[#This Row],[SORTINO AJUSTADO]]-K$74)/ABS(K$74)</f>
        <v>-4.7889062085279092E-2</v>
      </c>
      <c r="S7" s="72">
        <f>(OPTI4_UPI_INS[[#This Row],[RECOVERY]]-L$74)/ABS(L$74)</f>
        <v>-0.37618414193173416</v>
      </c>
      <c r="T7" s="72">
        <f>(OPTI4_UPI_INS[[#This Row],[ROB]]-O$74)/ABS(O$74)</f>
        <v>-0.82243556012731689</v>
      </c>
      <c r="U7" s="72">
        <f>SUM(OPTI4_UPI_INS[[#This Row],[VAR NET PROFIT]:[VAR ROB]])</f>
        <v>-1.7292482927670259</v>
      </c>
      <c r="V7" s="72">
        <f>OPTI4_UPI_INS[[#This Row],[SUMA]]-OPTI4_UPI_INS[[#This Row],[VAR ROB]]</f>
        <v>-0.90681273263970896</v>
      </c>
    </row>
    <row r="8" spans="1:22" x14ac:dyDescent="0.25">
      <c r="A8" s="73" t="s">
        <v>81</v>
      </c>
      <c r="B8" s="74">
        <v>346773.81</v>
      </c>
      <c r="C8" s="74">
        <v>457853.03</v>
      </c>
      <c r="D8" s="74">
        <v>-111079.22</v>
      </c>
      <c r="E8" s="75">
        <v>426</v>
      </c>
      <c r="F8" s="76">
        <v>49.295774647887299</v>
      </c>
      <c r="G8" s="77">
        <v>210</v>
      </c>
      <c r="H8" s="77">
        <v>216</v>
      </c>
      <c r="I8" s="74">
        <v>-135041.51</v>
      </c>
      <c r="J8" s="78">
        <v>0.14281548081458501</v>
      </c>
      <c r="K8" s="78">
        <v>0.30109990378186002</v>
      </c>
      <c r="L8" s="76">
        <f>-OPTI4_UPI_INS[[#This Row],[Net Profit]]/OPTI4_UPI_INS[[#This Row],[Max Intraday Drawdown]]</f>
        <v>2.5679053055612306</v>
      </c>
      <c r="M8" s="79">
        <v>0.5</v>
      </c>
      <c r="N8" s="76">
        <v>0.22</v>
      </c>
      <c r="O8" s="80">
        <v>0.24489225603433848</v>
      </c>
      <c r="P8" s="72">
        <f>(OPTI4_UPI_INS[[#This Row],[Net Profit]]-B$74)/ABS(B$74)</f>
        <v>-0.4118374515481894</v>
      </c>
      <c r="Q8" s="72">
        <f>(OPTI4_UPI_INS[[#This Row],[UPI]]-J$74)/ABS(J$74)</f>
        <v>-6.6934394934075978E-2</v>
      </c>
      <c r="R8" s="72">
        <f>(OPTI4_UPI_INS[[#This Row],[SORTINO AJUSTADO]]-K$74)/ABS(K$74)</f>
        <v>-2.1540715532202041E-2</v>
      </c>
      <c r="S8" s="72">
        <f>(OPTI4_UPI_INS[[#This Row],[RECOVERY]]-L$74)/ABS(L$74)</f>
        <v>-0.42337690515601706</v>
      </c>
      <c r="T8" s="72">
        <f>(OPTI4_UPI_INS[[#This Row],[ROB]]-O$74)/ABS(O$74)</f>
        <v>-0.81011617244957679</v>
      </c>
      <c r="U8" s="72">
        <f>SUM(OPTI4_UPI_INS[[#This Row],[VAR NET PROFIT]:[VAR ROB]])</f>
        <v>-1.7338056396200612</v>
      </c>
      <c r="V8" s="72">
        <f>OPTI4_UPI_INS[[#This Row],[SUMA]]-OPTI4_UPI_INS[[#This Row],[VAR ROB]]</f>
        <v>-0.92368946717048439</v>
      </c>
    </row>
    <row r="9" spans="1:22" x14ac:dyDescent="0.25">
      <c r="A9" s="73" t="s">
        <v>82</v>
      </c>
      <c r="B9" s="74">
        <v>192605.5</v>
      </c>
      <c r="C9" s="74">
        <v>299592.38</v>
      </c>
      <c r="D9" s="74">
        <v>-106986.88</v>
      </c>
      <c r="E9" s="75">
        <v>630</v>
      </c>
      <c r="F9" s="76">
        <v>45.396825396825399</v>
      </c>
      <c r="G9" s="77">
        <v>286</v>
      </c>
      <c r="H9" s="77">
        <v>344</v>
      </c>
      <c r="I9" s="74">
        <v>-48746.309999999903</v>
      </c>
      <c r="J9" s="78">
        <v>0.13015694717012699</v>
      </c>
      <c r="K9" s="78">
        <v>0.26829694974935597</v>
      </c>
      <c r="L9" s="76">
        <f>-OPTI4_UPI_INS[[#This Row],[Net Profit]]/OPTI4_UPI_INS[[#This Row],[Max Intraday Drawdown]]</f>
        <v>3.9511811252995432</v>
      </c>
      <c r="M9" s="79">
        <v>0.5</v>
      </c>
      <c r="N9" s="76">
        <v>0.16</v>
      </c>
      <c r="O9" s="80">
        <v>0.41740479519996254</v>
      </c>
      <c r="P9" s="72">
        <f>(OPTI4_UPI_INS[[#This Row],[Net Profit]]-B$74)/ABS(B$74)</f>
        <v>-0.67332209509756458</v>
      </c>
      <c r="Q9" s="72">
        <f>(OPTI4_UPI_INS[[#This Row],[UPI]]-J$74)/ABS(J$74)</f>
        <v>-0.14963721039109157</v>
      </c>
      <c r="R9" s="72">
        <f>(OPTI4_UPI_INS[[#This Row],[SORTINO AJUSTADO]]-K$74)/ABS(K$74)</f>
        <v>-0.12813774372098238</v>
      </c>
      <c r="S9" s="72">
        <f>(OPTI4_UPI_INS[[#This Row],[RECOVERY]]-L$74)/ABS(L$74)</f>
        <v>-0.1127623421996051</v>
      </c>
      <c r="T9" s="72">
        <f>(OPTI4_UPI_INS[[#This Row],[ROB]]-O$74)/ABS(O$74)</f>
        <v>-0.67635391402758005</v>
      </c>
      <c r="U9" s="72">
        <f>SUM(OPTI4_UPI_INS[[#This Row],[VAR NET PROFIT]:[VAR ROB]])</f>
        <v>-1.7402133054368236</v>
      </c>
      <c r="V9" s="72">
        <f>OPTI4_UPI_INS[[#This Row],[SUMA]]-OPTI4_UPI_INS[[#This Row],[VAR ROB]]</f>
        <v>-1.0638593914092436</v>
      </c>
    </row>
    <row r="10" spans="1:22" x14ac:dyDescent="0.25">
      <c r="A10" s="73" t="s">
        <v>83</v>
      </c>
      <c r="B10" s="74">
        <v>359073.96</v>
      </c>
      <c r="C10" s="74">
        <v>466983.93</v>
      </c>
      <c r="D10" s="74">
        <v>-107909.97</v>
      </c>
      <c r="E10" s="75">
        <v>401</v>
      </c>
      <c r="F10" s="76">
        <v>49.875311720698299</v>
      </c>
      <c r="G10" s="77">
        <v>200</v>
      </c>
      <c r="H10" s="77">
        <v>201</v>
      </c>
      <c r="I10" s="74">
        <v>-150398.85</v>
      </c>
      <c r="J10" s="78">
        <v>0.14083134837564601</v>
      </c>
      <c r="K10" s="78">
        <v>0.30517565286706</v>
      </c>
      <c r="L10" s="76">
        <f>-OPTI4_UPI_INS[[#This Row],[Net Profit]]/OPTI4_UPI_INS[[#This Row],[Max Intraday Drawdown]]</f>
        <v>2.3874780957434183</v>
      </c>
      <c r="M10" s="79">
        <v>0.5</v>
      </c>
      <c r="N10" s="76">
        <v>0.23</v>
      </c>
      <c r="O10" s="80">
        <v>0.25532354092068982</v>
      </c>
      <c r="P10" s="72">
        <f>(OPTI4_UPI_INS[[#This Row],[Net Profit]]-B$74)/ABS(B$74)</f>
        <v>-0.39097518524745711</v>
      </c>
      <c r="Q10" s="72">
        <f>(OPTI4_UPI_INS[[#This Row],[UPI]]-J$74)/ABS(J$74)</f>
        <v>-7.9897455549844149E-2</v>
      </c>
      <c r="R10" s="72">
        <f>(OPTI4_UPI_INS[[#This Row],[SORTINO AJUSTADO]]-K$74)/ABS(K$74)</f>
        <v>-8.296093121215712E-3</v>
      </c>
      <c r="S10" s="72">
        <f>(OPTI4_UPI_INS[[#This Row],[RECOVERY]]-L$74)/ABS(L$74)</f>
        <v>-0.4638918322033263</v>
      </c>
      <c r="T10" s="72">
        <f>(OPTI4_UPI_INS[[#This Row],[ROB]]-O$74)/ABS(O$74)</f>
        <v>-0.80202799386621026</v>
      </c>
      <c r="U10" s="72">
        <f>SUM(OPTI4_UPI_INS[[#This Row],[VAR NET PROFIT]:[VAR ROB]])</f>
        <v>-1.7450885599880537</v>
      </c>
      <c r="V10" s="72">
        <f>OPTI4_UPI_INS[[#This Row],[SUMA]]-OPTI4_UPI_INS[[#This Row],[VAR ROB]]</f>
        <v>-0.94306056612184341</v>
      </c>
    </row>
    <row r="11" spans="1:22" x14ac:dyDescent="0.25">
      <c r="A11" s="73" t="s">
        <v>84</v>
      </c>
      <c r="B11" s="74">
        <v>536350.37</v>
      </c>
      <c r="C11" s="74">
        <v>836461.48</v>
      </c>
      <c r="D11" s="74">
        <v>-300111.11</v>
      </c>
      <c r="E11" s="75">
        <v>977</v>
      </c>
      <c r="F11" s="76">
        <v>41.862845445240502</v>
      </c>
      <c r="G11" s="77">
        <v>409</v>
      </c>
      <c r="H11" s="77">
        <v>568</v>
      </c>
      <c r="I11" s="74">
        <v>-280070.09000000003</v>
      </c>
      <c r="J11" s="78">
        <v>0.113195372543945</v>
      </c>
      <c r="K11" s="78">
        <v>0.28829119182454599</v>
      </c>
      <c r="L11" s="76">
        <f>-OPTI4_UPI_INS[[#This Row],[Net Profit]]/OPTI4_UPI_INS[[#This Row],[Max Intraday Drawdown]]</f>
        <v>1.9150576557461025</v>
      </c>
      <c r="M11" s="79">
        <v>1.5</v>
      </c>
      <c r="N11" s="76">
        <v>0.22</v>
      </c>
      <c r="O11" s="80">
        <v>0.27924203757236116</v>
      </c>
      <c r="P11" s="72">
        <f>(OPTI4_UPI_INS[[#This Row],[Net Profit]]-B$74)/ABS(B$74)</f>
        <v>-9.029692731907428E-2</v>
      </c>
      <c r="Q11" s="72">
        <f>(OPTI4_UPI_INS[[#This Row],[UPI]]-J$74)/ABS(J$74)</f>
        <v>-0.26045336142163916</v>
      </c>
      <c r="R11" s="72">
        <f>(OPTI4_UPI_INS[[#This Row],[SORTINO AJUSTADO]]-K$74)/ABS(K$74)</f>
        <v>-6.3164120187247513E-2</v>
      </c>
      <c r="S11" s="72">
        <f>(OPTI4_UPI_INS[[#This Row],[RECOVERY]]-L$74)/ABS(L$74)</f>
        <v>-0.56997383436628057</v>
      </c>
      <c r="T11" s="72">
        <f>(OPTI4_UPI_INS[[#This Row],[ROB]]-O$74)/ABS(O$74)</f>
        <v>-0.78348214122465298</v>
      </c>
      <c r="U11" s="72">
        <f>SUM(OPTI4_UPI_INS[[#This Row],[VAR NET PROFIT]:[VAR ROB]])</f>
        <v>-1.7673703845188946</v>
      </c>
      <c r="V11" s="72">
        <f>OPTI4_UPI_INS[[#This Row],[SUMA]]-OPTI4_UPI_INS[[#This Row],[VAR ROB]]</f>
        <v>-0.98388824329424163</v>
      </c>
    </row>
    <row r="12" spans="1:22" x14ac:dyDescent="0.25">
      <c r="A12" s="72"/>
      <c r="B12" s="53">
        <v>565063.28</v>
      </c>
      <c r="C12" s="53">
        <v>847267.37</v>
      </c>
      <c r="D12" s="53">
        <v>-282204.09000000003</v>
      </c>
      <c r="E12" s="52">
        <v>864</v>
      </c>
      <c r="F12" s="54">
        <v>41.6666666666667</v>
      </c>
      <c r="G12" s="55">
        <v>360</v>
      </c>
      <c r="H12" s="55">
        <v>504</v>
      </c>
      <c r="I12" s="53">
        <v>-329127.37</v>
      </c>
      <c r="J12" s="56">
        <v>0.1120608465033</v>
      </c>
      <c r="K12" s="56">
        <v>0.29095328906514401</v>
      </c>
      <c r="L12" s="54">
        <f>-OPTI4_UPI_INS[[#This Row],[Net Profit]]/OPTI4_UPI_INS[[#This Row],[Max Intraday Drawdown]]</f>
        <v>1.7168529010516507</v>
      </c>
      <c r="M12" s="57">
        <v>0</v>
      </c>
      <c r="N12" s="54">
        <v>0.24</v>
      </c>
      <c r="O12" s="50">
        <v>0.26447328396141728</v>
      </c>
      <c r="P12" s="72">
        <f>(OPTI4_UPI_INS[[#This Row],[Net Profit]]-B$74)/ABS(B$74)</f>
        <v>-4.159700295319585E-2</v>
      </c>
      <c r="Q12" s="72">
        <f>(OPTI4_UPI_INS[[#This Row],[UPI]]-J$74)/ABS(J$74)</f>
        <v>-0.26786563368049754</v>
      </c>
      <c r="R12" s="72">
        <f>(OPTI4_UPI_INS[[#This Row],[SORTINO AJUSTADO]]-K$74)/ABS(K$74)</f>
        <v>-5.4513324459639717E-2</v>
      </c>
      <c r="S12" s="72">
        <f>(OPTI4_UPI_INS[[#This Row],[RECOVERY]]-L$74)/ABS(L$74)</f>
        <v>-0.61448070882819883</v>
      </c>
      <c r="T12" s="72">
        <f>(OPTI4_UPI_INS[[#This Row],[ROB]]-O$74)/ABS(O$74)</f>
        <v>-0.79493349337929997</v>
      </c>
      <c r="U12" s="72">
        <f>SUM(OPTI4_UPI_INS[[#This Row],[VAR NET PROFIT]:[VAR ROB]])</f>
        <v>-1.773390163300832</v>
      </c>
      <c r="V12" s="72">
        <f>OPTI4_UPI_INS[[#This Row],[SUMA]]-OPTI4_UPI_INS[[#This Row],[VAR ROB]]</f>
        <v>-0.97845666992153202</v>
      </c>
    </row>
    <row r="13" spans="1:22" x14ac:dyDescent="0.25">
      <c r="A13" s="72"/>
      <c r="B13" s="53">
        <v>534274.35</v>
      </c>
      <c r="C13" s="53">
        <v>839007.56</v>
      </c>
      <c r="D13" s="53">
        <v>-304733.21000000002</v>
      </c>
      <c r="E13" s="52">
        <v>1049</v>
      </c>
      <c r="F13" s="54">
        <v>42.040038131553899</v>
      </c>
      <c r="G13" s="55">
        <v>441</v>
      </c>
      <c r="H13" s="55">
        <v>608</v>
      </c>
      <c r="I13" s="53">
        <v>-259613.16</v>
      </c>
      <c r="J13" s="56">
        <v>0.11018234294229701</v>
      </c>
      <c r="K13" s="56">
        <v>0.28588085255671902</v>
      </c>
      <c r="L13" s="54">
        <f>-OPTI4_UPI_INS[[#This Row],[Net Profit]]/OPTI4_UPI_INS[[#This Row],[Max Intraday Drawdown]]</f>
        <v>2.0579632789031188</v>
      </c>
      <c r="M13" s="57">
        <v>1.5</v>
      </c>
      <c r="N13" s="54">
        <v>0.21</v>
      </c>
      <c r="O13" s="50">
        <v>0.26736515210026124</v>
      </c>
      <c r="P13" s="72">
        <f>(OPTI4_UPI_INS[[#This Row],[Net Profit]]-B$74)/ABS(B$74)</f>
        <v>-9.38180617837472E-2</v>
      </c>
      <c r="Q13" s="72">
        <f>(OPTI4_UPI_INS[[#This Row],[UPI]]-J$74)/ABS(J$74)</f>
        <v>-0.28013858232561917</v>
      </c>
      <c r="R13" s="72">
        <f>(OPTI4_UPI_INS[[#This Row],[SORTINO AJUSTADO]]-K$74)/ABS(K$74)</f>
        <v>-7.0996798994847635E-2</v>
      </c>
      <c r="S13" s="72">
        <f>(OPTI4_UPI_INS[[#This Row],[RECOVERY]]-L$74)/ABS(L$74)</f>
        <v>-0.53788437899697639</v>
      </c>
      <c r="T13" s="72">
        <f>(OPTI4_UPI_INS[[#This Row],[ROB]]-O$74)/ABS(O$74)</f>
        <v>-0.79269120528139525</v>
      </c>
      <c r="U13" s="72">
        <f>SUM(OPTI4_UPI_INS[[#This Row],[VAR NET PROFIT]:[VAR ROB]])</f>
        <v>-1.7755290273825857</v>
      </c>
      <c r="V13" s="72">
        <f>OPTI4_UPI_INS[[#This Row],[SUMA]]-OPTI4_UPI_INS[[#This Row],[VAR ROB]]</f>
        <v>-0.98283782210119042</v>
      </c>
    </row>
    <row r="14" spans="1:22" x14ac:dyDescent="0.25">
      <c r="A14" s="72"/>
      <c r="B14" s="53">
        <v>513113.03</v>
      </c>
      <c r="C14" s="53">
        <v>798913.99</v>
      </c>
      <c r="D14" s="53">
        <v>-285800.96000000002</v>
      </c>
      <c r="E14" s="52">
        <v>962</v>
      </c>
      <c r="F14" s="54">
        <v>42.203742203742202</v>
      </c>
      <c r="G14" s="55">
        <v>406</v>
      </c>
      <c r="H14" s="55">
        <v>556</v>
      </c>
      <c r="I14" s="53">
        <v>-227471.02</v>
      </c>
      <c r="J14" s="56">
        <v>0.10702063881899</v>
      </c>
      <c r="K14" s="56">
        <v>0.28976997914846597</v>
      </c>
      <c r="L14" s="54">
        <f>-OPTI4_UPI_INS[[#This Row],[Net Profit]]/OPTI4_UPI_INS[[#This Row],[Max Intraday Drawdown]]</f>
        <v>2.2557292353109424</v>
      </c>
      <c r="M14" s="57">
        <v>1</v>
      </c>
      <c r="N14" s="54">
        <v>0.21</v>
      </c>
      <c r="O14" s="50">
        <v>0.26205778278169889</v>
      </c>
      <c r="P14" s="72">
        <f>(OPTI4_UPI_INS[[#This Row],[Net Profit]]-B$74)/ABS(B$74)</f>
        <v>-0.12970974547175187</v>
      </c>
      <c r="Q14" s="72">
        <f>(OPTI4_UPI_INS[[#This Row],[UPI]]-J$74)/ABS(J$74)</f>
        <v>-0.30079514808464158</v>
      </c>
      <c r="R14" s="72">
        <f>(OPTI4_UPI_INS[[#This Row],[SORTINO AJUSTADO]]-K$74)/ABS(K$74)</f>
        <v>-5.8358628160617487E-2</v>
      </c>
      <c r="S14" s="72">
        <f>(OPTI4_UPI_INS[[#This Row],[RECOVERY]]-L$74)/ABS(L$74)</f>
        <v>-0.49347603668322582</v>
      </c>
      <c r="T14" s="72">
        <f>(OPTI4_UPI_INS[[#This Row],[ROB]]-O$74)/ABS(O$74)</f>
        <v>-0.79680641748431202</v>
      </c>
      <c r="U14" s="72">
        <f>SUM(OPTI4_UPI_INS[[#This Row],[VAR NET PROFIT]:[VAR ROB]])</f>
        <v>-1.7791459758845489</v>
      </c>
      <c r="V14" s="72">
        <f>OPTI4_UPI_INS[[#This Row],[SUMA]]-OPTI4_UPI_INS[[#This Row],[VAR ROB]]</f>
        <v>-0.9823395584002369</v>
      </c>
    </row>
    <row r="15" spans="1:22" x14ac:dyDescent="0.25">
      <c r="A15" s="72"/>
      <c r="B15" s="53">
        <v>351602.46</v>
      </c>
      <c r="C15" s="53">
        <v>459005.18</v>
      </c>
      <c r="D15" s="53">
        <v>-107402.72</v>
      </c>
      <c r="E15" s="52">
        <v>378</v>
      </c>
      <c r="F15" s="54">
        <v>49.735449735449698</v>
      </c>
      <c r="G15" s="55">
        <v>188</v>
      </c>
      <c r="H15" s="55">
        <v>190</v>
      </c>
      <c r="I15" s="53">
        <v>-162372.39000000001</v>
      </c>
      <c r="J15" s="56">
        <v>0.13770420382822901</v>
      </c>
      <c r="K15" s="56">
        <v>0.304062038000873</v>
      </c>
      <c r="L15" s="54">
        <f>-OPTI4_UPI_INS[[#This Row],[Net Profit]]/OPTI4_UPI_INS[[#This Row],[Max Intraday Drawdown]]</f>
        <v>2.1654079243398461</v>
      </c>
      <c r="M15" s="57">
        <v>0.5</v>
      </c>
      <c r="N15" s="54">
        <v>0.24</v>
      </c>
      <c r="O15" s="50">
        <v>0.31255574881782627</v>
      </c>
      <c r="P15" s="72">
        <f>(OPTI4_UPI_INS[[#This Row],[Net Profit]]-B$74)/ABS(B$74)</f>
        <v>-0.4036475853942782</v>
      </c>
      <c r="Q15" s="72">
        <f>(OPTI4_UPI_INS[[#This Row],[UPI]]-J$74)/ABS(J$74)</f>
        <v>-0.10032823099954781</v>
      </c>
      <c r="R15" s="72">
        <f>(OPTI4_UPI_INS[[#This Row],[SORTINO AJUSTADO]]-K$74)/ABS(K$74)</f>
        <v>-1.1914914620180522E-2</v>
      </c>
      <c r="S15" s="72">
        <f>(OPTI4_UPI_INS[[#This Row],[RECOVERY]]-L$74)/ABS(L$74)</f>
        <v>-0.51375768560140378</v>
      </c>
      <c r="T15" s="72">
        <f>(OPTI4_UPI_INS[[#This Row],[ROB]]-O$74)/ABS(O$74)</f>
        <v>-0.75765145509502907</v>
      </c>
      <c r="U15" s="72">
        <f>SUM(OPTI4_UPI_INS[[#This Row],[VAR NET PROFIT]:[VAR ROB]])</f>
        <v>-1.7872998717104396</v>
      </c>
      <c r="V15" s="72">
        <f>OPTI4_UPI_INS[[#This Row],[SUMA]]-OPTI4_UPI_INS[[#This Row],[VAR ROB]]</f>
        <v>-1.0296484166154105</v>
      </c>
    </row>
    <row r="16" spans="1:22" x14ac:dyDescent="0.25">
      <c r="A16" s="72"/>
      <c r="B16" s="53">
        <v>533756.6</v>
      </c>
      <c r="C16" s="53">
        <v>803226.93</v>
      </c>
      <c r="D16" s="53">
        <v>-269470.33</v>
      </c>
      <c r="E16" s="52">
        <v>832</v>
      </c>
      <c r="F16" s="54">
        <v>41.826923076923102</v>
      </c>
      <c r="G16" s="55">
        <v>348</v>
      </c>
      <c r="H16" s="55">
        <v>484</v>
      </c>
      <c r="I16" s="53">
        <v>-309846.99</v>
      </c>
      <c r="J16" s="56">
        <v>0.113904245958156</v>
      </c>
      <c r="K16" s="56">
        <v>0.28979523703300603</v>
      </c>
      <c r="L16" s="54">
        <f>-OPTI4_UPI_INS[[#This Row],[Net Profit]]/OPTI4_UPI_INS[[#This Row],[Max Intraday Drawdown]]</f>
        <v>1.7226457484708824</v>
      </c>
      <c r="M16" s="57">
        <v>1.5</v>
      </c>
      <c r="N16" s="54">
        <v>0.24</v>
      </c>
      <c r="O16" s="50">
        <v>0.28553399567512605</v>
      </c>
      <c r="P16" s="72">
        <f>(OPTI4_UPI_INS[[#This Row],[Net Profit]]-B$74)/ABS(B$74)</f>
        <v>-9.4696216796263638E-2</v>
      </c>
      <c r="Q16" s="72">
        <f>(OPTI4_UPI_INS[[#This Row],[UPI]]-J$74)/ABS(J$74)</f>
        <v>-0.25582203295939315</v>
      </c>
      <c r="R16" s="72">
        <f>(OPTI4_UPI_INS[[#This Row],[SORTINO AJUSTADO]]-K$74)/ABS(K$74)</f>
        <v>-5.8276549716473801E-2</v>
      </c>
      <c r="S16" s="72">
        <f>(OPTI4_UPI_INS[[#This Row],[RECOVERY]]-L$74)/ABS(L$74)</f>
        <v>-0.61317992503387331</v>
      </c>
      <c r="T16" s="72">
        <f>(OPTI4_UPI_INS[[#This Row],[ROB]]-O$74)/ABS(O$74)</f>
        <v>-0.77860350150493729</v>
      </c>
      <c r="U16" s="72">
        <f>SUM(OPTI4_UPI_INS[[#This Row],[VAR NET PROFIT]:[VAR ROB]])</f>
        <v>-1.8005782260109411</v>
      </c>
      <c r="V16" s="72">
        <f>OPTI4_UPI_INS[[#This Row],[SUMA]]-OPTI4_UPI_INS[[#This Row],[VAR ROB]]</f>
        <v>-1.0219747245060038</v>
      </c>
    </row>
    <row r="17" spans="1:22" x14ac:dyDescent="0.25">
      <c r="A17" s="72"/>
      <c r="B17" s="53">
        <v>509265.11</v>
      </c>
      <c r="C17" s="53">
        <v>771372.16</v>
      </c>
      <c r="D17" s="53">
        <v>-262107.05</v>
      </c>
      <c r="E17" s="52">
        <v>828</v>
      </c>
      <c r="F17" s="54">
        <v>42.270531400966199</v>
      </c>
      <c r="G17" s="55">
        <v>350</v>
      </c>
      <c r="H17" s="55">
        <v>478</v>
      </c>
      <c r="I17" s="53">
        <v>-252705.35</v>
      </c>
      <c r="J17" s="56">
        <v>0.111519017379772</v>
      </c>
      <c r="K17" s="56">
        <v>0.29673036294495803</v>
      </c>
      <c r="L17" s="54">
        <f>-OPTI4_UPI_INS[[#This Row],[Net Profit]]/OPTI4_UPI_INS[[#This Row],[Max Intraday Drawdown]]</f>
        <v>2.0152525856694368</v>
      </c>
      <c r="M17" s="57">
        <v>1</v>
      </c>
      <c r="N17" s="54">
        <v>0.23</v>
      </c>
      <c r="O17" s="50">
        <v>0.24033095834894042</v>
      </c>
      <c r="P17" s="72">
        <f>(OPTI4_UPI_INS[[#This Row],[Net Profit]]-B$74)/ABS(B$74)</f>
        <v>-0.13623619691697123</v>
      </c>
      <c r="Q17" s="72">
        <f>(OPTI4_UPI_INS[[#This Row],[UPI]]-J$74)/ABS(J$74)</f>
        <v>-0.27140560088925803</v>
      </c>
      <c r="R17" s="72">
        <f>(OPTI4_UPI_INS[[#This Row],[SORTINO AJUSTADO]]-K$74)/ABS(K$74)</f>
        <v>-3.5740048534398529E-2</v>
      </c>
      <c r="S17" s="72">
        <f>(OPTI4_UPI_INS[[#This Row],[RECOVERY]]-L$74)/ABS(L$74)</f>
        <v>-0.54747506447202166</v>
      </c>
      <c r="T17" s="72">
        <f>(OPTI4_UPI_INS[[#This Row],[ROB]]-O$74)/ABS(O$74)</f>
        <v>-0.81365289785333494</v>
      </c>
      <c r="U17" s="72">
        <f>SUM(OPTI4_UPI_INS[[#This Row],[VAR NET PROFIT]:[VAR ROB]])</f>
        <v>-1.8045098086659843</v>
      </c>
      <c r="V17" s="72">
        <f>OPTI4_UPI_INS[[#This Row],[SUMA]]-OPTI4_UPI_INS[[#This Row],[VAR ROB]]</f>
        <v>-0.99085691081264937</v>
      </c>
    </row>
    <row r="18" spans="1:22" x14ac:dyDescent="0.25">
      <c r="A18" s="72"/>
      <c r="B18" s="53">
        <v>210900.4</v>
      </c>
      <c r="C18" s="53">
        <v>320396.12</v>
      </c>
      <c r="D18" s="53">
        <v>-109495.72</v>
      </c>
      <c r="E18" s="52">
        <v>595</v>
      </c>
      <c r="F18" s="54">
        <v>45.546218487395002</v>
      </c>
      <c r="G18" s="55">
        <v>271</v>
      </c>
      <c r="H18" s="55">
        <v>324</v>
      </c>
      <c r="I18" s="53">
        <v>-59222.71</v>
      </c>
      <c r="J18" s="56">
        <v>0.13097765123288299</v>
      </c>
      <c r="K18" s="56">
        <v>0.26906077822842001</v>
      </c>
      <c r="L18" s="54">
        <f>-OPTI4_UPI_INS[[#This Row],[Net Profit]]/OPTI4_UPI_INS[[#This Row],[Max Intraday Drawdown]]</f>
        <v>3.5611406502674394</v>
      </c>
      <c r="M18" s="57">
        <v>0.5</v>
      </c>
      <c r="N18" s="54">
        <v>0.17</v>
      </c>
      <c r="O18" s="50">
        <v>0.38530675385244512</v>
      </c>
      <c r="P18" s="72">
        <f>(OPTI4_UPI_INS[[#This Row],[Net Profit]]-B$74)/ABS(B$74)</f>
        <v>-0.64229214215022112</v>
      </c>
      <c r="Q18" s="72">
        <f>(OPTI4_UPI_INS[[#This Row],[UPI]]-J$74)/ABS(J$74)</f>
        <v>-0.14427525152971521</v>
      </c>
      <c r="R18" s="72">
        <f>(OPTI4_UPI_INS[[#This Row],[SORTINO AJUSTADO]]-K$74)/ABS(K$74)</f>
        <v>-0.12565559391723294</v>
      </c>
      <c r="S18" s="72">
        <f>(OPTI4_UPI_INS[[#This Row],[RECOVERY]]-L$74)/ABS(L$74)</f>
        <v>-0.20034592456160125</v>
      </c>
      <c r="T18" s="72">
        <f>(OPTI4_UPI_INS[[#This Row],[ROB]]-O$74)/ABS(O$74)</f>
        <v>-0.7012419976551969</v>
      </c>
      <c r="U18" s="72">
        <f>SUM(OPTI4_UPI_INS[[#This Row],[VAR NET PROFIT]:[VAR ROB]])</f>
        <v>-1.8138109098139674</v>
      </c>
      <c r="V18" s="72">
        <f>OPTI4_UPI_INS[[#This Row],[SUMA]]-OPTI4_UPI_INS[[#This Row],[VAR ROB]]</f>
        <v>-1.1125689121587705</v>
      </c>
    </row>
    <row r="19" spans="1:22" x14ac:dyDescent="0.25">
      <c r="A19" s="72"/>
      <c r="B19" s="53">
        <v>491888.27</v>
      </c>
      <c r="C19" s="53">
        <v>793284.55</v>
      </c>
      <c r="D19" s="53">
        <v>-301396.28000000003</v>
      </c>
      <c r="E19" s="52">
        <v>1061</v>
      </c>
      <c r="F19" s="54">
        <v>42.412818096135702</v>
      </c>
      <c r="G19" s="55">
        <v>450</v>
      </c>
      <c r="H19" s="55">
        <v>611</v>
      </c>
      <c r="I19" s="53">
        <v>-220202.21</v>
      </c>
      <c r="J19" s="56">
        <v>0.109208174283267</v>
      </c>
      <c r="K19" s="56">
        <v>0.28019766392989798</v>
      </c>
      <c r="L19" s="54">
        <f>-OPTI4_UPI_INS[[#This Row],[Net Profit]]/OPTI4_UPI_INS[[#This Row],[Max Intraday Drawdown]]</f>
        <v>2.2338026035251874</v>
      </c>
      <c r="M19" s="57">
        <v>1</v>
      </c>
      <c r="N19" s="54">
        <v>0.2</v>
      </c>
      <c r="O19" s="50">
        <v>0.28622787361823032</v>
      </c>
      <c r="P19" s="72">
        <f>(OPTI4_UPI_INS[[#This Row],[Net Profit]]-B$74)/ABS(B$74)</f>
        <v>-0.16570902965032944</v>
      </c>
      <c r="Q19" s="72">
        <f>(OPTI4_UPI_INS[[#This Row],[UPI]]-J$74)/ABS(J$74)</f>
        <v>-0.28650318134590458</v>
      </c>
      <c r="R19" s="72">
        <f>(OPTI4_UPI_INS[[#This Row],[SORTINO AJUSTADO]]-K$74)/ABS(K$74)</f>
        <v>-8.9464983831344616E-2</v>
      </c>
      <c r="S19" s="72">
        <f>(OPTI4_UPI_INS[[#This Row],[RECOVERY]]-L$74)/ABS(L$74)</f>
        <v>-0.49839966149619108</v>
      </c>
      <c r="T19" s="72">
        <f>(OPTI4_UPI_INS[[#This Row],[ROB]]-O$74)/ABS(O$74)</f>
        <v>-0.77806548449360746</v>
      </c>
      <c r="U19" s="72">
        <f>SUM(OPTI4_UPI_INS[[#This Row],[VAR NET PROFIT]:[VAR ROB]])</f>
        <v>-1.8181423408173771</v>
      </c>
      <c r="V19" s="72">
        <f>OPTI4_UPI_INS[[#This Row],[SUMA]]-OPTI4_UPI_INS[[#This Row],[VAR ROB]]</f>
        <v>-1.0400768563237697</v>
      </c>
    </row>
    <row r="20" spans="1:22" x14ac:dyDescent="0.25">
      <c r="A20" s="72"/>
      <c r="B20" s="53">
        <v>519524.57</v>
      </c>
      <c r="C20" s="53">
        <v>826450.67000000097</v>
      </c>
      <c r="D20" s="53">
        <v>-306926.09999999998</v>
      </c>
      <c r="E20" s="52">
        <v>1096</v>
      </c>
      <c r="F20" s="54">
        <v>41.332116788321201</v>
      </c>
      <c r="G20" s="55">
        <v>453</v>
      </c>
      <c r="H20" s="55">
        <v>643</v>
      </c>
      <c r="I20" s="53">
        <v>-267516.96000000002</v>
      </c>
      <c r="J20" s="56">
        <v>0.103609699607165</v>
      </c>
      <c r="K20" s="56">
        <v>0.27250746872685</v>
      </c>
      <c r="L20" s="54">
        <f>-OPTI4_UPI_INS[[#This Row],[Net Profit]]/OPTI4_UPI_INS[[#This Row],[Max Intraday Drawdown]]</f>
        <v>1.9420247972315474</v>
      </c>
      <c r="M20" s="57">
        <v>0</v>
      </c>
      <c r="N20" s="54">
        <v>0.21</v>
      </c>
      <c r="O20" s="50">
        <v>0.28011300013886359</v>
      </c>
      <c r="P20" s="72">
        <f>(OPTI4_UPI_INS[[#This Row],[Net Profit]]-B$74)/ABS(B$74)</f>
        <v>-0.11883514191994182</v>
      </c>
      <c r="Q20" s="72">
        <f>(OPTI4_UPI_INS[[#This Row],[UPI]]-J$74)/ABS(J$74)</f>
        <v>-0.32308005754523805</v>
      </c>
      <c r="R20" s="72">
        <f>(OPTI4_UPI_INS[[#This Row],[SORTINO AJUSTADO]]-K$74)/ABS(K$74)</f>
        <v>-0.11445517081341477</v>
      </c>
      <c r="S20" s="72">
        <f>(OPTI4_UPI_INS[[#This Row],[RECOVERY]]-L$74)/ABS(L$74)</f>
        <v>-0.56391836318174871</v>
      </c>
      <c r="T20" s="72">
        <f>(OPTI4_UPI_INS[[#This Row],[ROB]]-O$74)/ABS(O$74)</f>
        <v>-0.78280681686585651</v>
      </c>
      <c r="U20" s="72">
        <f>SUM(OPTI4_UPI_INS[[#This Row],[VAR NET PROFIT]:[VAR ROB]])</f>
        <v>-1.9030955503262001</v>
      </c>
      <c r="V20" s="72">
        <f>OPTI4_UPI_INS[[#This Row],[SUMA]]-OPTI4_UPI_INS[[#This Row],[VAR ROB]]</f>
        <v>-1.1202887334603435</v>
      </c>
    </row>
    <row r="21" spans="1:22" x14ac:dyDescent="0.25">
      <c r="A21" s="72"/>
      <c r="B21" s="53">
        <v>521766.73</v>
      </c>
      <c r="C21" s="53">
        <v>822748.7</v>
      </c>
      <c r="D21" s="53">
        <v>-300981.96999999997</v>
      </c>
      <c r="E21" s="52">
        <v>1021</v>
      </c>
      <c r="F21" s="54">
        <v>40.842311459353603</v>
      </c>
      <c r="G21" s="55">
        <v>417</v>
      </c>
      <c r="H21" s="55">
        <v>604</v>
      </c>
      <c r="I21" s="53">
        <v>-276731.33</v>
      </c>
      <c r="J21" s="56">
        <v>0.105882042995103</v>
      </c>
      <c r="K21" s="56">
        <v>0.27563165312093002</v>
      </c>
      <c r="L21" s="54">
        <f>-OPTI4_UPI_INS[[#This Row],[Net Profit]]/OPTI4_UPI_INS[[#This Row],[Max Intraday Drawdown]]</f>
        <v>1.885463167470051</v>
      </c>
      <c r="M21" s="57">
        <v>0</v>
      </c>
      <c r="N21" s="54">
        <v>0.22</v>
      </c>
      <c r="O21" s="50">
        <v>0.25517226964263057</v>
      </c>
      <c r="P21" s="72">
        <f>(OPTI4_UPI_INS[[#This Row],[Net Profit]]-B$74)/ABS(B$74)</f>
        <v>-0.11503221764594115</v>
      </c>
      <c r="Q21" s="72">
        <f>(OPTI4_UPI_INS[[#This Row],[UPI]]-J$74)/ABS(J$74)</f>
        <v>-0.30823400972121678</v>
      </c>
      <c r="R21" s="72">
        <f>(OPTI4_UPI_INS[[#This Row],[SORTINO AJUSTADO]]-K$74)/ABS(K$74)</f>
        <v>-0.10430276894153759</v>
      </c>
      <c r="S21" s="72">
        <f>(OPTI4_UPI_INS[[#This Row],[RECOVERY]]-L$74)/ABS(L$74)</f>
        <v>-0.57661927623016251</v>
      </c>
      <c r="T21" s="72">
        <f>(OPTI4_UPI_INS[[#This Row],[ROB]]-O$74)/ABS(O$74)</f>
        <v>-0.8021452861389079</v>
      </c>
      <c r="U21" s="72">
        <f>SUM(OPTI4_UPI_INS[[#This Row],[VAR NET PROFIT]:[VAR ROB]])</f>
        <v>-1.9063335586777659</v>
      </c>
      <c r="V21" s="72">
        <f>OPTI4_UPI_INS[[#This Row],[SUMA]]-OPTI4_UPI_INS[[#This Row],[VAR ROB]]</f>
        <v>-1.1041882725388579</v>
      </c>
    </row>
    <row r="22" spans="1:22" x14ac:dyDescent="0.25">
      <c r="A22" s="72"/>
      <c r="B22" s="53">
        <v>499356.35</v>
      </c>
      <c r="C22" s="53">
        <v>778967.49</v>
      </c>
      <c r="D22" s="53">
        <v>-279611.14</v>
      </c>
      <c r="E22" s="52">
        <v>909</v>
      </c>
      <c r="F22" s="54">
        <v>40.814081408140801</v>
      </c>
      <c r="G22" s="55">
        <v>371</v>
      </c>
      <c r="H22" s="55">
        <v>538</v>
      </c>
      <c r="I22" s="53">
        <v>-274118.15999999997</v>
      </c>
      <c r="J22" s="56">
        <v>0.110209925788733</v>
      </c>
      <c r="K22" s="56">
        <v>0.277447089111649</v>
      </c>
      <c r="L22" s="54">
        <f>-OPTI4_UPI_INS[[#This Row],[Net Profit]]/OPTI4_UPI_INS[[#This Row],[Max Intraday Drawdown]]</f>
        <v>1.8216828465505532</v>
      </c>
      <c r="M22" s="57">
        <v>1.5</v>
      </c>
      <c r="N22" s="54">
        <v>0.23</v>
      </c>
      <c r="O22" s="50">
        <v>0.27091804338674802</v>
      </c>
      <c r="P22" s="72">
        <f>(OPTI4_UPI_INS[[#This Row],[Net Profit]]-B$74)/ABS(B$74)</f>
        <v>-0.15304243016047184</v>
      </c>
      <c r="Q22" s="72">
        <f>(OPTI4_UPI_INS[[#This Row],[UPI]]-J$74)/ABS(J$74)</f>
        <v>-0.27995837353345993</v>
      </c>
      <c r="R22" s="72">
        <f>(OPTI4_UPI_INS[[#This Row],[SORTINO AJUSTADO]]-K$74)/ABS(K$74)</f>
        <v>-9.8403297775439519E-2</v>
      </c>
      <c r="S22" s="72">
        <f>(OPTI4_UPI_INS[[#This Row],[RECOVERY]]-L$74)/ABS(L$74)</f>
        <v>-0.59094114626138827</v>
      </c>
      <c r="T22" s="72">
        <f>(OPTI4_UPI_INS[[#This Row],[ROB]]-O$74)/ABS(O$74)</f>
        <v>-0.7899363750255376</v>
      </c>
      <c r="U22" s="72">
        <f>SUM(OPTI4_UPI_INS[[#This Row],[VAR NET PROFIT]:[VAR ROB]])</f>
        <v>-1.9122816227562973</v>
      </c>
      <c r="V22" s="72">
        <f>OPTI4_UPI_INS[[#This Row],[SUMA]]-OPTI4_UPI_INS[[#This Row],[VAR ROB]]</f>
        <v>-1.1223452477307596</v>
      </c>
    </row>
    <row r="23" spans="1:22" x14ac:dyDescent="0.25">
      <c r="A23" s="72"/>
      <c r="B23" s="53">
        <v>156123.73000000001</v>
      </c>
      <c r="C23" s="53">
        <v>257590.51</v>
      </c>
      <c r="D23" s="53">
        <v>-101466.78</v>
      </c>
      <c r="E23" s="52">
        <v>668</v>
      </c>
      <c r="F23" s="54">
        <v>44.011976047904199</v>
      </c>
      <c r="G23" s="55">
        <v>294</v>
      </c>
      <c r="H23" s="55">
        <v>374</v>
      </c>
      <c r="I23" s="53">
        <v>-39735.190000000097</v>
      </c>
      <c r="J23" s="56">
        <v>0.117076368233179</v>
      </c>
      <c r="K23" s="56">
        <v>0.245481479811582</v>
      </c>
      <c r="L23" s="54">
        <f>-OPTI4_UPI_INS[[#This Row],[Net Profit]]/OPTI4_UPI_INS[[#This Row],[Max Intraday Drawdown]]</f>
        <v>3.9291049067589618</v>
      </c>
      <c r="M23" s="57">
        <v>0.5</v>
      </c>
      <c r="N23" s="54">
        <v>0.15</v>
      </c>
      <c r="O23" s="50">
        <v>0.42132735168193569</v>
      </c>
      <c r="P23" s="72">
        <f>(OPTI4_UPI_INS[[#This Row],[Net Profit]]-B$74)/ABS(B$74)</f>
        <v>-0.73519877146834589</v>
      </c>
      <c r="Q23" s="72">
        <f>(OPTI4_UPI_INS[[#This Row],[UPI]]-J$74)/ABS(J$74)</f>
        <v>-0.23509740161687021</v>
      </c>
      <c r="R23" s="72">
        <f>(OPTI4_UPI_INS[[#This Row],[SORTINO AJUSTADO]]-K$74)/ABS(K$74)</f>
        <v>-0.2022792765136468</v>
      </c>
      <c r="S23" s="72">
        <f>(OPTI4_UPI_INS[[#This Row],[RECOVERY]]-L$74)/ABS(L$74)</f>
        <v>-0.11771955671594803</v>
      </c>
      <c r="T23" s="72">
        <f>(OPTI4_UPI_INS[[#This Row],[ROB]]-O$74)/ABS(O$74)</f>
        <v>-0.67331245387428174</v>
      </c>
      <c r="U23" s="72">
        <f>SUM(OPTI4_UPI_INS[[#This Row],[VAR NET PROFIT]:[VAR ROB]])</f>
        <v>-1.9636074601890927</v>
      </c>
      <c r="V23" s="72">
        <f>OPTI4_UPI_INS[[#This Row],[SUMA]]-OPTI4_UPI_INS[[#This Row],[VAR ROB]]</f>
        <v>-1.2902950063148109</v>
      </c>
    </row>
    <row r="24" spans="1:22" x14ac:dyDescent="0.25">
      <c r="A24" s="72"/>
      <c r="B24" s="45">
        <v>121283.42</v>
      </c>
      <c r="C24" s="45">
        <v>214410.27</v>
      </c>
      <c r="D24" s="45">
        <v>-93126.85</v>
      </c>
      <c r="E24" s="18">
        <v>742</v>
      </c>
      <c r="F24" s="46">
        <v>42.183288409703501</v>
      </c>
      <c r="G24" s="47">
        <v>313</v>
      </c>
      <c r="H24" s="47">
        <v>429</v>
      </c>
      <c r="I24" s="45">
        <v>-27234.19</v>
      </c>
      <c r="J24" s="48">
        <v>0.112182043701804</v>
      </c>
      <c r="K24" s="48">
        <v>0.25234663292092402</v>
      </c>
      <c r="L24" s="46">
        <f>-OPTI4_UPI_INS[[#This Row],[Net Profit]]/OPTI4_UPI_INS[[#This Row],[Max Intraday Drawdown]]</f>
        <v>4.4533514674018209</v>
      </c>
      <c r="M24" s="49">
        <v>0.5</v>
      </c>
      <c r="N24" s="46">
        <v>0.13</v>
      </c>
      <c r="O24" s="60">
        <v>0.35796246160903694</v>
      </c>
      <c r="P24" s="72">
        <f>(OPTI4_UPI_INS[[#This Row],[Net Profit]]-B$74)/ABS(B$74)</f>
        <v>-0.79429136995048366</v>
      </c>
      <c r="Q24" s="72">
        <f>(OPTI4_UPI_INS[[#This Row],[UPI]]-J$74)/ABS(J$74)</f>
        <v>-0.26707380819554721</v>
      </c>
      <c r="R24" s="72">
        <f>(OPTI4_UPI_INS[[#This Row],[SORTINO AJUSTADO]]-K$74)/ABS(K$74)</f>
        <v>-0.17997016012151676</v>
      </c>
      <c r="S24" s="72">
        <f>(OPTI4_UPI_INS[[#This Row],[RECOVERY]]-L$74)/ABS(L$74)</f>
        <v>0</v>
      </c>
      <c r="T24" s="72">
        <f>(OPTI4_UPI_INS[[#This Row],[ROB]]-O$74)/ABS(O$74)</f>
        <v>-0.72244413347164194</v>
      </c>
      <c r="U24" s="72">
        <f>SUM(OPTI4_UPI_INS[[#This Row],[VAR NET PROFIT]:[VAR ROB]])</f>
        <v>-1.9637794717391897</v>
      </c>
      <c r="V24" s="72">
        <f>OPTI4_UPI_INS[[#This Row],[SUMA]]-OPTI4_UPI_INS[[#This Row],[VAR ROB]]</f>
        <v>-1.2413353382675476</v>
      </c>
    </row>
    <row r="25" spans="1:22" x14ac:dyDescent="0.25">
      <c r="A25" s="72"/>
      <c r="B25" s="53">
        <v>449171.03</v>
      </c>
      <c r="C25" s="53">
        <v>764418.37</v>
      </c>
      <c r="D25" s="53">
        <v>-315247.34000000003</v>
      </c>
      <c r="E25" s="52">
        <v>1161</v>
      </c>
      <c r="F25" s="54">
        <v>42.032730404823397</v>
      </c>
      <c r="G25" s="55">
        <v>488</v>
      </c>
      <c r="H25" s="55">
        <v>673</v>
      </c>
      <c r="I25" s="53">
        <v>-220143.45</v>
      </c>
      <c r="J25" s="56">
        <v>0.10558596920567501</v>
      </c>
      <c r="K25" s="56">
        <v>0.26560980974169202</v>
      </c>
      <c r="L25" s="54">
        <f>-OPTI4_UPI_INS[[#This Row],[Net Profit]]/OPTI4_UPI_INS[[#This Row],[Max Intraday Drawdown]]</f>
        <v>2.0403560950825472</v>
      </c>
      <c r="M25" s="57">
        <v>1.5</v>
      </c>
      <c r="N25" s="54">
        <v>0.2</v>
      </c>
      <c r="O25" s="50">
        <v>0.32332822486331086</v>
      </c>
      <c r="P25" s="72">
        <f>(OPTI4_UPI_INS[[#This Row],[Net Profit]]-B$74)/ABS(B$74)</f>
        <v>-0.2381616775052168</v>
      </c>
      <c r="Q25" s="72">
        <f>(OPTI4_UPI_INS[[#This Row],[UPI]]-J$74)/ABS(J$74)</f>
        <v>-0.31016836773269491</v>
      </c>
      <c r="R25" s="72">
        <f>(OPTI4_UPI_INS[[#This Row],[SORTINO AJUSTADO]]-K$74)/ABS(K$74)</f>
        <v>-0.13686991884339128</v>
      </c>
      <c r="S25" s="72">
        <f>(OPTI4_UPI_INS[[#This Row],[RECOVERY]]-L$74)/ABS(L$74)</f>
        <v>-0.54183807183919974</v>
      </c>
      <c r="T25" s="72">
        <f>(OPTI4_UPI_INS[[#This Row],[ROB]]-O$74)/ABS(O$74)</f>
        <v>-0.74929872472765868</v>
      </c>
      <c r="U25" s="72">
        <f>SUM(OPTI4_UPI_INS[[#This Row],[VAR NET PROFIT]:[VAR ROB]])</f>
        <v>-1.9763367606481617</v>
      </c>
      <c r="V25" s="72">
        <f>OPTI4_UPI_INS[[#This Row],[SUMA]]-OPTI4_UPI_INS[[#This Row],[VAR ROB]]</f>
        <v>-1.2270380359205029</v>
      </c>
    </row>
    <row r="26" spans="1:22" x14ac:dyDescent="0.25">
      <c r="A26" s="72"/>
      <c r="B26" s="53">
        <v>387047.34</v>
      </c>
      <c r="C26" s="53">
        <v>694310.43</v>
      </c>
      <c r="D26" s="53">
        <v>-307263.09000000003</v>
      </c>
      <c r="E26" s="52">
        <v>1409</v>
      </c>
      <c r="F26" s="54">
        <v>41.447835344215797</v>
      </c>
      <c r="G26" s="55">
        <v>584</v>
      </c>
      <c r="H26" s="55">
        <v>824</v>
      </c>
      <c r="I26" s="53">
        <v>-166045.15</v>
      </c>
      <c r="J26" s="56">
        <v>9.5910964842251603E-2</v>
      </c>
      <c r="K26" s="56">
        <v>0.26012170432188098</v>
      </c>
      <c r="L26" s="54">
        <f>-OPTI4_UPI_INS[[#This Row],[Net Profit]]/OPTI4_UPI_INS[[#This Row],[Max Intraday Drawdown]]</f>
        <v>2.3309764844080063</v>
      </c>
      <c r="M26" s="57">
        <v>1.5</v>
      </c>
      <c r="N26" s="54">
        <v>0.18</v>
      </c>
      <c r="O26" s="50">
        <v>0.40965119111218484</v>
      </c>
      <c r="P26" s="72">
        <f>(OPTI4_UPI_INS[[#This Row],[Net Profit]]-B$74)/ABS(B$74)</f>
        <v>-0.34352957662548272</v>
      </c>
      <c r="Q26" s="72">
        <f>(OPTI4_UPI_INS[[#This Row],[UPI]]-J$74)/ABS(J$74)</f>
        <v>-0.37337869863577994</v>
      </c>
      <c r="R26" s="72">
        <f>(OPTI4_UPI_INS[[#This Row],[SORTINO AJUSTADO]]-K$74)/ABS(K$74)</f>
        <v>-0.15470415802681697</v>
      </c>
      <c r="S26" s="72">
        <f>(OPTI4_UPI_INS[[#This Row],[RECOVERY]]-L$74)/ABS(L$74)</f>
        <v>-0.47657926811513329</v>
      </c>
      <c r="T26" s="72">
        <f>(OPTI4_UPI_INS[[#This Row],[ROB]]-O$74)/ABS(O$74)</f>
        <v>-0.6823658804545274</v>
      </c>
      <c r="U26" s="72">
        <f>SUM(OPTI4_UPI_INS[[#This Row],[VAR NET PROFIT]:[VAR ROB]])</f>
        <v>-2.0305575818577406</v>
      </c>
      <c r="V26" s="72">
        <f>OPTI4_UPI_INS[[#This Row],[SUMA]]-OPTI4_UPI_INS[[#This Row],[VAR ROB]]</f>
        <v>-1.3481917014032132</v>
      </c>
    </row>
    <row r="27" spans="1:22" x14ac:dyDescent="0.25">
      <c r="A27" s="72"/>
      <c r="B27" s="53">
        <v>494484.9</v>
      </c>
      <c r="C27" s="53">
        <v>771869.68</v>
      </c>
      <c r="D27" s="53">
        <v>-277384.78000000003</v>
      </c>
      <c r="E27" s="52">
        <v>945</v>
      </c>
      <c r="F27" s="54">
        <v>40.740740740740698</v>
      </c>
      <c r="G27" s="55">
        <v>385</v>
      </c>
      <c r="H27" s="55">
        <v>560</v>
      </c>
      <c r="I27" s="53">
        <v>-274755.39</v>
      </c>
      <c r="J27" s="56">
        <v>0.10018990583785101</v>
      </c>
      <c r="K27" s="56">
        <v>0.269276668805633</v>
      </c>
      <c r="L27" s="54">
        <f>-OPTI4_UPI_INS[[#This Row],[Net Profit]]/OPTI4_UPI_INS[[#This Row],[Max Intraday Drawdown]]</f>
        <v>1.7997277505638742</v>
      </c>
      <c r="M27" s="57">
        <v>0</v>
      </c>
      <c r="N27" s="54">
        <v>0.23</v>
      </c>
      <c r="O27" s="50">
        <v>0.24905645052055322</v>
      </c>
      <c r="P27" s="72">
        <f>(OPTI4_UPI_INS[[#This Row],[Net Profit]]-B$74)/ABS(B$74)</f>
        <v>-0.16130488933135198</v>
      </c>
      <c r="Q27" s="72">
        <f>(OPTI4_UPI_INS[[#This Row],[UPI]]-J$74)/ABS(J$74)</f>
        <v>-0.34542281705818134</v>
      </c>
      <c r="R27" s="72">
        <f>(OPTI4_UPI_INS[[#This Row],[SORTINO AJUSTADO]]-K$74)/ABS(K$74)</f>
        <v>-0.1249540322858609</v>
      </c>
      <c r="S27" s="72">
        <f>(OPTI4_UPI_INS[[#This Row],[RECOVERY]]-L$74)/ABS(L$74)</f>
        <v>-0.5958711627102109</v>
      </c>
      <c r="T27" s="72">
        <f>(OPTI4_UPI_INS[[#This Row],[ROB]]-O$74)/ABS(O$74)</f>
        <v>-0.80688735174078341</v>
      </c>
      <c r="U27" s="72">
        <f>SUM(OPTI4_UPI_INS[[#This Row],[VAR NET PROFIT]:[VAR ROB]])</f>
        <v>-2.0344402531263883</v>
      </c>
      <c r="V27" s="72">
        <f>OPTI4_UPI_INS[[#This Row],[SUMA]]-OPTI4_UPI_INS[[#This Row],[VAR ROB]]</f>
        <v>-1.227552901385605</v>
      </c>
    </row>
    <row r="28" spans="1:22" x14ac:dyDescent="0.25">
      <c r="A28" s="72"/>
      <c r="B28" s="53">
        <v>459888.42</v>
      </c>
      <c r="C28" s="53">
        <v>785876.34</v>
      </c>
      <c r="D28" s="53">
        <v>-325987.92</v>
      </c>
      <c r="E28" s="52">
        <v>1215</v>
      </c>
      <c r="F28" s="54">
        <v>41.069958847736601</v>
      </c>
      <c r="G28" s="55">
        <v>499</v>
      </c>
      <c r="H28" s="55">
        <v>716</v>
      </c>
      <c r="I28" s="53">
        <v>-232646.51</v>
      </c>
      <c r="J28" s="56">
        <v>9.6163922877834193E-2</v>
      </c>
      <c r="K28" s="56">
        <v>0.264427647303703</v>
      </c>
      <c r="L28" s="54">
        <f>-OPTI4_UPI_INS[[#This Row],[Net Profit]]/OPTI4_UPI_INS[[#This Row],[Max Intraday Drawdown]]</f>
        <v>1.9767690475992954</v>
      </c>
      <c r="M28" s="57">
        <v>0</v>
      </c>
      <c r="N28" s="54">
        <v>0.2</v>
      </c>
      <c r="O28" s="50">
        <v>0.31359229998299165</v>
      </c>
      <c r="P28" s="72">
        <f>(OPTI4_UPI_INS[[#This Row],[Net Profit]]-B$74)/ABS(B$74)</f>
        <v>-0.21998392810957493</v>
      </c>
      <c r="Q28" s="72">
        <f>(OPTI4_UPI_INS[[#This Row],[UPI]]-J$74)/ABS(J$74)</f>
        <v>-0.37172603156368861</v>
      </c>
      <c r="R28" s="72">
        <f>(OPTI4_UPI_INS[[#This Row],[SORTINO AJUSTADO]]-K$74)/ABS(K$74)</f>
        <v>-0.14071149367842492</v>
      </c>
      <c r="S28" s="72">
        <f>(OPTI4_UPI_INS[[#This Row],[RECOVERY]]-L$74)/ABS(L$74)</f>
        <v>-0.55611654232344165</v>
      </c>
      <c r="T28" s="72">
        <f>(OPTI4_UPI_INS[[#This Row],[ROB]]-O$74)/ABS(O$74)</f>
        <v>-0.75684773714215992</v>
      </c>
      <c r="U28" s="72">
        <f>SUM(OPTI4_UPI_INS[[#This Row],[VAR NET PROFIT]:[VAR ROB]])</f>
        <v>-2.04538573281729</v>
      </c>
      <c r="V28" s="72">
        <f>OPTI4_UPI_INS[[#This Row],[SUMA]]-OPTI4_UPI_INS[[#This Row],[VAR ROB]]</f>
        <v>-1.2885379956751302</v>
      </c>
    </row>
    <row r="29" spans="1:22" x14ac:dyDescent="0.25">
      <c r="A29" s="72"/>
      <c r="B29" s="53">
        <v>356849.91999999998</v>
      </c>
      <c r="C29" s="53">
        <v>623876.5</v>
      </c>
      <c r="D29" s="53">
        <v>-267026.58</v>
      </c>
      <c r="E29" s="52">
        <v>1287</v>
      </c>
      <c r="F29" s="54">
        <v>42.113442113442098</v>
      </c>
      <c r="G29" s="55">
        <v>542</v>
      </c>
      <c r="H29" s="55">
        <v>745</v>
      </c>
      <c r="I29" s="53">
        <v>-144845.92000000001</v>
      </c>
      <c r="J29" s="56">
        <v>8.95534967256192E-2</v>
      </c>
      <c r="K29" s="56">
        <v>0.25850480259429098</v>
      </c>
      <c r="L29" s="54">
        <f>-OPTI4_UPI_INS[[#This Row],[Net Profit]]/OPTI4_UPI_INS[[#This Row],[Max Intraday Drawdown]]</f>
        <v>2.4636518584714016</v>
      </c>
      <c r="M29" s="57">
        <v>1</v>
      </c>
      <c r="N29" s="54">
        <v>0.18</v>
      </c>
      <c r="O29" s="50">
        <v>0.37908058436943964</v>
      </c>
      <c r="P29" s="72">
        <f>(OPTI4_UPI_INS[[#This Row],[Net Profit]]-B$74)/ABS(B$74)</f>
        <v>-0.39474737621614298</v>
      </c>
      <c r="Q29" s="72">
        <f>(OPTI4_UPI_INS[[#This Row],[UPI]]-J$74)/ABS(J$74)</f>
        <v>-0.41491435570249713</v>
      </c>
      <c r="R29" s="72">
        <f>(OPTI4_UPI_INS[[#This Row],[SORTINO AJUSTADO]]-K$74)/ABS(K$74)</f>
        <v>-0.15995846893014634</v>
      </c>
      <c r="S29" s="72">
        <f>(OPTI4_UPI_INS[[#This Row],[RECOVERY]]-L$74)/ABS(L$74)</f>
        <v>-0.44678701501439139</v>
      </c>
      <c r="T29" s="72">
        <f>(OPTI4_UPI_INS[[#This Row],[ROB]]-O$74)/ABS(O$74)</f>
        <v>-0.70606962639101511</v>
      </c>
      <c r="U29" s="72">
        <f>SUM(OPTI4_UPI_INS[[#This Row],[VAR NET PROFIT]:[VAR ROB]])</f>
        <v>-2.1224768422541929</v>
      </c>
      <c r="V29" s="72">
        <f>OPTI4_UPI_INS[[#This Row],[SUMA]]-OPTI4_UPI_INS[[#This Row],[VAR ROB]]</f>
        <v>-1.4164072158631777</v>
      </c>
    </row>
    <row r="30" spans="1:22" x14ac:dyDescent="0.25">
      <c r="A30" s="72"/>
      <c r="B30" s="53">
        <v>394418.63</v>
      </c>
      <c r="C30" s="53">
        <v>705182.54</v>
      </c>
      <c r="D30" s="53">
        <v>-310763.90999999997</v>
      </c>
      <c r="E30" s="52">
        <v>1289</v>
      </c>
      <c r="F30" s="54">
        <v>40.729247478665599</v>
      </c>
      <c r="G30" s="55">
        <v>525</v>
      </c>
      <c r="H30" s="55">
        <v>764</v>
      </c>
      <c r="I30" s="53">
        <v>-185953.52</v>
      </c>
      <c r="J30" s="56">
        <v>9.4607494998227404E-2</v>
      </c>
      <c r="K30" s="56">
        <v>0.25202513077884497</v>
      </c>
      <c r="L30" s="54">
        <f>-OPTI4_UPI_INS[[#This Row],[Net Profit]]/OPTI4_UPI_INS[[#This Row],[Max Intraday Drawdown]]</f>
        <v>2.1210603058226596</v>
      </c>
      <c r="M30" s="57">
        <v>1.5</v>
      </c>
      <c r="N30" s="54">
        <v>0.19</v>
      </c>
      <c r="O30" s="50">
        <v>0.37555652091613867</v>
      </c>
      <c r="P30" s="72">
        <f>(OPTI4_UPI_INS[[#This Row],[Net Profit]]-B$74)/ABS(B$74)</f>
        <v>-0.33102714251208376</v>
      </c>
      <c r="Q30" s="72">
        <f>(OPTI4_UPI_INS[[#This Row],[UPI]]-J$74)/ABS(J$74)</f>
        <v>-0.38189474235710891</v>
      </c>
      <c r="R30" s="72">
        <f>(OPTI4_UPI_INS[[#This Row],[SORTINO AJUSTADO]]-K$74)/ABS(K$74)</f>
        <v>-0.18101491886086671</v>
      </c>
      <c r="S30" s="72">
        <f>(OPTI4_UPI_INS[[#This Row],[RECOVERY]]-L$74)/ABS(L$74)</f>
        <v>-0.52371594262239296</v>
      </c>
      <c r="T30" s="72">
        <f>(OPTI4_UPI_INS[[#This Row],[ROB]]-O$74)/ABS(O$74)</f>
        <v>-0.70880210420750234</v>
      </c>
      <c r="U30" s="72">
        <f>SUM(OPTI4_UPI_INS[[#This Row],[VAR NET PROFIT]:[VAR ROB]])</f>
        <v>-2.1264548505599548</v>
      </c>
      <c r="V30" s="72">
        <f>OPTI4_UPI_INS[[#This Row],[SUMA]]-OPTI4_UPI_INS[[#This Row],[VAR ROB]]</f>
        <v>-1.4176527463524524</v>
      </c>
    </row>
    <row r="31" spans="1:22" x14ac:dyDescent="0.25">
      <c r="A31" s="72"/>
      <c r="B31" s="53">
        <v>376817.98</v>
      </c>
      <c r="C31" s="53">
        <v>648788.81000000006</v>
      </c>
      <c r="D31" s="53">
        <v>-271970.83</v>
      </c>
      <c r="E31" s="52">
        <v>1175</v>
      </c>
      <c r="F31" s="54">
        <v>41.702127659574501</v>
      </c>
      <c r="G31" s="55">
        <v>490</v>
      </c>
      <c r="H31" s="55">
        <v>685</v>
      </c>
      <c r="I31" s="53">
        <v>-164895.71</v>
      </c>
      <c r="J31" s="56">
        <v>9.0590089553109002E-2</v>
      </c>
      <c r="K31" s="56">
        <v>0.25897738893892303</v>
      </c>
      <c r="L31" s="54">
        <f>-OPTI4_UPI_INS[[#This Row],[Net Profit]]/OPTI4_UPI_INS[[#This Row],[Max Intraday Drawdown]]</f>
        <v>2.2851897117274911</v>
      </c>
      <c r="M31" s="57">
        <v>1</v>
      </c>
      <c r="N31" s="54">
        <v>0.19</v>
      </c>
      <c r="O31" s="50">
        <v>0.37070484272199039</v>
      </c>
      <c r="P31" s="72">
        <f>(OPTI4_UPI_INS[[#This Row],[Net Profit]]-B$74)/ABS(B$74)</f>
        <v>-0.36087957905684004</v>
      </c>
      <c r="Q31" s="72">
        <f>(OPTI4_UPI_INS[[#This Row],[UPI]]-J$74)/ABS(J$74)</f>
        <v>-0.40814191683052026</v>
      </c>
      <c r="R31" s="72">
        <f>(OPTI4_UPI_INS[[#This Row],[SORTINO AJUSTADO]]-K$74)/ABS(K$74)</f>
        <v>-0.15842274443867349</v>
      </c>
      <c r="S31" s="72">
        <f>(OPTI4_UPI_INS[[#This Row],[RECOVERY]]-L$74)/ABS(L$74)</f>
        <v>-0.48686068718022857</v>
      </c>
      <c r="T31" s="72">
        <f>(OPTI4_UPI_INS[[#This Row],[ROB]]-O$74)/ABS(O$74)</f>
        <v>-0.71256398398461795</v>
      </c>
      <c r="U31" s="72">
        <f>SUM(OPTI4_UPI_INS[[#This Row],[VAR NET PROFIT]:[VAR ROB]])</f>
        <v>-2.1268689114908801</v>
      </c>
      <c r="V31" s="72">
        <f>OPTI4_UPI_INS[[#This Row],[SUMA]]-OPTI4_UPI_INS[[#This Row],[VAR ROB]]</f>
        <v>-1.414304927506262</v>
      </c>
    </row>
    <row r="32" spans="1:22" x14ac:dyDescent="0.25">
      <c r="A32" s="72"/>
      <c r="B32" s="53">
        <v>97404.83</v>
      </c>
      <c r="C32" s="53">
        <v>185734.46</v>
      </c>
      <c r="D32" s="53">
        <v>-88329.63</v>
      </c>
      <c r="E32" s="52">
        <v>784</v>
      </c>
      <c r="F32" s="54">
        <v>41.4540816326531</v>
      </c>
      <c r="G32" s="55">
        <v>325</v>
      </c>
      <c r="H32" s="55">
        <v>459</v>
      </c>
      <c r="I32" s="53">
        <v>-23299.16</v>
      </c>
      <c r="J32" s="56">
        <v>9.7774275627089596E-2</v>
      </c>
      <c r="K32" s="56">
        <v>0.24544898661516701</v>
      </c>
      <c r="L32" s="54">
        <f>-OPTI4_UPI_INS[[#This Row],[Net Profit]]/OPTI4_UPI_INS[[#This Row],[Max Intraday Drawdown]]</f>
        <v>4.1806155243365</v>
      </c>
      <c r="M32" s="57">
        <v>0.5</v>
      </c>
      <c r="N32" s="54">
        <v>0.12</v>
      </c>
      <c r="O32" s="50">
        <v>0.42182509701984766</v>
      </c>
      <c r="P32" s="72">
        <f>(OPTI4_UPI_INS[[#This Row],[Net Profit]]-B$74)/ABS(B$74)</f>
        <v>-0.83479181128380087</v>
      </c>
      <c r="Q32" s="72">
        <f>(OPTI4_UPI_INS[[#This Row],[UPI]]-J$74)/ABS(J$74)</f>
        <v>-0.36120500993645815</v>
      </c>
      <c r="R32" s="72">
        <f>(OPTI4_UPI_INS[[#This Row],[SORTINO AJUSTADO]]-K$74)/ABS(K$74)</f>
        <v>-0.20238486694829974</v>
      </c>
      <c r="S32" s="72">
        <f>(OPTI4_UPI_INS[[#This Row],[RECOVERY]]-L$74)/ABS(L$74)</f>
        <v>-6.1242851605521446E-2</v>
      </c>
      <c r="T32" s="72">
        <f>(OPTI4_UPI_INS[[#This Row],[ROB]]-O$74)/ABS(O$74)</f>
        <v>-0.67292651357776678</v>
      </c>
      <c r="U32" s="72">
        <f>SUM(OPTI4_UPI_INS[[#This Row],[VAR NET PROFIT]:[VAR ROB]])</f>
        <v>-2.1325510533518468</v>
      </c>
      <c r="V32" s="72">
        <f>OPTI4_UPI_INS[[#This Row],[SUMA]]-OPTI4_UPI_INS[[#This Row],[VAR ROB]]</f>
        <v>-1.4596245397740799</v>
      </c>
    </row>
    <row r="33" spans="1:22" x14ac:dyDescent="0.25">
      <c r="A33" s="72"/>
      <c r="B33" s="53">
        <v>126958.83</v>
      </c>
      <c r="C33" s="53">
        <v>222478.09</v>
      </c>
      <c r="D33" s="53">
        <v>-95519.26</v>
      </c>
      <c r="E33" s="52">
        <v>707</v>
      </c>
      <c r="F33" s="54">
        <v>42.149929278642098</v>
      </c>
      <c r="G33" s="55">
        <v>298</v>
      </c>
      <c r="H33" s="55">
        <v>409</v>
      </c>
      <c r="I33" s="53">
        <v>-32102.5</v>
      </c>
      <c r="J33" s="56">
        <v>0.100911330481327</v>
      </c>
      <c r="K33" s="56">
        <v>0.23248412125489801</v>
      </c>
      <c r="L33" s="54">
        <f>-OPTI4_UPI_INS[[#This Row],[Net Profit]]/OPTI4_UPI_INS[[#This Row],[Max Intraday Drawdown]]</f>
        <v>3.9547957324195937</v>
      </c>
      <c r="M33" s="57">
        <v>0.5</v>
      </c>
      <c r="N33" s="54">
        <v>0.14000000000000001</v>
      </c>
      <c r="O33" s="50">
        <v>0.43972270380878592</v>
      </c>
      <c r="P33" s="72">
        <f>(OPTI4_UPI_INS[[#This Row],[Net Profit]]-B$74)/ABS(B$74)</f>
        <v>-0.78466531540758455</v>
      </c>
      <c r="Q33" s="72">
        <f>(OPTI4_UPI_INS[[#This Row],[UPI]]-J$74)/ABS(J$74)</f>
        <v>-0.34070948683911134</v>
      </c>
      <c r="R33" s="72">
        <f>(OPTI4_UPI_INS[[#This Row],[SORTINO AJUSTADO]]-K$74)/ABS(K$74)</f>
        <v>-0.24451571031389766</v>
      </c>
      <c r="S33" s="72">
        <f>(OPTI4_UPI_INS[[#This Row],[RECOVERY]]-L$74)/ABS(L$74)</f>
        <v>-0.1119506822292414</v>
      </c>
      <c r="T33" s="72">
        <f>(OPTI4_UPI_INS[[#This Row],[ROB]]-O$74)/ABS(O$74)</f>
        <v>-0.65904912057192389</v>
      </c>
      <c r="U33" s="72">
        <f>SUM(OPTI4_UPI_INS[[#This Row],[VAR NET PROFIT]:[VAR ROB]])</f>
        <v>-2.1408903153617587</v>
      </c>
      <c r="V33" s="72">
        <f>OPTI4_UPI_INS[[#This Row],[SUMA]]-OPTI4_UPI_INS[[#This Row],[VAR ROB]]</f>
        <v>-1.4818411947898347</v>
      </c>
    </row>
    <row r="34" spans="1:22" x14ac:dyDescent="0.25">
      <c r="A34" s="72"/>
      <c r="B34" s="53">
        <v>349841.68</v>
      </c>
      <c r="C34" s="53">
        <v>657732.38</v>
      </c>
      <c r="D34" s="53">
        <v>-307890.7</v>
      </c>
      <c r="E34" s="52">
        <v>1552</v>
      </c>
      <c r="F34" s="54">
        <v>40.5927835051546</v>
      </c>
      <c r="G34" s="55">
        <v>630</v>
      </c>
      <c r="H34" s="55">
        <v>922</v>
      </c>
      <c r="I34" s="53">
        <v>-146349.85999999999</v>
      </c>
      <c r="J34" s="56">
        <v>9.0677773298522293E-2</v>
      </c>
      <c r="K34" s="56">
        <v>0.254060279084875</v>
      </c>
      <c r="L34" s="54">
        <f>-OPTI4_UPI_INS[[#This Row],[Net Profit]]/OPTI4_UPI_INS[[#This Row],[Max Intraday Drawdown]]</f>
        <v>2.3904476574149101</v>
      </c>
      <c r="M34" s="57">
        <v>1.5</v>
      </c>
      <c r="N34" s="54">
        <v>0.17</v>
      </c>
      <c r="O34" s="50">
        <v>0.34506410571863366</v>
      </c>
      <c r="P34" s="72">
        <f>(OPTI4_UPI_INS[[#This Row],[Net Profit]]-B$74)/ABS(B$74)</f>
        <v>-0.40663404175920087</v>
      </c>
      <c r="Q34" s="72">
        <f>(OPTI4_UPI_INS[[#This Row],[UPI]]-J$74)/ABS(J$74)</f>
        <v>-0.40756904695323631</v>
      </c>
      <c r="R34" s="72">
        <f>(OPTI4_UPI_INS[[#This Row],[SORTINO AJUSTADO]]-K$74)/ABS(K$74)</f>
        <v>-0.17440146687933886</v>
      </c>
      <c r="S34" s="72">
        <f>(OPTI4_UPI_INS[[#This Row],[RECOVERY]]-L$74)/ABS(L$74)</f>
        <v>-0.4632250171780069</v>
      </c>
      <c r="T34" s="72">
        <f>(OPTI4_UPI_INS[[#This Row],[ROB]]-O$74)/ABS(O$74)</f>
        <v>-0.73244522221670172</v>
      </c>
      <c r="U34" s="72">
        <f>SUM(OPTI4_UPI_INS[[#This Row],[VAR NET PROFIT]:[VAR ROB]])</f>
        <v>-2.1842747949864849</v>
      </c>
      <c r="V34" s="72">
        <f>OPTI4_UPI_INS[[#This Row],[SUMA]]-OPTI4_UPI_INS[[#This Row],[VAR ROB]]</f>
        <v>-1.4518295727697832</v>
      </c>
    </row>
    <row r="35" spans="1:22" x14ac:dyDescent="0.25">
      <c r="A35" s="72"/>
      <c r="B35" s="53">
        <v>345085.57</v>
      </c>
      <c r="C35" s="53">
        <v>650223.38</v>
      </c>
      <c r="D35" s="53">
        <v>-305137.81</v>
      </c>
      <c r="E35" s="52">
        <v>1473</v>
      </c>
      <c r="F35" s="54">
        <v>40.665308893414803</v>
      </c>
      <c r="G35" s="55">
        <v>599</v>
      </c>
      <c r="H35" s="55">
        <v>874</v>
      </c>
      <c r="I35" s="53">
        <v>-147716</v>
      </c>
      <c r="J35" s="56">
        <v>8.1684563122339099E-2</v>
      </c>
      <c r="K35" s="56">
        <v>0.25126116384174002</v>
      </c>
      <c r="L35" s="54">
        <f>-OPTI4_UPI_INS[[#This Row],[Net Profit]]/OPTI4_UPI_INS[[#This Row],[Max Intraday Drawdown]]</f>
        <v>2.3361421240759297</v>
      </c>
      <c r="M35" s="57">
        <v>0</v>
      </c>
      <c r="N35" s="54">
        <v>0.18</v>
      </c>
      <c r="O35" s="50">
        <v>0.38458222993174446</v>
      </c>
      <c r="P35" s="72">
        <f>(OPTI4_UPI_INS[[#This Row],[Net Profit]]-B$74)/ABS(B$74)</f>
        <v>-0.41470087292594077</v>
      </c>
      <c r="Q35" s="72">
        <f>(OPTI4_UPI_INS[[#This Row],[UPI]]-J$74)/ABS(J$74)</f>
        <v>-0.4663249678566545</v>
      </c>
      <c r="R35" s="72">
        <f>(OPTI4_UPI_INS[[#This Row],[SORTINO AJUSTADO]]-K$74)/ABS(K$74)</f>
        <v>-0.18349751860018221</v>
      </c>
      <c r="S35" s="72">
        <f>(OPTI4_UPI_INS[[#This Row],[RECOVERY]]-L$74)/ABS(L$74)</f>
        <v>-0.47541932381122293</v>
      </c>
      <c r="T35" s="72">
        <f>(OPTI4_UPI_INS[[#This Row],[ROB]]-O$74)/ABS(O$74)</f>
        <v>-0.70180377685329109</v>
      </c>
      <c r="U35" s="72">
        <f>SUM(OPTI4_UPI_INS[[#This Row],[VAR NET PROFIT]:[VAR ROB]])</f>
        <v>-2.2417464600472914</v>
      </c>
      <c r="V35" s="72">
        <f>OPTI4_UPI_INS[[#This Row],[SUMA]]-OPTI4_UPI_INS[[#This Row],[VAR ROB]]</f>
        <v>-1.5399426831940004</v>
      </c>
    </row>
    <row r="36" spans="1:22" x14ac:dyDescent="0.25">
      <c r="A36" s="72"/>
      <c r="B36" s="53">
        <v>378169.01</v>
      </c>
      <c r="C36" s="53">
        <v>691526.47</v>
      </c>
      <c r="D36" s="53">
        <v>-313357.46000000002</v>
      </c>
      <c r="E36" s="52">
        <v>1342</v>
      </c>
      <c r="F36" s="54">
        <v>40.461997019374103</v>
      </c>
      <c r="G36" s="55">
        <v>543</v>
      </c>
      <c r="H36" s="55">
        <v>799</v>
      </c>
      <c r="I36" s="53">
        <v>-181444.71</v>
      </c>
      <c r="J36" s="56">
        <v>8.4175332049738497E-2</v>
      </c>
      <c r="K36" s="56">
        <v>0.248356212574465</v>
      </c>
      <c r="L36" s="54">
        <f>-OPTI4_UPI_INS[[#This Row],[Net Profit]]/OPTI4_UPI_INS[[#This Row],[Max Intraday Drawdown]]</f>
        <v>2.0842107218226422</v>
      </c>
      <c r="M36" s="57">
        <v>0</v>
      </c>
      <c r="N36" s="54">
        <v>0.19</v>
      </c>
      <c r="O36" s="50">
        <v>0.34712432739232207</v>
      </c>
      <c r="P36" s="72">
        <f>(OPTI4_UPI_INS[[#This Row],[Net Profit]]-B$74)/ABS(B$74)</f>
        <v>-0.35858809906348393</v>
      </c>
      <c r="Q36" s="72">
        <f>(OPTI4_UPI_INS[[#This Row],[UPI]]-J$74)/ABS(J$74)</f>
        <v>-0.45005186634785799</v>
      </c>
      <c r="R36" s="72">
        <f>(OPTI4_UPI_INS[[#This Row],[SORTINO AJUSTADO]]-K$74)/ABS(K$74)</f>
        <v>-0.19293749683561526</v>
      </c>
      <c r="S36" s="72">
        <f>(OPTI4_UPI_INS[[#This Row],[RECOVERY]]-L$74)/ABS(L$74)</f>
        <v>-0.53199051611378545</v>
      </c>
      <c r="T36" s="72">
        <f>(OPTI4_UPI_INS[[#This Row],[ROB]]-O$74)/ABS(O$74)</f>
        <v>-0.73084777367611797</v>
      </c>
      <c r="U36" s="72">
        <f>SUM(OPTI4_UPI_INS[[#This Row],[VAR NET PROFIT]:[VAR ROB]])</f>
        <v>-2.2644157520368604</v>
      </c>
      <c r="V36" s="72">
        <f>OPTI4_UPI_INS[[#This Row],[SUMA]]-OPTI4_UPI_INS[[#This Row],[VAR ROB]]</f>
        <v>-1.5335679783607423</v>
      </c>
    </row>
    <row r="37" spans="1:22" x14ac:dyDescent="0.25">
      <c r="A37" s="72"/>
      <c r="B37" s="53">
        <v>280074.78999999998</v>
      </c>
      <c r="C37" s="53">
        <v>531927.67000000004</v>
      </c>
      <c r="D37" s="53">
        <v>-251852.88</v>
      </c>
      <c r="E37" s="52">
        <v>1549</v>
      </c>
      <c r="F37" s="54">
        <v>40.284054228534501</v>
      </c>
      <c r="G37" s="55">
        <v>624</v>
      </c>
      <c r="H37" s="55">
        <v>925</v>
      </c>
      <c r="I37" s="53">
        <v>-112399.22</v>
      </c>
      <c r="J37" s="56">
        <v>7.9129237327089902E-2</v>
      </c>
      <c r="K37" s="56">
        <v>0.24161896761575899</v>
      </c>
      <c r="L37" s="54">
        <f>-OPTI4_UPI_INS[[#This Row],[Net Profit]]/OPTI4_UPI_INS[[#This Row],[Max Intraday Drawdown]]</f>
        <v>2.4917858860586395</v>
      </c>
      <c r="M37" s="57">
        <v>1</v>
      </c>
      <c r="N37" s="54">
        <v>0.16</v>
      </c>
      <c r="O37" s="50">
        <v>0.45177659975126927</v>
      </c>
      <c r="P37" s="72">
        <f>(OPTI4_UPI_INS[[#This Row],[Net Profit]]-B$74)/ABS(B$74)</f>
        <v>-0.52496556114342763</v>
      </c>
      <c r="Q37" s="72">
        <f>(OPTI4_UPI_INS[[#This Row],[UPI]]-J$74)/ABS(J$74)</f>
        <v>-0.48301984291981542</v>
      </c>
      <c r="R37" s="72">
        <f>(OPTI4_UPI_INS[[#This Row],[SORTINO AJUSTADO]]-K$74)/ABS(K$74)</f>
        <v>-0.21483096076164693</v>
      </c>
      <c r="S37" s="72">
        <f>(OPTI4_UPI_INS[[#This Row],[RECOVERY]]-L$74)/ABS(L$74)</f>
        <v>-0.44046951957456887</v>
      </c>
      <c r="T37" s="72">
        <f>(OPTI4_UPI_INS[[#This Row],[ROB]]-O$74)/ABS(O$74)</f>
        <v>-0.64970280666425861</v>
      </c>
      <c r="U37" s="72">
        <f>SUM(OPTI4_UPI_INS[[#This Row],[VAR NET PROFIT]:[VAR ROB]])</f>
        <v>-2.3129886910637176</v>
      </c>
      <c r="V37" s="72">
        <f>OPTI4_UPI_INS[[#This Row],[SUMA]]-OPTI4_UPI_INS[[#This Row],[VAR ROB]]</f>
        <v>-1.6632858843994591</v>
      </c>
    </row>
    <row r="38" spans="1:22" x14ac:dyDescent="0.25">
      <c r="A38" s="72"/>
      <c r="B38" s="53">
        <v>300079.33</v>
      </c>
      <c r="C38" s="53">
        <v>595468.56000000006</v>
      </c>
      <c r="D38" s="53">
        <v>-295389.23</v>
      </c>
      <c r="E38" s="52">
        <v>1711</v>
      </c>
      <c r="F38" s="54">
        <v>39.6843950905903</v>
      </c>
      <c r="G38" s="55">
        <v>679</v>
      </c>
      <c r="H38" s="55">
        <v>1032</v>
      </c>
      <c r="I38" s="53">
        <v>-126997.54</v>
      </c>
      <c r="J38" s="56">
        <v>8.2482834893462906E-2</v>
      </c>
      <c r="K38" s="56">
        <v>0.23758945888731001</v>
      </c>
      <c r="L38" s="54">
        <f>-OPTI4_UPI_INS[[#This Row],[Net Profit]]/OPTI4_UPI_INS[[#This Row],[Max Intraday Drawdown]]</f>
        <v>2.3628751391562388</v>
      </c>
      <c r="M38" s="57">
        <v>1.5</v>
      </c>
      <c r="N38" s="54">
        <v>0.16</v>
      </c>
      <c r="O38" s="50">
        <v>0.41246374552070841</v>
      </c>
      <c r="P38" s="72">
        <f>(OPTI4_UPI_INS[[#This Row],[Net Profit]]-B$74)/ABS(B$74)</f>
        <v>-0.49103589030984818</v>
      </c>
      <c r="Q38" s="72">
        <f>(OPTI4_UPI_INS[[#This Row],[UPI]]-J$74)/ABS(J$74)</f>
        <v>-0.4611095673350703</v>
      </c>
      <c r="R38" s="72">
        <f>(OPTI4_UPI_INS[[#This Row],[SORTINO AJUSTADO]]-K$74)/ABS(K$74)</f>
        <v>-0.22792531973577446</v>
      </c>
      <c r="S38" s="72">
        <f>(OPTI4_UPI_INS[[#This Row],[RECOVERY]]-L$74)/ABS(L$74)</f>
        <v>-0.46941642570717867</v>
      </c>
      <c r="T38" s="72">
        <f>(OPTI4_UPI_INS[[#This Row],[ROB]]-O$74)/ABS(O$74)</f>
        <v>-0.68018509040043362</v>
      </c>
      <c r="U38" s="72">
        <f>SUM(OPTI4_UPI_INS[[#This Row],[VAR NET PROFIT]:[VAR ROB]])</f>
        <v>-2.3296722934883052</v>
      </c>
      <c r="V38" s="72">
        <f>OPTI4_UPI_INS[[#This Row],[SUMA]]-OPTI4_UPI_INS[[#This Row],[VAR ROB]]</f>
        <v>-1.6494872030878716</v>
      </c>
    </row>
    <row r="39" spans="1:22" x14ac:dyDescent="0.25">
      <c r="A39" s="72"/>
      <c r="B39" s="53">
        <v>292656.67</v>
      </c>
      <c r="C39" s="53">
        <v>548980.16</v>
      </c>
      <c r="D39" s="53">
        <v>-256323.49</v>
      </c>
      <c r="E39" s="52">
        <v>1414</v>
      </c>
      <c r="F39" s="54">
        <v>41.371994342291401</v>
      </c>
      <c r="G39" s="55">
        <v>585</v>
      </c>
      <c r="H39" s="55">
        <v>829</v>
      </c>
      <c r="I39" s="53">
        <v>-125892.43</v>
      </c>
      <c r="J39" s="56">
        <v>8.1092591644695899E-2</v>
      </c>
      <c r="K39" s="56">
        <v>0.23749103893536599</v>
      </c>
      <c r="L39" s="54">
        <f>-OPTI4_UPI_INS[[#This Row],[Net Profit]]/OPTI4_UPI_INS[[#This Row],[Max Intraday Drawdown]]</f>
        <v>2.3246566135866944</v>
      </c>
      <c r="M39" s="57">
        <v>1</v>
      </c>
      <c r="N39" s="54">
        <v>0.17</v>
      </c>
      <c r="O39" s="50">
        <v>0.40329865981673219</v>
      </c>
      <c r="P39" s="72">
        <f>(OPTI4_UPI_INS[[#This Row],[Net Profit]]-B$74)/ABS(B$74)</f>
        <v>-0.50362545300459538</v>
      </c>
      <c r="Q39" s="72">
        <f>(OPTI4_UPI_INS[[#This Row],[UPI]]-J$74)/ABS(J$74)</f>
        <v>-0.47019253334618311</v>
      </c>
      <c r="R39" s="72">
        <f>(OPTI4_UPI_INS[[#This Row],[SORTINO AJUSTADO]]-K$74)/ABS(K$74)</f>
        <v>-0.22824514685809152</v>
      </c>
      <c r="S39" s="72">
        <f>(OPTI4_UPI_INS[[#This Row],[RECOVERY]]-L$74)/ABS(L$74)</f>
        <v>-0.47799839500587449</v>
      </c>
      <c r="T39" s="72">
        <f>(OPTI4_UPI_INS[[#This Row],[ROB]]-O$74)/ABS(O$74)</f>
        <v>-0.68729148723584299</v>
      </c>
      <c r="U39" s="72">
        <f>SUM(OPTI4_UPI_INS[[#This Row],[VAR NET PROFIT]:[VAR ROB]])</f>
        <v>-2.3673530154505875</v>
      </c>
      <c r="V39" s="72">
        <f>OPTI4_UPI_INS[[#This Row],[SUMA]]-OPTI4_UPI_INS[[#This Row],[VAR ROB]]</f>
        <v>-1.6800615282147446</v>
      </c>
    </row>
    <row r="40" spans="1:22" x14ac:dyDescent="0.25">
      <c r="A40" s="72"/>
      <c r="B40" s="53">
        <v>210183.54</v>
      </c>
      <c r="C40" s="53">
        <v>446838.17</v>
      </c>
      <c r="D40" s="53">
        <v>-236654.63</v>
      </c>
      <c r="E40" s="52">
        <v>1703</v>
      </c>
      <c r="F40" s="54">
        <v>39.166177334116298</v>
      </c>
      <c r="G40" s="55">
        <v>667</v>
      </c>
      <c r="H40" s="55">
        <v>1036</v>
      </c>
      <c r="I40" s="53">
        <v>-85455.3299999999</v>
      </c>
      <c r="J40" s="56">
        <v>6.74018443448932E-2</v>
      </c>
      <c r="K40" s="56">
        <v>0.219249025670509</v>
      </c>
      <c r="L40" s="54">
        <f>-OPTI4_UPI_INS[[#This Row],[Net Profit]]/OPTI4_UPI_INS[[#This Row],[Max Intraday Drawdown]]</f>
        <v>2.4595720360567359</v>
      </c>
      <c r="M40" s="57">
        <v>1</v>
      </c>
      <c r="N40" s="54">
        <v>0.15</v>
      </c>
      <c r="O40" s="50">
        <v>0.71209629629006133</v>
      </c>
      <c r="P40" s="72">
        <f>(OPTI4_UPI_INS[[#This Row],[Net Profit]]-B$74)/ABS(B$74)</f>
        <v>-0.64350800734051083</v>
      </c>
      <c r="Q40" s="72">
        <f>(OPTI4_UPI_INS[[#This Row],[UPI]]-J$74)/ABS(J$74)</f>
        <v>-0.55963917694695509</v>
      </c>
      <c r="R40" s="72">
        <f>(OPTI4_UPI_INS[[#This Row],[SORTINO AJUSTADO]]-K$74)/ABS(K$74)</f>
        <v>-0.28752469833651145</v>
      </c>
      <c r="S40" s="72">
        <f>(OPTI4_UPI_INS[[#This Row],[RECOVERY]]-L$74)/ABS(L$74)</f>
        <v>-0.447703139071639</v>
      </c>
      <c r="T40" s="72">
        <f>(OPTI4_UPI_INS[[#This Row],[ROB]]-O$74)/ABS(O$74)</f>
        <v>-0.44785689627900166</v>
      </c>
      <c r="U40" s="72">
        <f>SUM(OPTI4_UPI_INS[[#This Row],[VAR NET PROFIT]:[VAR ROB]])</f>
        <v>-2.3862319179746181</v>
      </c>
      <c r="V40" s="72">
        <f>OPTI4_UPI_INS[[#This Row],[SUMA]]-OPTI4_UPI_INS[[#This Row],[VAR ROB]]</f>
        <v>-1.9383750216956164</v>
      </c>
    </row>
    <row r="41" spans="1:22" x14ac:dyDescent="0.25">
      <c r="A41" s="72"/>
      <c r="B41" s="53">
        <v>227102.65</v>
      </c>
      <c r="C41" s="53">
        <v>504645.36</v>
      </c>
      <c r="D41" s="53">
        <v>-277542.71000000002</v>
      </c>
      <c r="E41" s="52">
        <v>1901</v>
      </c>
      <c r="F41" s="54">
        <v>38.874276696475498</v>
      </c>
      <c r="G41" s="55">
        <v>739</v>
      </c>
      <c r="H41" s="55">
        <v>1162</v>
      </c>
      <c r="I41" s="53">
        <v>-99662.659999999902</v>
      </c>
      <c r="J41" s="56">
        <v>6.9132320183850293E-2</v>
      </c>
      <c r="K41" s="56">
        <v>0.22249982886988701</v>
      </c>
      <c r="L41" s="54">
        <f>-OPTI4_UPI_INS[[#This Row],[Net Profit]]/OPTI4_UPI_INS[[#This Row],[Max Intraday Drawdown]]</f>
        <v>2.2787135121619291</v>
      </c>
      <c r="M41" s="57">
        <v>1.5</v>
      </c>
      <c r="N41" s="54">
        <v>0.15</v>
      </c>
      <c r="O41" s="50">
        <v>0.63389793811548534</v>
      </c>
      <c r="P41" s="72">
        <f>(OPTI4_UPI_INS[[#This Row],[Net Profit]]-B$74)/ABS(B$74)</f>
        <v>-0.61481152978605969</v>
      </c>
      <c r="Q41" s="72">
        <f>(OPTI4_UPI_INS[[#This Row],[UPI]]-J$74)/ABS(J$74)</f>
        <v>-0.5483333473791876</v>
      </c>
      <c r="R41" s="72">
        <f>(OPTI4_UPI_INS[[#This Row],[SORTINO AJUSTADO]]-K$74)/ABS(K$74)</f>
        <v>-0.27696083387671594</v>
      </c>
      <c r="S41" s="72">
        <f>(OPTI4_UPI_INS[[#This Row],[RECOVERY]]-L$74)/ABS(L$74)</f>
        <v>-0.48831491768796353</v>
      </c>
      <c r="T41" s="72">
        <f>(OPTI4_UPI_INS[[#This Row],[ROB]]-O$74)/ABS(O$74)</f>
        <v>-0.50849010615994361</v>
      </c>
      <c r="U41" s="72">
        <f>SUM(OPTI4_UPI_INS[[#This Row],[VAR NET PROFIT]:[VAR ROB]])</f>
        <v>-2.4369107348898704</v>
      </c>
      <c r="V41" s="72">
        <f>OPTI4_UPI_INS[[#This Row],[SUMA]]-OPTI4_UPI_INS[[#This Row],[VAR ROB]]</f>
        <v>-1.9284206287299268</v>
      </c>
    </row>
    <row r="42" spans="1:22" x14ac:dyDescent="0.25">
      <c r="A42" s="72"/>
      <c r="B42" s="53">
        <v>193531.8</v>
      </c>
      <c r="C42" s="53">
        <v>484035.96</v>
      </c>
      <c r="D42" s="53">
        <v>-290504.15999999997</v>
      </c>
      <c r="E42" s="52">
        <v>2313</v>
      </c>
      <c r="F42" s="54">
        <v>38.391699092088203</v>
      </c>
      <c r="G42" s="55">
        <v>888</v>
      </c>
      <c r="H42" s="55">
        <v>1424</v>
      </c>
      <c r="I42" s="53">
        <v>-79621.080000000104</v>
      </c>
      <c r="J42" s="56">
        <v>6.5937833940441504E-2</v>
      </c>
      <c r="K42" s="56">
        <v>0.22869446684185599</v>
      </c>
      <c r="L42" s="54">
        <f>-OPTI4_UPI_INS[[#This Row],[Net Profit]]/OPTI4_UPI_INS[[#This Row],[Max Intraday Drawdown]]</f>
        <v>2.4306603226180772</v>
      </c>
      <c r="M42" s="57">
        <v>1.5</v>
      </c>
      <c r="N42" s="54">
        <v>0.13</v>
      </c>
      <c r="O42" s="50">
        <v>0.62293506125107645</v>
      </c>
      <c r="P42" s="72">
        <f>(OPTI4_UPI_INS[[#This Row],[Net Profit]]-B$74)/ABS(B$74)</f>
        <v>-0.67175099903171431</v>
      </c>
      <c r="Q42" s="72">
        <f>(OPTI4_UPI_INS[[#This Row],[UPI]]-J$74)/ABS(J$74)</f>
        <v>-0.56920409068082412</v>
      </c>
      <c r="R42" s="72">
        <f>(OPTI4_UPI_INS[[#This Row],[SORTINO AJUSTADO]]-K$74)/ABS(K$74)</f>
        <v>-0.25683063469212564</v>
      </c>
      <c r="S42" s="72">
        <f>(OPTI4_UPI_INS[[#This Row],[RECOVERY]]-L$74)/ABS(L$74)</f>
        <v>-0.45419526385682385</v>
      </c>
      <c r="T42" s="72">
        <f>(OPTI4_UPI_INS[[#This Row],[ROB]]-O$74)/ABS(O$74)</f>
        <v>-0.5169904689467768</v>
      </c>
      <c r="U42" s="72">
        <f>SUM(OPTI4_UPI_INS[[#This Row],[VAR NET PROFIT]:[VAR ROB]])</f>
        <v>-2.4689714572082648</v>
      </c>
      <c r="V42" s="72">
        <f>OPTI4_UPI_INS[[#This Row],[SUMA]]-OPTI4_UPI_INS[[#This Row],[VAR ROB]]</f>
        <v>-1.951980988261488</v>
      </c>
    </row>
    <row r="43" spans="1:22" x14ac:dyDescent="0.25">
      <c r="A43" s="72"/>
      <c r="B43" s="53">
        <v>197453.8</v>
      </c>
      <c r="C43" s="53">
        <v>484642.98</v>
      </c>
      <c r="D43" s="53">
        <v>-287189.18</v>
      </c>
      <c r="E43" s="52">
        <v>2105</v>
      </c>
      <c r="F43" s="54">
        <v>38.717339667458397</v>
      </c>
      <c r="G43" s="55">
        <v>815</v>
      </c>
      <c r="H43" s="55">
        <v>1290</v>
      </c>
      <c r="I43" s="53">
        <v>-85846.880000000107</v>
      </c>
      <c r="J43" s="56">
        <v>6.6117841708050504E-2</v>
      </c>
      <c r="K43" s="56">
        <v>0.218076661182144</v>
      </c>
      <c r="L43" s="54">
        <f>-OPTI4_UPI_INS[[#This Row],[Net Profit]]/OPTI4_UPI_INS[[#This Row],[Max Intraday Drawdown]]</f>
        <v>2.3000696123143873</v>
      </c>
      <c r="M43" s="57">
        <v>1.5</v>
      </c>
      <c r="N43" s="54">
        <v>0.14000000000000001</v>
      </c>
      <c r="O43" s="50">
        <v>0.67275629511985902</v>
      </c>
      <c r="P43" s="72">
        <f>(OPTI4_UPI_INS[[#This Row],[Net Profit]]-B$74)/ABS(B$74)</f>
        <v>-0.66509890060759169</v>
      </c>
      <c r="Q43" s="72">
        <f>(OPTI4_UPI_INS[[#This Row],[UPI]]-J$74)/ABS(J$74)</f>
        <v>-0.56802803430624438</v>
      </c>
      <c r="R43" s="72">
        <f>(OPTI4_UPI_INS[[#This Row],[SORTINO AJUSTADO]]-K$74)/ABS(K$74)</f>
        <v>-0.29133443359053574</v>
      </c>
      <c r="S43" s="72">
        <f>(OPTI4_UPI_INS[[#This Row],[RECOVERY]]-L$74)/ABS(L$74)</f>
        <v>-0.48351940574403024</v>
      </c>
      <c r="T43" s="72">
        <f>(OPTI4_UPI_INS[[#This Row],[ROB]]-O$74)/ABS(O$74)</f>
        <v>-0.47836022912832094</v>
      </c>
      <c r="U43" s="72">
        <f>SUM(OPTI4_UPI_INS[[#This Row],[VAR NET PROFIT]:[VAR ROB]])</f>
        <v>-2.4863410033767233</v>
      </c>
      <c r="V43" s="72">
        <f>OPTI4_UPI_INS[[#This Row],[SUMA]]-OPTI4_UPI_INS[[#This Row],[VAR ROB]]</f>
        <v>-2.0079807742484022</v>
      </c>
    </row>
    <row r="44" spans="1:22" x14ac:dyDescent="0.25">
      <c r="A44" s="72"/>
      <c r="B44" s="53">
        <v>121867.17</v>
      </c>
      <c r="C44" s="53">
        <v>360743.47</v>
      </c>
      <c r="D44" s="53">
        <v>-238876.3</v>
      </c>
      <c r="E44" s="52">
        <v>2284</v>
      </c>
      <c r="F44" s="54">
        <v>38.178633975481603</v>
      </c>
      <c r="G44" s="55">
        <v>872</v>
      </c>
      <c r="H44" s="55">
        <v>1412</v>
      </c>
      <c r="I44" s="53">
        <v>-46388.76</v>
      </c>
      <c r="J44" s="56">
        <v>4.6909994371048501E-2</v>
      </c>
      <c r="K44" s="56">
        <v>0.19146718770069801</v>
      </c>
      <c r="L44" s="54">
        <f>-OPTI4_UPI_INS[[#This Row],[Net Profit]]/OPTI4_UPI_INS[[#This Row],[Max Intraday Drawdown]]</f>
        <v>2.6270840177663723</v>
      </c>
      <c r="M44" s="57">
        <v>1</v>
      </c>
      <c r="N44" s="54">
        <v>0.12</v>
      </c>
      <c r="O44" s="50">
        <v>0.98848721035166731</v>
      </c>
      <c r="P44" s="72">
        <f>(OPTI4_UPI_INS[[#This Row],[Net Profit]]-B$74)/ABS(B$74)</f>
        <v>-0.79330127243516446</v>
      </c>
      <c r="Q44" s="72">
        <f>(OPTI4_UPI_INS[[#This Row],[UPI]]-J$74)/ABS(J$74)</f>
        <v>-0.69351990392212826</v>
      </c>
      <c r="R44" s="72">
        <f>(OPTI4_UPI_INS[[#This Row],[SORTINO AJUSTADO]]-K$74)/ABS(K$74)</f>
        <v>-0.37780502376908054</v>
      </c>
      <c r="S44" s="72">
        <f>(OPTI4_UPI_INS[[#This Row],[RECOVERY]]-L$74)/ABS(L$74)</f>
        <v>-0.41008832628719766</v>
      </c>
      <c r="T44" s="72">
        <f>(OPTI4_UPI_INS[[#This Row],[ROB]]-O$74)/ABS(O$74)</f>
        <v>-0.23354973315327654</v>
      </c>
      <c r="U44" s="72">
        <f>SUM(OPTI4_UPI_INS[[#This Row],[VAR NET PROFIT]:[VAR ROB]])</f>
        <v>-2.5082642595668476</v>
      </c>
      <c r="V44" s="72">
        <f>OPTI4_UPI_INS[[#This Row],[SUMA]]-OPTI4_UPI_INS[[#This Row],[VAR ROB]]</f>
        <v>-2.2747145264135709</v>
      </c>
    </row>
    <row r="45" spans="1:22" x14ac:dyDescent="0.25">
      <c r="A45" s="72"/>
      <c r="B45" s="53">
        <v>162247.96</v>
      </c>
      <c r="C45" s="53">
        <v>413088.58</v>
      </c>
      <c r="D45" s="53">
        <v>-250840.62</v>
      </c>
      <c r="E45" s="52">
        <v>2047</v>
      </c>
      <c r="F45" s="54">
        <v>38.6419149975574</v>
      </c>
      <c r="G45" s="55">
        <v>791</v>
      </c>
      <c r="H45" s="55">
        <v>1254</v>
      </c>
      <c r="I45" s="53">
        <v>-64601.359999999899</v>
      </c>
      <c r="J45" s="56">
        <v>5.92955212936025E-2</v>
      </c>
      <c r="K45" s="56">
        <v>0.210033506515406</v>
      </c>
      <c r="L45" s="54">
        <f>-OPTI4_UPI_INS[[#This Row],[Net Profit]]/OPTI4_UPI_INS[[#This Row],[Max Intraday Drawdown]]</f>
        <v>2.5115254539532952</v>
      </c>
      <c r="M45" s="57">
        <v>1</v>
      </c>
      <c r="N45" s="54">
        <v>0.13</v>
      </c>
      <c r="O45" s="50">
        <v>0.7506348780191211</v>
      </c>
      <c r="P45" s="72">
        <f>(OPTI4_UPI_INS[[#This Row],[Net Profit]]-B$74)/ABS(B$74)</f>
        <v>-0.72481147398441825</v>
      </c>
      <c r="Q45" s="72">
        <f>(OPTI4_UPI_INS[[#This Row],[UPI]]-J$74)/ABS(J$74)</f>
        <v>-0.61260074091446559</v>
      </c>
      <c r="R45" s="72">
        <f>(OPTI4_UPI_INS[[#This Row],[SORTINO AJUSTADO]]-K$74)/ABS(K$74)</f>
        <v>-0.31747160355051635</v>
      </c>
      <c r="S45" s="72">
        <f>(OPTI4_UPI_INS[[#This Row],[RECOVERY]]-L$74)/ABS(L$74)</f>
        <v>-0.43603699992298789</v>
      </c>
      <c r="T45" s="72">
        <f>(OPTI4_UPI_INS[[#This Row],[ROB]]-O$74)/ABS(O$74)</f>
        <v>-0.41797496564721975</v>
      </c>
      <c r="U45" s="72">
        <f>SUM(OPTI4_UPI_INS[[#This Row],[VAR NET PROFIT]:[VAR ROB]])</f>
        <v>-2.5088957840196078</v>
      </c>
      <c r="V45" s="72">
        <f>OPTI4_UPI_INS[[#This Row],[SUMA]]-OPTI4_UPI_INS[[#This Row],[VAR ROB]]</f>
        <v>-2.0909208183723882</v>
      </c>
    </row>
    <row r="46" spans="1:22" x14ac:dyDescent="0.25">
      <c r="A46" s="72"/>
      <c r="B46" s="53">
        <v>160758.53</v>
      </c>
      <c r="C46" s="53">
        <v>395746.69</v>
      </c>
      <c r="D46" s="53">
        <v>-234988.16</v>
      </c>
      <c r="E46" s="52">
        <v>1881</v>
      </c>
      <c r="F46" s="54">
        <v>38.915470494417903</v>
      </c>
      <c r="G46" s="55">
        <v>732</v>
      </c>
      <c r="H46" s="55">
        <v>1149</v>
      </c>
      <c r="I46" s="53">
        <v>-67654.310000000201</v>
      </c>
      <c r="J46" s="56">
        <v>5.3884228624295101E-2</v>
      </c>
      <c r="K46" s="56">
        <v>0.19678722336940899</v>
      </c>
      <c r="L46" s="54">
        <f>-OPTI4_UPI_INS[[#This Row],[Net Profit]]/OPTI4_UPI_INS[[#This Row],[Max Intraday Drawdown]]</f>
        <v>2.3761757381015269</v>
      </c>
      <c r="M46" s="57">
        <v>1</v>
      </c>
      <c r="N46" s="54">
        <v>0.14000000000000001</v>
      </c>
      <c r="O46" s="50">
        <v>0.88354582514896851</v>
      </c>
      <c r="P46" s="72">
        <f>(OPTI4_UPI_INS[[#This Row],[Net Profit]]-B$74)/ABS(B$74)</f>
        <v>-0.72733769401395432</v>
      </c>
      <c r="Q46" s="72">
        <f>(OPTI4_UPI_INS[[#This Row],[UPI]]-J$74)/ABS(J$74)</f>
        <v>-0.64795468881897356</v>
      </c>
      <c r="R46" s="72">
        <f>(OPTI4_UPI_INS[[#This Row],[SORTINO AJUSTADO]]-K$74)/ABS(K$74)</f>
        <v>-0.36051694686048963</v>
      </c>
      <c r="S46" s="72">
        <f>(OPTI4_UPI_INS[[#This Row],[RECOVERY]]-L$74)/ABS(L$74)</f>
        <v>-0.46642977642906813</v>
      </c>
      <c r="T46" s="72">
        <f>(OPTI4_UPI_INS[[#This Row],[ROB]]-O$74)/ABS(O$74)</f>
        <v>-0.31491887162018539</v>
      </c>
      <c r="U46" s="72">
        <f>SUM(OPTI4_UPI_INS[[#This Row],[VAR NET PROFIT]:[VAR ROB]])</f>
        <v>-2.5171579777426709</v>
      </c>
      <c r="V46" s="72">
        <f>OPTI4_UPI_INS[[#This Row],[SUMA]]-OPTI4_UPI_INS[[#This Row],[VAR ROB]]</f>
        <v>-2.2022391061224855</v>
      </c>
    </row>
    <row r="47" spans="1:22" x14ac:dyDescent="0.25">
      <c r="A47" s="72"/>
      <c r="B47" s="53">
        <v>275941.7</v>
      </c>
      <c r="C47" s="53">
        <v>564052.01</v>
      </c>
      <c r="D47" s="53">
        <v>-288110.31</v>
      </c>
      <c r="E47" s="52">
        <v>1631</v>
      </c>
      <c r="F47" s="54">
        <v>39.8528510116493</v>
      </c>
      <c r="G47" s="55">
        <v>650</v>
      </c>
      <c r="H47" s="55">
        <v>981</v>
      </c>
      <c r="I47" s="53">
        <v>-124250.55</v>
      </c>
      <c r="J47" s="56">
        <v>7.0120868815261306E-2</v>
      </c>
      <c r="K47" s="56">
        <v>0.22363798082129799</v>
      </c>
      <c r="L47" s="54">
        <f>-OPTI4_UPI_INS[[#This Row],[Net Profit]]/OPTI4_UPI_INS[[#This Row],[Max Intraday Drawdown]]</f>
        <v>2.2208489217955174</v>
      </c>
      <c r="M47" s="57">
        <v>0</v>
      </c>
      <c r="N47" s="54">
        <v>0.17</v>
      </c>
      <c r="O47" s="50">
        <v>0.4094195290822924</v>
      </c>
      <c r="P47" s="72">
        <f>(OPTI4_UPI_INS[[#This Row],[Net Profit]]-B$74)/ABS(B$74)</f>
        <v>-0.53197568900568071</v>
      </c>
      <c r="Q47" s="72">
        <f>(OPTI4_UPI_INS[[#This Row],[UPI]]-J$74)/ABS(J$74)</f>
        <v>-0.5418747987565623</v>
      </c>
      <c r="R47" s="72">
        <f>(OPTI4_UPI_INS[[#This Row],[SORTINO AJUSTADO]]-K$74)/ABS(K$74)</f>
        <v>-0.27326227625512328</v>
      </c>
      <c r="S47" s="72">
        <f>(OPTI4_UPI_INS[[#This Row],[RECOVERY]]-L$74)/ABS(L$74)</f>
        <v>-0.50130841051914377</v>
      </c>
      <c r="T47" s="72">
        <f>(OPTI4_UPI_INS[[#This Row],[ROB]]-O$74)/ABS(O$74)</f>
        <v>-0.68254550586876639</v>
      </c>
      <c r="U47" s="72">
        <f>SUM(OPTI4_UPI_INS[[#This Row],[VAR NET PROFIT]:[VAR ROB]])</f>
        <v>-2.5309666804052764</v>
      </c>
      <c r="V47" s="72">
        <f>OPTI4_UPI_INS[[#This Row],[SUMA]]-OPTI4_UPI_INS[[#This Row],[VAR ROB]]</f>
        <v>-1.84842117453651</v>
      </c>
    </row>
    <row r="48" spans="1:22" x14ac:dyDescent="0.25">
      <c r="A48" s="72"/>
      <c r="B48" s="53">
        <v>256844.63</v>
      </c>
      <c r="C48" s="53">
        <v>547794.23</v>
      </c>
      <c r="D48" s="53">
        <v>-290949.59999999998</v>
      </c>
      <c r="E48" s="52">
        <v>1797</v>
      </c>
      <c r="F48" s="54">
        <v>39.009460211463498</v>
      </c>
      <c r="G48" s="55">
        <v>701</v>
      </c>
      <c r="H48" s="55">
        <v>1096</v>
      </c>
      <c r="I48" s="53">
        <v>-112179.17</v>
      </c>
      <c r="J48" s="56">
        <v>6.9562373812787695E-2</v>
      </c>
      <c r="K48" s="56">
        <v>0.229264116828197</v>
      </c>
      <c r="L48" s="54">
        <f>-OPTI4_UPI_INS[[#This Row],[Net Profit]]/OPTI4_UPI_INS[[#This Row],[Max Intraday Drawdown]]</f>
        <v>2.2895928896603532</v>
      </c>
      <c r="M48" s="57">
        <v>0</v>
      </c>
      <c r="N48" s="54">
        <v>0.16</v>
      </c>
      <c r="O48" s="50">
        <v>0.40587391443805165</v>
      </c>
      <c r="P48" s="72">
        <f>(OPTI4_UPI_INS[[#This Row],[Net Profit]]-B$74)/ABS(B$74)</f>
        <v>-0.56436620130867909</v>
      </c>
      <c r="Q48" s="72">
        <f>(OPTI4_UPI_INS[[#This Row],[UPI]]-J$74)/ABS(J$74)</f>
        <v>-0.54552365022866489</v>
      </c>
      <c r="R48" s="72">
        <f>(OPTI4_UPI_INS[[#This Row],[SORTINO AJUSTADO]]-K$74)/ABS(K$74)</f>
        <v>-0.25497949056676539</v>
      </c>
      <c r="S48" s="72">
        <f>(OPTI4_UPI_INS[[#This Row],[RECOVERY]]-L$74)/ABS(L$74)</f>
        <v>-0.48587195364659819</v>
      </c>
      <c r="T48" s="72">
        <f>(OPTI4_UPI_INS[[#This Row],[ROB]]-O$74)/ABS(O$74)</f>
        <v>-0.68529469398344833</v>
      </c>
      <c r="U48" s="72">
        <f>SUM(OPTI4_UPI_INS[[#This Row],[VAR NET PROFIT]:[VAR ROB]])</f>
        <v>-2.536035989734156</v>
      </c>
      <c r="V48" s="72">
        <f>OPTI4_UPI_INS[[#This Row],[SUMA]]-OPTI4_UPI_INS[[#This Row],[VAR ROB]]</f>
        <v>-1.8507412957507077</v>
      </c>
    </row>
    <row r="49" spans="1:22" x14ac:dyDescent="0.25">
      <c r="A49" s="72"/>
      <c r="B49" s="53">
        <v>95267.76</v>
      </c>
      <c r="C49" s="53">
        <v>364473.56</v>
      </c>
      <c r="D49" s="53">
        <v>-269205.8</v>
      </c>
      <c r="E49" s="52">
        <v>2906</v>
      </c>
      <c r="F49" s="54">
        <v>36.682725395733002</v>
      </c>
      <c r="G49" s="55">
        <v>1066</v>
      </c>
      <c r="H49" s="55">
        <v>1840</v>
      </c>
      <c r="I49" s="53">
        <v>-42550.83</v>
      </c>
      <c r="J49" s="56">
        <v>3.9849877307708399E-2</v>
      </c>
      <c r="K49" s="56">
        <v>0.17548010079769399</v>
      </c>
      <c r="L49" s="54">
        <f>-OPTI4_UPI_INS[[#This Row],[Net Profit]]/OPTI4_UPI_INS[[#This Row],[Max Intraday Drawdown]]</f>
        <v>2.2389166086771981</v>
      </c>
      <c r="M49" s="57">
        <v>1.5</v>
      </c>
      <c r="N49" s="54">
        <v>0.11</v>
      </c>
      <c r="O49" s="50">
        <v>1.2415066513121078</v>
      </c>
      <c r="P49" s="72">
        <f>(OPTI4_UPI_INS[[#This Row],[Net Profit]]-B$74)/ABS(B$74)</f>
        <v>-0.83841649256356621</v>
      </c>
      <c r="Q49" s="72">
        <f>(OPTI4_UPI_INS[[#This Row],[UPI]]-J$74)/ABS(J$74)</f>
        <v>-0.73964622273552216</v>
      </c>
      <c r="R49" s="72">
        <f>(OPTI4_UPI_INS[[#This Row],[SORTINO AJUSTADO]]-K$74)/ABS(K$74)</f>
        <v>-0.42975692881907551</v>
      </c>
      <c r="S49" s="72">
        <f>(OPTI4_UPI_INS[[#This Row],[RECOVERY]]-L$74)/ABS(L$74)</f>
        <v>-0.4972513117219941</v>
      </c>
      <c r="T49" s="72">
        <f>(OPTI4_UPI_INS[[#This Row],[ROB]]-O$74)/ABS(O$74)</f>
        <v>-3.7364273178992817E-2</v>
      </c>
      <c r="U49" s="72">
        <f>SUM(OPTI4_UPI_INS[[#This Row],[VAR NET PROFIT]:[VAR ROB]])</f>
        <v>-2.542435229019151</v>
      </c>
      <c r="V49" s="72">
        <f>OPTI4_UPI_INS[[#This Row],[SUMA]]-OPTI4_UPI_INS[[#This Row],[VAR ROB]]</f>
        <v>-2.505070955840158</v>
      </c>
    </row>
    <row r="50" spans="1:22" x14ac:dyDescent="0.25">
      <c r="A50" s="72"/>
      <c r="B50" s="53">
        <v>56237.18</v>
      </c>
      <c r="C50" s="53">
        <v>137184.26</v>
      </c>
      <c r="D50" s="53">
        <v>-80947.08</v>
      </c>
      <c r="E50" s="52">
        <v>837</v>
      </c>
      <c r="F50" s="54">
        <v>39.904420549581801</v>
      </c>
      <c r="G50" s="55">
        <v>334</v>
      </c>
      <c r="H50" s="55">
        <v>503</v>
      </c>
      <c r="I50" s="53">
        <v>-16309.53</v>
      </c>
      <c r="J50" s="56">
        <v>7.7221279807716897E-2</v>
      </c>
      <c r="K50" s="56">
        <v>0.19319625450441399</v>
      </c>
      <c r="L50" s="54">
        <f>-OPTI4_UPI_INS[[#This Row],[Net Profit]]/OPTI4_UPI_INS[[#This Row],[Max Intraday Drawdown]]</f>
        <v>3.4481177569188075</v>
      </c>
      <c r="M50" s="57">
        <v>0.5</v>
      </c>
      <c r="N50" s="54">
        <v>0.11</v>
      </c>
      <c r="O50" s="50">
        <v>0.58707987095507985</v>
      </c>
      <c r="P50" s="72">
        <f>(OPTI4_UPI_INS[[#This Row],[Net Profit]]-B$74)/ABS(B$74)</f>
        <v>-0.90461620182174884</v>
      </c>
      <c r="Q50" s="72">
        <f>(OPTI4_UPI_INS[[#This Row],[UPI]]-J$74)/ABS(J$74)</f>
        <v>-0.49548522501354741</v>
      </c>
      <c r="R50" s="72">
        <f>(OPTI4_UPI_INS[[#This Row],[SORTINO AJUSTADO]]-K$74)/ABS(K$74)</f>
        <v>-0.37218621935794843</v>
      </c>
      <c r="S50" s="72">
        <f>(OPTI4_UPI_INS[[#This Row],[RECOVERY]]-L$74)/ABS(L$74)</f>
        <v>-0.22572521343559884</v>
      </c>
      <c r="T50" s="72">
        <f>(OPTI4_UPI_INS[[#This Row],[ROB]]-O$74)/ABS(O$74)</f>
        <v>-0.54479175952739023</v>
      </c>
      <c r="U50" s="72">
        <f>SUM(OPTI4_UPI_INS[[#This Row],[VAR NET PROFIT]:[VAR ROB]])</f>
        <v>-2.5428046191562337</v>
      </c>
      <c r="V50" s="72">
        <f>OPTI4_UPI_INS[[#This Row],[SUMA]]-OPTI4_UPI_INS[[#This Row],[VAR ROB]]</f>
        <v>-1.9980128596288433</v>
      </c>
    </row>
    <row r="51" spans="1:22" x14ac:dyDescent="0.25">
      <c r="A51" s="72"/>
      <c r="B51" s="53">
        <v>84575.16</v>
      </c>
      <c r="C51" s="53">
        <v>312705.02</v>
      </c>
      <c r="D51" s="53">
        <v>-228129.86</v>
      </c>
      <c r="E51" s="52">
        <v>2560</v>
      </c>
      <c r="F51" s="54">
        <v>37.1875</v>
      </c>
      <c r="G51" s="55">
        <v>952</v>
      </c>
      <c r="H51" s="55">
        <v>1608</v>
      </c>
      <c r="I51" s="53">
        <v>-37821.22</v>
      </c>
      <c r="J51" s="56">
        <v>3.5313031140823799E-2</v>
      </c>
      <c r="K51" s="56">
        <v>0.16706848980484901</v>
      </c>
      <c r="L51" s="54">
        <f>-OPTI4_UPI_INS[[#This Row],[Net Profit]]/OPTI4_UPI_INS[[#This Row],[Max Intraday Drawdown]]</f>
        <v>2.2361827566641161</v>
      </c>
      <c r="M51" s="57">
        <v>1</v>
      </c>
      <c r="N51" s="54">
        <v>0.11</v>
      </c>
      <c r="O51" s="50">
        <v>1.2896951741153837</v>
      </c>
      <c r="P51" s="72">
        <f>(OPTI4_UPI_INS[[#This Row],[Net Profit]]-B$74)/ABS(B$74)</f>
        <v>-0.85655219567671603</v>
      </c>
      <c r="Q51" s="72">
        <f>(OPTI4_UPI_INS[[#This Row],[UPI]]-J$74)/ABS(J$74)</f>
        <v>-0.76928709282642682</v>
      </c>
      <c r="R51" s="72">
        <f>(OPTI4_UPI_INS[[#This Row],[SORTINO AJUSTADO]]-K$74)/ABS(K$74)</f>
        <v>-0.45709144062032575</v>
      </c>
      <c r="S51" s="72">
        <f>(OPTI4_UPI_INS[[#This Row],[RECOVERY]]-L$74)/ABS(L$74)</f>
        <v>-0.49786519814732871</v>
      </c>
      <c r="T51" s="72">
        <f>(OPTI4_UPI_INS[[#This Row],[ROB]]-O$74)/ABS(O$74)</f>
        <v>0</v>
      </c>
      <c r="U51" s="72">
        <f>SUM(OPTI4_UPI_INS[[#This Row],[VAR NET PROFIT]:[VAR ROB]])</f>
        <v>-2.5807959272707972</v>
      </c>
      <c r="V51" s="72">
        <f>OPTI4_UPI_INS[[#This Row],[SUMA]]-OPTI4_UPI_INS[[#This Row],[VAR ROB]]</f>
        <v>-2.5807959272707972</v>
      </c>
    </row>
    <row r="52" spans="1:22" x14ac:dyDescent="0.25">
      <c r="A52" s="72"/>
      <c r="B52" s="53">
        <v>148453.44</v>
      </c>
      <c r="C52" s="53">
        <v>434745.25</v>
      </c>
      <c r="D52" s="53">
        <v>-286291.81</v>
      </c>
      <c r="E52" s="52">
        <v>2579</v>
      </c>
      <c r="F52" s="54">
        <v>37.184955409073297</v>
      </c>
      <c r="G52" s="55">
        <v>959</v>
      </c>
      <c r="H52" s="55">
        <v>1620</v>
      </c>
      <c r="I52" s="53">
        <v>-60101.569999999898</v>
      </c>
      <c r="J52" s="56">
        <v>5.4726350929986997E-2</v>
      </c>
      <c r="K52" s="56">
        <v>0.209485669337591</v>
      </c>
      <c r="L52" s="54">
        <f>-OPTI4_UPI_INS[[#This Row],[Net Profit]]/OPTI4_UPI_INS[[#This Row],[Max Intraday Drawdown]]</f>
        <v>2.470042629502029</v>
      </c>
      <c r="M52" s="57">
        <v>1.5</v>
      </c>
      <c r="N52" s="54">
        <v>0.12</v>
      </c>
      <c r="O52" s="50">
        <v>0.74086605127287886</v>
      </c>
      <c r="P52" s="72">
        <f>(OPTI4_UPI_INS[[#This Row],[Net Profit]]-B$74)/ABS(B$74)</f>
        <v>-0.7482083390414116</v>
      </c>
      <c r="Q52" s="72">
        <f>(OPTI4_UPI_INS[[#This Row],[UPI]]-J$74)/ABS(J$74)</f>
        <v>-0.64245279676764855</v>
      </c>
      <c r="R52" s="72">
        <f>(OPTI4_UPI_INS[[#This Row],[SORTINO AJUSTADO]]-K$74)/ABS(K$74)</f>
        <v>-0.31925186440838121</v>
      </c>
      <c r="S52" s="72">
        <f>(OPTI4_UPI_INS[[#This Row],[RECOVERY]]-L$74)/ABS(L$74)</f>
        <v>-0.44535196748279471</v>
      </c>
      <c r="T52" s="72">
        <f>(OPTI4_UPI_INS[[#This Row],[ROB]]-O$74)/ABS(O$74)</f>
        <v>-0.42554948941245196</v>
      </c>
      <c r="U52" s="72">
        <f>SUM(OPTI4_UPI_INS[[#This Row],[VAR NET PROFIT]:[VAR ROB]])</f>
        <v>-2.5808144571126883</v>
      </c>
      <c r="V52" s="72">
        <f>OPTI4_UPI_INS[[#This Row],[SUMA]]-OPTI4_UPI_INS[[#This Row],[VAR ROB]]</f>
        <v>-2.1552649677002362</v>
      </c>
    </row>
    <row r="53" spans="1:22" x14ac:dyDescent="0.25">
      <c r="A53" s="72"/>
      <c r="B53" s="53">
        <v>176394.54</v>
      </c>
      <c r="C53" s="53">
        <v>472913.65</v>
      </c>
      <c r="D53" s="53">
        <v>-296519.11</v>
      </c>
      <c r="E53" s="52">
        <v>2452</v>
      </c>
      <c r="F53" s="54">
        <v>38.376835236541602</v>
      </c>
      <c r="G53" s="55">
        <v>941</v>
      </c>
      <c r="H53" s="55">
        <v>1509</v>
      </c>
      <c r="I53" s="53">
        <v>-74448.779999999897</v>
      </c>
      <c r="J53" s="56">
        <v>5.6020249585540603E-2</v>
      </c>
      <c r="K53" s="56">
        <v>0.22132118747788601</v>
      </c>
      <c r="L53" s="54">
        <f>-OPTI4_UPI_INS[[#This Row],[Net Profit]]/OPTI4_UPI_INS[[#This Row],[Max Intraday Drawdown]]</f>
        <v>2.3693409079369769</v>
      </c>
      <c r="M53" s="57">
        <v>0</v>
      </c>
      <c r="N53" s="54">
        <v>0.13</v>
      </c>
      <c r="O53" s="50">
        <v>0.59580394913004386</v>
      </c>
      <c r="P53" s="72">
        <f>(OPTI4_UPI_INS[[#This Row],[Net Profit]]-B$74)/ABS(B$74)</f>
        <v>-0.70081748047989878</v>
      </c>
      <c r="Q53" s="72">
        <f>(OPTI4_UPI_INS[[#This Row],[UPI]]-J$74)/ABS(J$74)</f>
        <v>-0.63399928511014469</v>
      </c>
      <c r="R53" s="72">
        <f>(OPTI4_UPI_INS[[#This Row],[SORTINO AJUSTADO]]-K$74)/ABS(K$74)</f>
        <v>-0.28079096666180287</v>
      </c>
      <c r="S53" s="72">
        <f>(OPTI4_UPI_INS[[#This Row],[RECOVERY]]-L$74)/ABS(L$74)</f>
        <v>-0.46796453743200728</v>
      </c>
      <c r="T53" s="72">
        <f>(OPTI4_UPI_INS[[#This Row],[ROB]]-O$74)/ABS(O$74)</f>
        <v>-0.53802730979534563</v>
      </c>
      <c r="U53" s="72">
        <f>SUM(OPTI4_UPI_INS[[#This Row],[VAR NET PROFIT]:[VAR ROB]])</f>
        <v>-2.6215995794791995</v>
      </c>
      <c r="V53" s="72">
        <f>OPTI4_UPI_INS[[#This Row],[SUMA]]-OPTI4_UPI_INS[[#This Row],[VAR ROB]]</f>
        <v>-2.0835722696838541</v>
      </c>
    </row>
    <row r="54" spans="1:22" x14ac:dyDescent="0.25">
      <c r="A54" s="72"/>
      <c r="B54" s="53">
        <v>184807.67999999999</v>
      </c>
      <c r="C54" s="53">
        <v>455188.87</v>
      </c>
      <c r="D54" s="53">
        <v>-270381.19</v>
      </c>
      <c r="E54" s="52">
        <v>2008</v>
      </c>
      <c r="F54" s="54">
        <v>38.0478087649402</v>
      </c>
      <c r="G54" s="55">
        <v>764</v>
      </c>
      <c r="H54" s="55">
        <v>1244</v>
      </c>
      <c r="I54" s="53">
        <v>-82912.11</v>
      </c>
      <c r="J54" s="56">
        <v>5.6874788467502498E-2</v>
      </c>
      <c r="K54" s="56">
        <v>0.202149326403299</v>
      </c>
      <c r="L54" s="54">
        <f>-OPTI4_UPI_INS[[#This Row],[Net Profit]]/OPTI4_UPI_INS[[#This Row],[Max Intraday Drawdown]]</f>
        <v>2.228958833637209</v>
      </c>
      <c r="M54" s="57">
        <v>0</v>
      </c>
      <c r="N54" s="54">
        <v>0.15</v>
      </c>
      <c r="O54" s="50">
        <v>0.68094608099665477</v>
      </c>
      <c r="P54" s="72">
        <f>(OPTI4_UPI_INS[[#This Row],[Net Profit]]-B$74)/ABS(B$74)</f>
        <v>-0.68654796611581859</v>
      </c>
      <c r="Q54" s="72">
        <f>(OPTI4_UPI_INS[[#This Row],[UPI]]-J$74)/ABS(J$74)</f>
        <v>-0.62841627103910502</v>
      </c>
      <c r="R54" s="72">
        <f>(OPTI4_UPI_INS[[#This Row],[SORTINO AJUSTADO]]-K$74)/ABS(K$74)</f>
        <v>-0.34309216713826274</v>
      </c>
      <c r="S54" s="72">
        <f>(OPTI4_UPI_INS[[#This Row],[RECOVERY]]-L$74)/ABS(L$74)</f>
        <v>-0.49948732994621897</v>
      </c>
      <c r="T54" s="72">
        <f>(OPTI4_UPI_INS[[#This Row],[ROB]]-O$74)/ABS(O$74)</f>
        <v>-0.47201005736590179</v>
      </c>
      <c r="U54" s="72">
        <f>SUM(OPTI4_UPI_INS[[#This Row],[VAR NET PROFIT]:[VAR ROB]])</f>
        <v>-2.6295537916053071</v>
      </c>
      <c r="V54" s="72">
        <f>OPTI4_UPI_INS[[#This Row],[SUMA]]-OPTI4_UPI_INS[[#This Row],[VAR ROB]]</f>
        <v>-2.1575437342394053</v>
      </c>
    </row>
    <row r="55" spans="1:22" x14ac:dyDescent="0.25">
      <c r="A55" s="72"/>
      <c r="B55" s="53">
        <v>167144.5</v>
      </c>
      <c r="C55" s="53">
        <v>440115.7</v>
      </c>
      <c r="D55" s="53">
        <v>-272971.2</v>
      </c>
      <c r="E55" s="52">
        <v>2225</v>
      </c>
      <c r="F55" s="54">
        <v>38.606741573033702</v>
      </c>
      <c r="G55" s="55">
        <v>859</v>
      </c>
      <c r="H55" s="55">
        <v>1366</v>
      </c>
      <c r="I55" s="53">
        <v>-78132</v>
      </c>
      <c r="J55" s="56">
        <v>5.1700583465803397E-2</v>
      </c>
      <c r="K55" s="56">
        <v>0.198176025433283</v>
      </c>
      <c r="L55" s="54">
        <f>-OPTI4_UPI_INS[[#This Row],[Net Profit]]/OPTI4_UPI_INS[[#This Row],[Max Intraday Drawdown]]</f>
        <v>2.1392579224901449</v>
      </c>
      <c r="M55" s="57">
        <v>0</v>
      </c>
      <c r="N55" s="54">
        <v>0.14000000000000001</v>
      </c>
      <c r="O55" s="50">
        <v>0.74723786088563815</v>
      </c>
      <c r="P55" s="72">
        <f>(OPTI4_UPI_INS[[#This Row],[Net Profit]]-B$74)/ABS(B$74)</f>
        <v>-0.71650645970148763</v>
      </c>
      <c r="Q55" s="72">
        <f>(OPTI4_UPI_INS[[#This Row],[UPI]]-J$74)/ABS(J$74)</f>
        <v>-0.66222123877165395</v>
      </c>
      <c r="R55" s="72">
        <f>(OPTI4_UPI_INS[[#This Row],[SORTINO AJUSTADO]]-K$74)/ABS(K$74)</f>
        <v>-0.35600387244027976</v>
      </c>
      <c r="S55" s="72">
        <f>(OPTI4_UPI_INS[[#This Row],[RECOVERY]]-L$74)/ABS(L$74)</f>
        <v>-0.51962966809394162</v>
      </c>
      <c r="T55" s="72">
        <f>(OPTI4_UPI_INS[[#This Row],[ROB]]-O$74)/ABS(O$74)</f>
        <v>-0.42060893466692473</v>
      </c>
      <c r="U55" s="72">
        <f>SUM(OPTI4_UPI_INS[[#This Row],[VAR NET PROFIT]:[VAR ROB]])</f>
        <v>-2.6749701736742879</v>
      </c>
      <c r="V55" s="72">
        <f>OPTI4_UPI_INS[[#This Row],[SUMA]]-OPTI4_UPI_INS[[#This Row],[VAR ROB]]</f>
        <v>-2.2543612390073631</v>
      </c>
    </row>
    <row r="56" spans="1:22" x14ac:dyDescent="0.25">
      <c r="A56" s="72"/>
      <c r="B56" s="53">
        <v>48279.6</v>
      </c>
      <c r="C56" s="53">
        <v>124505.66</v>
      </c>
      <c r="D56" s="53">
        <v>-76226.06</v>
      </c>
      <c r="E56" s="52">
        <v>870</v>
      </c>
      <c r="F56" s="54">
        <v>39.425287356321803</v>
      </c>
      <c r="G56" s="55">
        <v>343</v>
      </c>
      <c r="H56" s="55">
        <v>527</v>
      </c>
      <c r="I56" s="53">
        <v>-13501.63</v>
      </c>
      <c r="J56" s="56">
        <v>7.0031075259319703E-2</v>
      </c>
      <c r="K56" s="56">
        <v>0.19742425765757601</v>
      </c>
      <c r="L56" s="54">
        <f>-OPTI4_UPI_INS[[#This Row],[Net Profit]]/OPTI4_UPI_INS[[#This Row],[Max Intraday Drawdown]]</f>
        <v>3.575834917709936</v>
      </c>
      <c r="M56" s="57">
        <v>0.5</v>
      </c>
      <c r="N56" s="54">
        <v>0.1</v>
      </c>
      <c r="O56" s="50">
        <v>0.24225152909099068</v>
      </c>
      <c r="P56" s="72">
        <f>(OPTI4_UPI_INS[[#This Row],[Net Profit]]-B$74)/ABS(B$74)</f>
        <v>-0.91811304154072648</v>
      </c>
      <c r="Q56" s="72">
        <f>(OPTI4_UPI_INS[[#This Row],[UPI]]-J$74)/ABS(J$74)</f>
        <v>-0.54246145279524072</v>
      </c>
      <c r="R56" s="72">
        <f>(OPTI4_UPI_INS[[#This Row],[SORTINO AJUSTADO]]-K$74)/ABS(K$74)</f>
        <v>-0.35844682958063512</v>
      </c>
      <c r="S56" s="72">
        <f>(OPTI4_UPI_INS[[#This Row],[RECOVERY]]-L$74)/ABS(L$74)</f>
        <v>-0.19704632704497643</v>
      </c>
      <c r="T56" s="72">
        <f>(OPTI4_UPI_INS[[#This Row],[ROB]]-O$74)/ABS(O$74)</f>
        <v>-0.81216373143587683</v>
      </c>
      <c r="U56" s="72">
        <f>SUM(OPTI4_UPI_INS[[#This Row],[VAR NET PROFIT]:[VAR ROB]])</f>
        <v>-2.8282313823974552</v>
      </c>
      <c r="V56" s="72">
        <f>OPTI4_UPI_INS[[#This Row],[SUMA]]-OPTI4_UPI_INS[[#This Row],[VAR ROB]]</f>
        <v>-2.0160676509615785</v>
      </c>
    </row>
    <row r="57" spans="1:22" x14ac:dyDescent="0.25">
      <c r="A57" s="72"/>
      <c r="B57" s="53">
        <v>130098.58</v>
      </c>
      <c r="C57" s="53">
        <v>413848.46</v>
      </c>
      <c r="D57" s="53">
        <v>-283749.88</v>
      </c>
      <c r="E57" s="52">
        <v>2737</v>
      </c>
      <c r="F57" s="54">
        <v>37.084398976982101</v>
      </c>
      <c r="G57" s="55">
        <v>1015</v>
      </c>
      <c r="H57" s="55">
        <v>1722</v>
      </c>
      <c r="I57" s="53">
        <v>-56855.9</v>
      </c>
      <c r="J57" s="56">
        <v>4.2225885835717597E-2</v>
      </c>
      <c r="K57" s="56">
        <v>0.19312532829476101</v>
      </c>
      <c r="L57" s="54">
        <f>-OPTI4_UPI_INS[[#This Row],[Net Profit]]/OPTI4_UPI_INS[[#This Row],[Max Intraday Drawdown]]</f>
        <v>2.2882159986914288</v>
      </c>
      <c r="M57" s="57">
        <v>0</v>
      </c>
      <c r="N57" s="54">
        <v>0.12</v>
      </c>
      <c r="O57" s="50">
        <v>0.6457498283381452</v>
      </c>
      <c r="P57" s="72">
        <f>(OPTI4_UPI_INS[[#This Row],[Net Profit]]-B$74)/ABS(B$74)</f>
        <v>-0.77933999005645271</v>
      </c>
      <c r="Q57" s="72">
        <f>(OPTI4_UPI_INS[[#This Row],[UPI]]-J$74)/ABS(J$74)</f>
        <v>-0.72412289275628161</v>
      </c>
      <c r="R57" s="72">
        <f>(OPTI4_UPI_INS[[#This Row],[SORTINO AJUSTADO]]-K$74)/ABS(K$74)</f>
        <v>-0.37241670235537028</v>
      </c>
      <c r="S57" s="72">
        <f>(OPTI4_UPI_INS[[#This Row],[RECOVERY]]-L$74)/ABS(L$74)</f>
        <v>-0.4861811344914076</v>
      </c>
      <c r="T57" s="72">
        <f>(OPTI4_UPI_INS[[#This Row],[ROB]]-O$74)/ABS(O$74)</f>
        <v>-0.49930042284521053</v>
      </c>
      <c r="U57" s="72">
        <f>SUM(OPTI4_UPI_INS[[#This Row],[VAR NET PROFIT]:[VAR ROB]])</f>
        <v>-2.8613611425047227</v>
      </c>
      <c r="V57" s="72">
        <f>OPTI4_UPI_INS[[#This Row],[SUMA]]-OPTI4_UPI_INS[[#This Row],[VAR ROB]]</f>
        <v>-2.362060719659512</v>
      </c>
    </row>
    <row r="58" spans="1:22" x14ac:dyDescent="0.25">
      <c r="A58" s="72"/>
      <c r="B58" s="53">
        <v>87956.92</v>
      </c>
      <c r="C58" s="53">
        <v>360020.09</v>
      </c>
      <c r="D58" s="53">
        <v>-272063.17</v>
      </c>
      <c r="E58" s="52">
        <v>3105</v>
      </c>
      <c r="F58" s="54">
        <v>36.199677938808399</v>
      </c>
      <c r="G58" s="55">
        <v>1124</v>
      </c>
      <c r="H58" s="55">
        <v>1981</v>
      </c>
      <c r="I58" s="53">
        <v>-43796.2</v>
      </c>
      <c r="J58" s="56">
        <v>3.0569341382358499E-2</v>
      </c>
      <c r="K58" s="56">
        <v>0.16431273121491299</v>
      </c>
      <c r="L58" s="54">
        <f>-OPTI4_UPI_INS[[#This Row],[Net Profit]]/OPTI4_UPI_INS[[#This Row],[Max Intraday Drawdown]]</f>
        <v>2.0083230965243559</v>
      </c>
      <c r="M58" s="57">
        <v>0</v>
      </c>
      <c r="N58" s="54">
        <v>0.11</v>
      </c>
      <c r="O58" s="50">
        <v>0.99171845274860093</v>
      </c>
      <c r="P58" s="72">
        <f>(OPTI4_UPI_INS[[#This Row],[Net Profit]]-B$74)/ABS(B$74)</f>
        <v>-0.85081639752098925</v>
      </c>
      <c r="Q58" s="72">
        <f>(OPTI4_UPI_INS[[#This Row],[UPI]]-J$74)/ABS(J$74)</f>
        <v>-0.80027934751395524</v>
      </c>
      <c r="R58" s="72">
        <f>(OPTI4_UPI_INS[[#This Row],[SORTINO AJUSTADO]]-K$74)/ABS(K$74)</f>
        <v>-0.46604659983561481</v>
      </c>
      <c r="S58" s="72">
        <f>(OPTI4_UPI_INS[[#This Row],[RECOVERY]]-L$74)/ABS(L$74)</f>
        <v>-0.54903108114750843</v>
      </c>
      <c r="T58" s="72">
        <f>(OPTI4_UPI_INS[[#This Row],[ROB]]-O$74)/ABS(O$74)</f>
        <v>-0.23104430205468382</v>
      </c>
      <c r="U58" s="72">
        <f>SUM(OPTI4_UPI_INS[[#This Row],[VAR NET PROFIT]:[VAR ROB]])</f>
        <v>-2.8972177280727518</v>
      </c>
      <c r="V58" s="72">
        <f>OPTI4_UPI_INS[[#This Row],[SUMA]]-OPTI4_UPI_INS[[#This Row],[VAR ROB]]</f>
        <v>-2.6661734260180681</v>
      </c>
    </row>
    <row r="59" spans="1:22" x14ac:dyDescent="0.25">
      <c r="A59" s="72"/>
      <c r="B59" s="53">
        <v>60570.16</v>
      </c>
      <c r="C59" s="53">
        <v>283363.8</v>
      </c>
      <c r="D59" s="53">
        <v>-222793.64</v>
      </c>
      <c r="E59" s="52">
        <v>2821</v>
      </c>
      <c r="F59" s="54">
        <v>36.760014179369001</v>
      </c>
      <c r="G59" s="55">
        <v>1037</v>
      </c>
      <c r="H59" s="55">
        <v>1784</v>
      </c>
      <c r="I59" s="53">
        <v>-38907.25</v>
      </c>
      <c r="J59" s="56">
        <v>2.5918191390851102E-2</v>
      </c>
      <c r="K59" s="56">
        <v>0.14798515426293299</v>
      </c>
      <c r="L59" s="54">
        <f>-OPTI4_UPI_INS[[#This Row],[Net Profit]]/OPTI4_UPI_INS[[#This Row],[Max Intraday Drawdown]]</f>
        <v>1.5567833758489742</v>
      </c>
      <c r="M59" s="57">
        <v>1</v>
      </c>
      <c r="N59" s="54">
        <v>0.1</v>
      </c>
      <c r="O59" s="50">
        <v>1.0548351301119496</v>
      </c>
      <c r="P59" s="72">
        <f>(OPTI4_UPI_INS[[#This Row],[Net Profit]]-B$74)/ABS(B$74)</f>
        <v>-0.89726704082487097</v>
      </c>
      <c r="Q59" s="72">
        <f>(OPTI4_UPI_INS[[#This Row],[UPI]]-J$74)/ABS(J$74)</f>
        <v>-0.83066700616499844</v>
      </c>
      <c r="R59" s="72">
        <f>(OPTI4_UPI_INS[[#This Row],[SORTINO AJUSTADO]]-K$74)/ABS(K$74)</f>
        <v>-0.5191049670448632</v>
      </c>
      <c r="S59" s="72">
        <f>(OPTI4_UPI_INS[[#This Row],[RECOVERY]]-L$74)/ABS(L$74)</f>
        <v>-0.65042431812433732</v>
      </c>
      <c r="T59" s="72">
        <f>(OPTI4_UPI_INS[[#This Row],[ROB]]-O$74)/ABS(O$74)</f>
        <v>-0.182105080888224</v>
      </c>
      <c r="U59" s="72">
        <f>SUM(OPTI4_UPI_INS[[#This Row],[VAR NET PROFIT]:[VAR ROB]])</f>
        <v>-3.0795684130472938</v>
      </c>
      <c r="V59" s="72">
        <f>OPTI4_UPI_INS[[#This Row],[SUMA]]-OPTI4_UPI_INS[[#This Row],[VAR ROB]]</f>
        <v>-2.8974633321590697</v>
      </c>
    </row>
    <row r="60" spans="1:22" x14ac:dyDescent="0.25">
      <c r="A60" s="72"/>
      <c r="B60" s="53">
        <v>68954.09</v>
      </c>
      <c r="C60" s="53">
        <v>323230.56</v>
      </c>
      <c r="D60" s="53">
        <v>-254276.47</v>
      </c>
      <c r="E60" s="52">
        <v>3237</v>
      </c>
      <c r="F60" s="54">
        <v>36.360827927092998</v>
      </c>
      <c r="G60" s="55">
        <v>1177</v>
      </c>
      <c r="H60" s="55">
        <v>2060</v>
      </c>
      <c r="I60" s="53">
        <v>-44954.27</v>
      </c>
      <c r="J60" s="56">
        <v>2.68442130325625E-2</v>
      </c>
      <c r="K60" s="56">
        <v>0.150435037776319</v>
      </c>
      <c r="L60" s="54">
        <f>-OPTI4_UPI_INS[[#This Row],[Net Profit]]/OPTI4_UPI_INS[[#This Row],[Max Intraday Drawdown]]</f>
        <v>1.5338718657871655</v>
      </c>
      <c r="M60" s="57">
        <v>1.5</v>
      </c>
      <c r="N60" s="54">
        <v>0.1</v>
      </c>
      <c r="O60" s="50">
        <v>1.0085783771605488</v>
      </c>
      <c r="P60" s="72">
        <f>(OPTI4_UPI_INS[[#This Row],[Net Profit]]-B$74)/ABS(B$74)</f>
        <v>-0.88304706949877365</v>
      </c>
      <c r="Q60" s="72">
        <f>(OPTI4_UPI_INS[[#This Row],[UPI]]-J$74)/ABS(J$74)</f>
        <v>-0.82461696916271177</v>
      </c>
      <c r="R60" s="72">
        <f>(OPTI4_UPI_INS[[#This Row],[SORTINO AJUSTADO]]-K$74)/ABS(K$74)</f>
        <v>-0.5111437845953537</v>
      </c>
      <c r="S60" s="72">
        <f>(OPTI4_UPI_INS[[#This Row],[RECOVERY]]-L$74)/ABS(L$74)</f>
        <v>-0.65556909733826629</v>
      </c>
      <c r="T60" s="72">
        <f>(OPTI4_UPI_INS[[#This Row],[ROB]]-O$74)/ABS(O$74)</f>
        <v>-0.2179715041173633</v>
      </c>
      <c r="U60" s="72">
        <f>SUM(OPTI4_UPI_INS[[#This Row],[VAR NET PROFIT]:[VAR ROB]])</f>
        <v>-3.0923484247124686</v>
      </c>
      <c r="V60" s="72">
        <f>OPTI4_UPI_INS[[#This Row],[SUMA]]-OPTI4_UPI_INS[[#This Row],[VAR ROB]]</f>
        <v>-2.8743769205951053</v>
      </c>
    </row>
    <row r="61" spans="1:22" x14ac:dyDescent="0.25">
      <c r="A61" s="72"/>
      <c r="B61" s="53">
        <v>65725.72</v>
      </c>
      <c r="C61" s="53">
        <v>331453.53999999998</v>
      </c>
      <c r="D61" s="53">
        <v>-265727.82</v>
      </c>
      <c r="E61" s="52">
        <v>3473</v>
      </c>
      <c r="F61" s="54">
        <v>36.049524906420999</v>
      </c>
      <c r="G61" s="55">
        <v>1252</v>
      </c>
      <c r="H61" s="55">
        <v>2220</v>
      </c>
      <c r="I61" s="53">
        <v>-35445.789999999899</v>
      </c>
      <c r="J61" s="56">
        <v>2.1609078166415299E-2</v>
      </c>
      <c r="K61" s="56">
        <v>0.14267967010089699</v>
      </c>
      <c r="L61" s="54">
        <f>-OPTI4_UPI_INS[[#This Row],[Net Profit]]/OPTI4_UPI_INS[[#This Row],[Max Intraday Drawdown]]</f>
        <v>1.8542602661698382</v>
      </c>
      <c r="M61" s="57">
        <v>0</v>
      </c>
      <c r="N61" s="54">
        <v>0.1</v>
      </c>
      <c r="O61" s="50">
        <v>0.98018243823664053</v>
      </c>
      <c r="P61" s="72">
        <f>(OPTI4_UPI_INS[[#This Row],[Net Profit]]-B$74)/ABS(B$74)</f>
        <v>-0.88852270310139592</v>
      </c>
      <c r="Q61" s="72">
        <f>(OPTI4_UPI_INS[[#This Row],[UPI]]-J$74)/ABS(J$74)</f>
        <v>-0.85882001391403762</v>
      </c>
      <c r="R61" s="72">
        <f>(OPTI4_UPI_INS[[#This Row],[SORTINO AJUSTADO]]-K$74)/ABS(K$74)</f>
        <v>-0.53634575713392896</v>
      </c>
      <c r="S61" s="72">
        <f>(OPTI4_UPI_INS[[#This Row],[RECOVERY]]-L$74)/ABS(L$74)</f>
        <v>-0.58362588721261366</v>
      </c>
      <c r="T61" s="72">
        <f>(OPTI4_UPI_INS[[#This Row],[ROB]]-O$74)/ABS(O$74)</f>
        <v>-0.23998906260236369</v>
      </c>
      <c r="U61" s="72">
        <f>SUM(OPTI4_UPI_INS[[#This Row],[VAR NET PROFIT]:[VAR ROB]])</f>
        <v>-3.1073034239643396</v>
      </c>
      <c r="V61" s="72">
        <f>OPTI4_UPI_INS[[#This Row],[SUMA]]-OPTI4_UPI_INS[[#This Row],[VAR ROB]]</f>
        <v>-2.8673143613619758</v>
      </c>
    </row>
    <row r="64" spans="1:22" s="52" customFormat="1" ht="30" customHeight="1" x14ac:dyDescent="0.25">
      <c r="A64" s="3" t="s">
        <v>56</v>
      </c>
      <c r="B64" s="61">
        <v>292779.44716666662</v>
      </c>
      <c r="C64" s="61">
        <v>527731.76116666652</v>
      </c>
      <c r="D64" s="61">
        <v>-234952.31400000004</v>
      </c>
      <c r="E64" s="11">
        <v>1426.2</v>
      </c>
      <c r="F64" s="10">
        <v>41.321580555581839</v>
      </c>
      <c r="G64" s="11">
        <v>565.45000000000005</v>
      </c>
      <c r="H64" s="11">
        <v>860.63333333333333</v>
      </c>
      <c r="I64" s="61">
        <v>-132499.67166666669</v>
      </c>
      <c r="J64" s="62">
        <v>8.9205420403209529E-2</v>
      </c>
      <c r="K64" s="62">
        <v>0.24408637492521471</v>
      </c>
      <c r="L64" s="10">
        <v>2.4670550183241695</v>
      </c>
      <c r="M64" s="11">
        <v>0.75</v>
      </c>
      <c r="N64" s="11">
        <v>0.17000000000000004</v>
      </c>
      <c r="O64" s="63">
        <v>0.48591236559985895</v>
      </c>
    </row>
    <row r="65" spans="1:15" s="52" customFormat="1" ht="30" customHeight="1" x14ac:dyDescent="0.25">
      <c r="A65" s="3" t="s">
        <v>57</v>
      </c>
      <c r="B65" s="64">
        <v>20946.548256632857</v>
      </c>
      <c r="C65" s="64">
        <v>26963.371750922048</v>
      </c>
      <c r="D65" s="64">
        <v>10435.182403401561</v>
      </c>
      <c r="E65" s="11">
        <v>103.53740501523173</v>
      </c>
      <c r="F65" s="10">
        <v>0.46547820112280014</v>
      </c>
      <c r="G65" s="11">
        <v>36.086575316578553</v>
      </c>
      <c r="H65" s="11">
        <v>67.499775963916406</v>
      </c>
      <c r="I65" s="61">
        <v>11652.183413796498</v>
      </c>
      <c r="J65" s="62">
        <v>4.3600407868253825E-3</v>
      </c>
      <c r="K65" s="62">
        <v>5.6943222928599697E-3</v>
      </c>
      <c r="L65" s="10">
        <v>8.7199735305744763E-2</v>
      </c>
      <c r="M65" s="11">
        <v>7.2777813717447737E-2</v>
      </c>
      <c r="N65" s="11">
        <v>5.6248038258321286E-3</v>
      </c>
      <c r="O65" s="63">
        <v>3.5267550482947586E-2</v>
      </c>
    </row>
    <row r="66" spans="1:15" s="52" customFormat="1" ht="30" customHeight="1" x14ac:dyDescent="0.25">
      <c r="A66" s="3" t="s">
        <v>58</v>
      </c>
      <c r="B66" s="65">
        <v>280274.82499999995</v>
      </c>
      <c r="C66" s="61">
        <v>478474.80500000005</v>
      </c>
      <c r="D66" s="61">
        <v>-269925.76000000001</v>
      </c>
      <c r="E66" s="66">
        <v>1195</v>
      </c>
      <c r="F66" s="10">
        <v>40.828196433747202</v>
      </c>
      <c r="G66" s="11">
        <v>494.5</v>
      </c>
      <c r="H66" s="11">
        <v>700.5</v>
      </c>
      <c r="I66" s="61">
        <v>-112289.19500000001</v>
      </c>
      <c r="J66" s="67">
        <v>9.2642634148374842E-2</v>
      </c>
      <c r="K66" s="68">
        <v>0.25164314731029247</v>
      </c>
      <c r="L66" s="69">
        <v>2.2889044441758912</v>
      </c>
      <c r="M66" s="11">
        <v>0.75</v>
      </c>
      <c r="N66" s="66">
        <v>0.17</v>
      </c>
      <c r="O66" s="70">
        <v>0.38494449189209479</v>
      </c>
    </row>
    <row r="67" spans="1:15" s="52" customFormat="1" ht="30" customHeight="1" x14ac:dyDescent="0.25">
      <c r="A67" s="3" t="s">
        <v>59</v>
      </c>
      <c r="B67" s="61" t="e">
        <v>#N/A</v>
      </c>
      <c r="C67" s="61" t="e">
        <v>#N/A</v>
      </c>
      <c r="D67" s="61" t="e">
        <v>#N/A</v>
      </c>
      <c r="E67" s="66" t="e">
        <v>#N/A</v>
      </c>
      <c r="F67" s="10" t="e">
        <v>#N/A</v>
      </c>
      <c r="G67" s="11" t="e">
        <v>#N/A</v>
      </c>
      <c r="H67" s="11" t="e">
        <v>#N/A</v>
      </c>
      <c r="I67" s="61" t="e">
        <v>#N/A</v>
      </c>
      <c r="J67" s="62" t="e">
        <v>#N/A</v>
      </c>
      <c r="K67" s="62" t="e">
        <v>#N/A</v>
      </c>
      <c r="L67" s="10" t="e">
        <v>#N/A</v>
      </c>
      <c r="M67" s="11">
        <v>0</v>
      </c>
      <c r="N67" s="66">
        <v>0.1</v>
      </c>
      <c r="O67" s="63" t="e">
        <v>#N/A</v>
      </c>
    </row>
    <row r="68" spans="1:15" s="52" customFormat="1" ht="30" customHeight="1" x14ac:dyDescent="0.25">
      <c r="A68" s="3" t="s">
        <v>60</v>
      </c>
      <c r="B68" s="61">
        <v>162251.26511693813</v>
      </c>
      <c r="C68" s="61">
        <v>208857.37949784123</v>
      </c>
      <c r="D68" s="61">
        <v>80830.575326021863</v>
      </c>
      <c r="E68" s="66">
        <v>801.99729066704958</v>
      </c>
      <c r="F68" s="10">
        <v>3.6055786419423832</v>
      </c>
      <c r="G68" s="11">
        <v>279.52541044553675</v>
      </c>
      <c r="H68" s="11">
        <v>522.85101636195986</v>
      </c>
      <c r="I68" s="61">
        <v>90257.42461717625</v>
      </c>
      <c r="J68" s="62">
        <v>3.3772730712319579E-2</v>
      </c>
      <c r="K68" s="62">
        <v>4.410803081636859E-2</v>
      </c>
      <c r="L68" s="10">
        <v>0.67544624526568875</v>
      </c>
      <c r="M68" s="11">
        <v>0.56373452100212162</v>
      </c>
      <c r="N68" s="11">
        <v>4.35695430862632E-2</v>
      </c>
      <c r="O68" s="63">
        <v>0.27318127136397069</v>
      </c>
    </row>
    <row r="69" spans="1:15" s="52" customFormat="1" ht="30" customHeight="1" x14ac:dyDescent="0.25">
      <c r="A69" s="3" t="s">
        <v>61</v>
      </c>
      <c r="B69" s="61">
        <v>26325473032.04694</v>
      </c>
      <c r="C69" s="61">
        <v>43621404970.705276</v>
      </c>
      <c r="D69" s="61">
        <v>6533581907.5356941</v>
      </c>
      <c r="E69" s="66">
        <v>643199.65423728805</v>
      </c>
      <c r="F69" s="10">
        <v>13.000197343231081</v>
      </c>
      <c r="G69" s="11">
        <v>78134.455084745787</v>
      </c>
      <c r="H69" s="11">
        <v>273373.18531073438</v>
      </c>
      <c r="I69" s="61">
        <v>8146402698.5252523</v>
      </c>
      <c r="J69" s="62">
        <v>1.1405973397668543E-3</v>
      </c>
      <c r="K69" s="62">
        <v>1.945518382497721E-3</v>
      </c>
      <c r="L69" s="10">
        <v>0.45622763024351703</v>
      </c>
      <c r="M69" s="11">
        <v>0.31779661016949151</v>
      </c>
      <c r="N69" s="11">
        <v>1.8983050847457457E-3</v>
      </c>
      <c r="O69" s="63">
        <v>7.4628007024035395E-2</v>
      </c>
    </row>
    <row r="70" spans="1:15" s="52" customFormat="1" ht="30" customHeight="1" x14ac:dyDescent="0.25">
      <c r="A70" s="3" t="s">
        <v>62</v>
      </c>
      <c r="B70" s="61">
        <v>-1.1999403882701736</v>
      </c>
      <c r="C70" s="61">
        <v>-1.0840423030059099</v>
      </c>
      <c r="D70" s="61">
        <v>-0.75063253499028626</v>
      </c>
      <c r="E70" s="66">
        <v>-0.26555978010982484</v>
      </c>
      <c r="F70" s="10">
        <v>0.60166688685748326</v>
      </c>
      <c r="G70" s="11">
        <v>-0.49795967040086442</v>
      </c>
      <c r="H70" s="11">
        <v>-0.13460973633579254</v>
      </c>
      <c r="I70" s="64">
        <v>-0.82105075067561062</v>
      </c>
      <c r="J70" s="62">
        <v>-0.76647831314351134</v>
      </c>
      <c r="K70" s="62">
        <v>-0.54185860577109102</v>
      </c>
      <c r="L70" s="10">
        <v>1.1741315009599513</v>
      </c>
      <c r="M70" s="11">
        <v>-1.3734543254688436</v>
      </c>
      <c r="N70" s="66">
        <v>-1.2109379051075968</v>
      </c>
      <c r="O70" s="63">
        <v>0.93847947874405468</v>
      </c>
    </row>
    <row r="71" spans="1:15" s="52" customFormat="1" ht="30" customHeight="1" x14ac:dyDescent="0.25">
      <c r="A71" s="3" t="s">
        <v>63</v>
      </c>
      <c r="B71" s="61">
        <v>0.23057574710719864</v>
      </c>
      <c r="C71" s="61">
        <v>6.5154078516573011E-2</v>
      </c>
      <c r="D71" s="61">
        <v>0.96989234474614239</v>
      </c>
      <c r="E71" s="66">
        <v>0.79489833169363411</v>
      </c>
      <c r="F71" s="10">
        <v>1.002989238914245</v>
      </c>
      <c r="G71" s="11">
        <v>0.68863089126984267</v>
      </c>
      <c r="H71" s="11">
        <v>0.85141518443579245</v>
      </c>
      <c r="I71" s="64">
        <v>-0.63666991796174766</v>
      </c>
      <c r="J71" s="62">
        <v>-0.15792982266533798</v>
      </c>
      <c r="K71" s="62">
        <v>-0.54550401351670774</v>
      </c>
      <c r="L71" s="10">
        <v>1.3609057459212439</v>
      </c>
      <c r="M71" s="11">
        <v>4.6718911614851703E-17</v>
      </c>
      <c r="N71" s="66">
        <v>-2.8654265790442381E-15</v>
      </c>
      <c r="O71" s="63">
        <v>1.3271217666062736</v>
      </c>
    </row>
    <row r="72" spans="1:15" s="52" customFormat="1" ht="30" customHeight="1" x14ac:dyDescent="0.25">
      <c r="A72" s="3" t="s">
        <v>64</v>
      </c>
      <c r="B72" s="61">
        <v>541308.79</v>
      </c>
      <c r="C72" s="61">
        <v>733222.66999999993</v>
      </c>
      <c r="D72" s="61">
        <v>249761.86</v>
      </c>
      <c r="E72" s="66">
        <v>3095</v>
      </c>
      <c r="F72" s="10">
        <v>13.825786814277301</v>
      </c>
      <c r="G72" s="66">
        <v>1064</v>
      </c>
      <c r="H72" s="66">
        <v>2030</v>
      </c>
      <c r="I72" s="61">
        <v>315625.74</v>
      </c>
      <c r="J72" s="62">
        <v>0.13145141408535368</v>
      </c>
      <c r="K72" s="62">
        <v>0.16504892787099901</v>
      </c>
      <c r="L72" s="10">
        <v>2.9194796016146554</v>
      </c>
      <c r="M72" s="11">
        <v>1.5</v>
      </c>
      <c r="N72" s="66">
        <v>0.13999999999999999</v>
      </c>
      <c r="O72" s="63">
        <v>1.0694684862049779</v>
      </c>
    </row>
    <row r="73" spans="1:15" s="52" customFormat="1" ht="30" customHeight="1" x14ac:dyDescent="0.25">
      <c r="A73" s="3" t="s">
        <v>65</v>
      </c>
      <c r="B73" s="65">
        <v>48279.6</v>
      </c>
      <c r="C73" s="61">
        <v>124505.66</v>
      </c>
      <c r="D73" s="61">
        <v>-325987.92</v>
      </c>
      <c r="E73" s="66">
        <v>378</v>
      </c>
      <c r="F73" s="10">
        <v>36.049524906420999</v>
      </c>
      <c r="G73" s="66">
        <v>188</v>
      </c>
      <c r="H73" s="66">
        <v>190</v>
      </c>
      <c r="I73" s="61">
        <v>-329127.37</v>
      </c>
      <c r="J73" s="67">
        <v>2.1609078166415299E-2</v>
      </c>
      <c r="K73" s="68">
        <v>0.14267967010089699</v>
      </c>
      <c r="L73" s="69">
        <v>1.5338718657871655</v>
      </c>
      <c r="M73" s="11">
        <v>0</v>
      </c>
      <c r="N73" s="66">
        <v>0.1</v>
      </c>
      <c r="O73" s="70">
        <v>0.22022668791040578</v>
      </c>
    </row>
    <row r="74" spans="1:15" s="52" customFormat="1" ht="30" customHeight="1" x14ac:dyDescent="0.25">
      <c r="A74" s="3" t="s">
        <v>66</v>
      </c>
      <c r="B74" s="65">
        <v>589588.39</v>
      </c>
      <c r="C74" s="61">
        <v>857728.33</v>
      </c>
      <c r="D74" s="61">
        <v>-76226.06</v>
      </c>
      <c r="E74" s="66">
        <v>3473</v>
      </c>
      <c r="F74" s="10">
        <v>49.875311720698299</v>
      </c>
      <c r="G74" s="66">
        <v>1252</v>
      </c>
      <c r="H74" s="66">
        <v>2220</v>
      </c>
      <c r="I74" s="61">
        <v>-13501.63</v>
      </c>
      <c r="J74" s="67">
        <v>0.15306049225176899</v>
      </c>
      <c r="K74" s="68">
        <v>0.307728597971896</v>
      </c>
      <c r="L74" s="69">
        <v>4.4533514674018209</v>
      </c>
      <c r="M74" s="11">
        <v>1.5</v>
      </c>
      <c r="N74" s="66">
        <v>0.24</v>
      </c>
      <c r="O74" s="70">
        <v>1.2896951741153837</v>
      </c>
    </row>
    <row r="75" spans="1:15" s="52" customFormat="1" ht="30" customHeight="1" x14ac:dyDescent="0.25">
      <c r="A75" s="3" t="s">
        <v>67</v>
      </c>
      <c r="B75" s="61">
        <v>41913.946248425229</v>
      </c>
      <c r="C75" s="61">
        <v>53953.582251270811</v>
      </c>
      <c r="D75" s="61">
        <v>20880.751758714556</v>
      </c>
      <c r="E75" s="11">
        <v>207.17786889473183</v>
      </c>
      <c r="F75" s="10">
        <v>0.93141972904756465</v>
      </c>
      <c r="G75" s="11">
        <v>72.209070419507896</v>
      </c>
      <c r="H75" s="11">
        <v>135.06673972579034</v>
      </c>
      <c r="I75" s="61">
        <v>23315.965155643578</v>
      </c>
      <c r="J75" s="62">
        <v>8.7244214627139292E-3</v>
      </c>
      <c r="K75" s="62">
        <v>1.1394312589357792E-2</v>
      </c>
      <c r="L75" s="10">
        <v>0.1744862673173157</v>
      </c>
      <c r="M75" s="11">
        <v>0.14562806887598193</v>
      </c>
      <c r="N75" s="11">
        <v>1.1255206458143301E-2</v>
      </c>
      <c r="O75" s="63">
        <v>7.0570205512872811E-2</v>
      </c>
    </row>
  </sheetData>
  <phoneticPr fontId="4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E837-456C-46ED-AD12-3D942B13BBAC}">
  <dimension ref="A1:V75"/>
  <sheetViews>
    <sheetView workbookViewId="0">
      <pane ySplit="2" topLeftCell="A57" activePane="bottomLeft" state="frozen"/>
      <selection pane="bottomLeft" activeCell="O75" sqref="O75"/>
    </sheetView>
  </sheetViews>
  <sheetFormatPr baseColWidth="10" defaultRowHeight="15" x14ac:dyDescent="0.25"/>
  <cols>
    <col min="1" max="1" width="21.25" style="52" bestFit="1" customWidth="1"/>
    <col min="2" max="4" width="15" style="53" bestFit="1" customWidth="1"/>
    <col min="5" max="5" width="7.875" style="52" bestFit="1" customWidth="1"/>
    <col min="6" max="6" width="7.5" style="54" bestFit="1" customWidth="1"/>
    <col min="7" max="7" width="8.375" style="55" bestFit="1" customWidth="1"/>
    <col min="8" max="8" width="8.25" style="55" bestFit="1" customWidth="1"/>
    <col min="9" max="9" width="14" style="53" bestFit="1" customWidth="1"/>
    <col min="10" max="10" width="6.125" style="56" bestFit="1" customWidth="1"/>
    <col min="11" max="11" width="9.375" style="56" bestFit="1" customWidth="1"/>
    <col min="12" max="12" width="7.25" style="54" bestFit="1" customWidth="1"/>
    <col min="13" max="13" width="17.375" style="57" bestFit="1" customWidth="1"/>
    <col min="14" max="14" width="17.375" style="55" bestFit="1" customWidth="1"/>
    <col min="15" max="15" width="17.375" style="54" bestFit="1" customWidth="1"/>
  </cols>
  <sheetData>
    <row r="1" spans="1:22" s="52" customFormat="1" ht="67.5" customHeight="1" x14ac:dyDescent="0.25">
      <c r="A1" s="71" t="s">
        <v>55</v>
      </c>
      <c r="B1" s="30" t="s">
        <v>25</v>
      </c>
      <c r="C1" s="51" t="s">
        <v>26</v>
      </c>
      <c r="D1" s="51" t="s">
        <v>27</v>
      </c>
      <c r="E1" s="51" t="s">
        <v>28</v>
      </c>
      <c r="F1" s="51" t="s">
        <v>29</v>
      </c>
      <c r="G1" s="51" t="s">
        <v>30</v>
      </c>
      <c r="H1" s="51" t="s">
        <v>31</v>
      </c>
      <c r="I1" s="51" t="s">
        <v>32</v>
      </c>
      <c r="J1" s="28" t="s">
        <v>52</v>
      </c>
      <c r="K1" s="29" t="s">
        <v>54</v>
      </c>
      <c r="L1" s="17" t="s">
        <v>35</v>
      </c>
      <c r="M1" s="51" t="s">
        <v>33</v>
      </c>
      <c r="N1" s="51" t="s">
        <v>34</v>
      </c>
      <c r="O1" s="51" t="s">
        <v>53</v>
      </c>
      <c r="P1" s="71" t="s">
        <v>68</v>
      </c>
      <c r="Q1" s="71" t="s">
        <v>69</v>
      </c>
      <c r="R1" s="71" t="s">
        <v>70</v>
      </c>
      <c r="S1" s="71" t="s">
        <v>71</v>
      </c>
      <c r="T1" s="71" t="s">
        <v>72</v>
      </c>
      <c r="U1" s="71" t="s">
        <v>73</v>
      </c>
      <c r="V1" s="71" t="s">
        <v>74</v>
      </c>
    </row>
    <row r="2" spans="1:22" x14ac:dyDescent="0.25">
      <c r="A2" s="73" t="s">
        <v>75</v>
      </c>
      <c r="B2" s="45">
        <v>61412.55</v>
      </c>
      <c r="C2" s="45">
        <v>186909.58</v>
      </c>
      <c r="D2" s="45">
        <v>-125497.03</v>
      </c>
      <c r="E2" s="18">
        <v>686</v>
      </c>
      <c r="F2" s="46">
        <v>41.107871720116599</v>
      </c>
      <c r="G2" s="47">
        <v>282</v>
      </c>
      <c r="H2" s="47">
        <v>404</v>
      </c>
      <c r="I2" s="45">
        <v>-36738.890000000101</v>
      </c>
      <c r="J2" s="48">
        <v>0.11143505448844</v>
      </c>
      <c r="K2" s="48">
        <v>0.36384360097294699</v>
      </c>
      <c r="L2" s="46">
        <f>-OPTI4_UPI_OOS[[#This Row],[Net Profit]]/OPTI4_UPI_OOS[[#This Row],[Max Intraday Drawdown]]</f>
        <v>1.6715951407350584</v>
      </c>
      <c r="M2" s="49">
        <v>0</v>
      </c>
      <c r="N2" s="46">
        <v>0.2</v>
      </c>
      <c r="O2" s="60">
        <v>0.31359229998299165</v>
      </c>
      <c r="P2" s="72">
        <f>(OPTI4_UPI_OOS[[#This Row],[Net Profit]]-B$74)/ABS(B$74)</f>
        <v>-9.042282104141891E-2</v>
      </c>
      <c r="Q2" s="72">
        <f>(OPTI4_UPI_OOS[[#This Row],[UPI]]-J$74)/ABS(J$74)</f>
        <v>-8.534784438739193E-2</v>
      </c>
      <c r="R2" s="72">
        <f>(OPTI4_UPI_OOS[[#This Row],[SORTINO AJUSTADO]]-K$74)/ABS(K$74)</f>
        <v>-5.3441828270311992E-2</v>
      </c>
      <c r="S2" s="72">
        <f>(OPTI4_UPI_OOS[[#This Row],[RECOVERY]]-L$74)/ABS(L$74)</f>
        <v>0</v>
      </c>
      <c r="T2" s="72">
        <f>(OPTI4_UPI_OOS[[#This Row],[ROB]]-O$74)/ABS(O$74)</f>
        <v>-0.75684773714215992</v>
      </c>
      <c r="U2" s="72">
        <f>SUM(OPTI4_UPI_OOS[[#This Row],[VAR NET PROFIT]:[VAR ROB]])</f>
        <v>-0.98606023084128269</v>
      </c>
      <c r="V2" s="72">
        <f>OPTI4_UPI_OOS[[#This Row],[SUMA]]-OPTI4_UPI_OOS[[#This Row],[VAR ROB]]</f>
        <v>-0.22921249369912278</v>
      </c>
    </row>
    <row r="3" spans="1:22" x14ac:dyDescent="0.25">
      <c r="A3" s="73" t="s">
        <v>76</v>
      </c>
      <c r="B3" s="74">
        <v>46448.23</v>
      </c>
      <c r="C3" s="74">
        <v>181634.03</v>
      </c>
      <c r="D3" s="74">
        <v>-135185.79999999999</v>
      </c>
      <c r="E3" s="75">
        <v>1404</v>
      </c>
      <c r="F3" s="76">
        <v>38.2478632478633</v>
      </c>
      <c r="G3" s="77">
        <v>537</v>
      </c>
      <c r="H3" s="77">
        <v>867</v>
      </c>
      <c r="I3" s="74">
        <v>-49733.41</v>
      </c>
      <c r="J3" s="78">
        <v>9.6379855401689807E-2</v>
      </c>
      <c r="K3" s="78">
        <v>0.32874817055662398</v>
      </c>
      <c r="L3" s="76">
        <f>-OPTI4_UPI_OOS[[#This Row],[Net Profit]]/OPTI4_UPI_OOS[[#This Row],[Max Intraday Drawdown]]</f>
        <v>0.93394420370531606</v>
      </c>
      <c r="M3" s="79">
        <v>1</v>
      </c>
      <c r="N3" s="76">
        <v>0.11</v>
      </c>
      <c r="O3" s="80">
        <v>1.2896951741153837</v>
      </c>
      <c r="P3" s="72">
        <f>(OPTI4_UPI_OOS[[#This Row],[Net Profit]]-B$74)/ABS(B$74)</f>
        <v>-0.31205836574088952</v>
      </c>
      <c r="Q3" s="72">
        <f>(OPTI4_UPI_OOS[[#This Row],[UPI]]-J$74)/ABS(J$74)</f>
        <v>-0.20892000362478458</v>
      </c>
      <c r="R3" s="72">
        <f>(OPTI4_UPI_OOS[[#This Row],[SORTINO AJUSTADO]]-K$74)/ABS(K$74)</f>
        <v>-0.14474442741485818</v>
      </c>
      <c r="S3" s="72">
        <f>(OPTI4_UPI_OOS[[#This Row],[RECOVERY]]-L$74)/ABS(L$74)</f>
        <v>-0.44128564330796727</v>
      </c>
      <c r="T3" s="72">
        <f>(OPTI4_UPI_OOS[[#This Row],[ROB]]-O$74)/ABS(O$74)</f>
        <v>0</v>
      </c>
      <c r="U3" s="72">
        <f>SUM(OPTI4_UPI_OOS[[#This Row],[VAR NET PROFIT]:[VAR ROB]])</f>
        <v>-1.1070084400884994</v>
      </c>
      <c r="V3" s="72">
        <f>OPTI4_UPI_OOS[[#This Row],[SUMA]]-OPTI4_UPI_OOS[[#This Row],[VAR ROB]]</f>
        <v>-1.1070084400884994</v>
      </c>
    </row>
    <row r="4" spans="1:22" x14ac:dyDescent="0.25">
      <c r="A4" s="73" t="s">
        <v>77</v>
      </c>
      <c r="B4" s="74">
        <v>50365.63</v>
      </c>
      <c r="C4" s="74">
        <v>197065.43</v>
      </c>
      <c r="D4" s="74">
        <v>-146699.79999999999</v>
      </c>
      <c r="E4" s="75">
        <v>1591</v>
      </c>
      <c r="F4" s="76">
        <v>38.214959145191699</v>
      </c>
      <c r="G4" s="77">
        <v>608</v>
      </c>
      <c r="H4" s="77">
        <v>983</v>
      </c>
      <c r="I4" s="74">
        <v>-55012.22</v>
      </c>
      <c r="J4" s="78">
        <v>9.3142848511643603E-2</v>
      </c>
      <c r="K4" s="78">
        <v>0.32414697126036701</v>
      </c>
      <c r="L4" s="76">
        <f>-OPTI4_UPI_OOS[[#This Row],[Net Profit]]/OPTI4_UPI_OOS[[#This Row],[Max Intraday Drawdown]]</f>
        <v>0.91553531197250348</v>
      </c>
      <c r="M4" s="79">
        <v>1.5</v>
      </c>
      <c r="N4" s="76">
        <v>0.11</v>
      </c>
      <c r="O4" s="80">
        <v>1.2415066513121078</v>
      </c>
      <c r="P4" s="72">
        <f>(OPTI4_UPI_OOS[[#This Row],[Net Profit]]-B$74)/ABS(B$74)</f>
        <v>-0.25403801581481839</v>
      </c>
      <c r="Q4" s="72">
        <f>(OPTI4_UPI_OOS[[#This Row],[UPI]]-J$74)/ABS(J$74)</f>
        <v>-0.23548915947350149</v>
      </c>
      <c r="R4" s="72">
        <f>(OPTI4_UPI_OOS[[#This Row],[SORTINO AJUSTADO]]-K$74)/ABS(K$74)</f>
        <v>-0.15671468821368079</v>
      </c>
      <c r="S4" s="72">
        <f>(OPTI4_UPI_OOS[[#This Row],[RECOVERY]]-L$74)/ABS(L$74)</f>
        <v>-0.45229841265875492</v>
      </c>
      <c r="T4" s="72">
        <f>(OPTI4_UPI_OOS[[#This Row],[ROB]]-O$74)/ABS(O$74)</f>
        <v>-3.7364273178992817E-2</v>
      </c>
      <c r="U4" s="72">
        <f>SUM(OPTI4_UPI_OOS[[#This Row],[VAR NET PROFIT]:[VAR ROB]])</f>
        <v>-1.1359045493397482</v>
      </c>
      <c r="V4" s="72">
        <f>OPTI4_UPI_OOS[[#This Row],[SUMA]]-OPTI4_UPI_OOS[[#This Row],[VAR ROB]]</f>
        <v>-1.0985402761607554</v>
      </c>
    </row>
    <row r="5" spans="1:22" x14ac:dyDescent="0.25">
      <c r="A5" s="73" t="s">
        <v>78</v>
      </c>
      <c r="B5" s="74">
        <v>60484.26</v>
      </c>
      <c r="C5" s="74">
        <v>191189.15</v>
      </c>
      <c r="D5" s="74">
        <v>-130704.89</v>
      </c>
      <c r="E5" s="75">
        <v>1020</v>
      </c>
      <c r="F5" s="76">
        <v>40.196078431372499</v>
      </c>
      <c r="G5" s="77">
        <v>410</v>
      </c>
      <c r="H5" s="77">
        <v>610</v>
      </c>
      <c r="I5" s="74">
        <v>-67247.679999999993</v>
      </c>
      <c r="J5" s="78">
        <v>0.104594558341463</v>
      </c>
      <c r="K5" s="78">
        <v>0.33171197212438702</v>
      </c>
      <c r="L5" s="76">
        <f>-OPTI4_UPI_OOS[[#This Row],[Net Profit]]/OPTI4_UPI_OOS[[#This Row],[Max Intraday Drawdown]]</f>
        <v>0.89942522924210933</v>
      </c>
      <c r="M5" s="79">
        <v>1</v>
      </c>
      <c r="N5" s="76">
        <v>0.14000000000000001</v>
      </c>
      <c r="O5" s="80">
        <v>0.88354582514896851</v>
      </c>
      <c r="P5" s="72">
        <f>(OPTI4_UPI_OOS[[#This Row],[Net Profit]]-B$74)/ABS(B$74)</f>
        <v>-0.10417166227102853</v>
      </c>
      <c r="Q5" s="72">
        <f>(OPTI4_UPI_OOS[[#This Row],[UPI]]-J$74)/ABS(J$74)</f>
        <v>-0.14149422108200113</v>
      </c>
      <c r="R5" s="72">
        <f>(OPTI4_UPI_OOS[[#This Row],[SORTINO AJUSTADO]]-K$74)/ABS(K$74)</f>
        <v>-0.1370339425091199</v>
      </c>
      <c r="S5" s="72">
        <f>(OPTI4_UPI_OOS[[#This Row],[RECOVERY]]-L$74)/ABS(L$74)</f>
        <v>-0.46193596324609987</v>
      </c>
      <c r="T5" s="72">
        <f>(OPTI4_UPI_OOS[[#This Row],[ROB]]-O$74)/ABS(O$74)</f>
        <v>-0.31491887162018539</v>
      </c>
      <c r="U5" s="72">
        <f>SUM(OPTI4_UPI_OOS[[#This Row],[VAR NET PROFIT]:[VAR ROB]])</f>
        <v>-1.1595546607284348</v>
      </c>
      <c r="V5" s="72">
        <f>OPTI4_UPI_OOS[[#This Row],[SUMA]]-OPTI4_UPI_OOS[[#This Row],[VAR ROB]]</f>
        <v>-0.84463578910824944</v>
      </c>
    </row>
    <row r="6" spans="1:22" x14ac:dyDescent="0.25">
      <c r="A6" s="73" t="s">
        <v>79</v>
      </c>
      <c r="B6" s="74">
        <v>63734.81</v>
      </c>
      <c r="C6" s="74">
        <v>192645.22</v>
      </c>
      <c r="D6" s="74">
        <v>-128910.41</v>
      </c>
      <c r="E6" s="75">
        <v>927</v>
      </c>
      <c r="F6" s="76">
        <v>39.050701186623499</v>
      </c>
      <c r="G6" s="77">
        <v>362</v>
      </c>
      <c r="H6" s="77">
        <v>565</v>
      </c>
      <c r="I6" s="74">
        <v>-73546.679999999993</v>
      </c>
      <c r="J6" s="78">
        <v>0.10733006587475601</v>
      </c>
      <c r="K6" s="78">
        <v>0.34886008520960698</v>
      </c>
      <c r="L6" s="76">
        <f>-OPTI4_UPI_OOS[[#This Row],[Net Profit]]/OPTI4_UPI_OOS[[#This Row],[Max Intraday Drawdown]]</f>
        <v>0.86658989909537731</v>
      </c>
      <c r="M6" s="79">
        <v>1</v>
      </c>
      <c r="N6" s="76">
        <v>0.15</v>
      </c>
      <c r="O6" s="80">
        <v>0.71209629629006133</v>
      </c>
      <c r="P6" s="72">
        <f>(OPTI4_UPI_OOS[[#This Row],[Net Profit]]-B$74)/ABS(B$74)</f>
        <v>-5.6027983184851325E-2</v>
      </c>
      <c r="Q6" s="72">
        <f>(OPTI4_UPI_OOS[[#This Row],[UPI]]-J$74)/ABS(J$74)</f>
        <v>-0.11904134147865754</v>
      </c>
      <c r="R6" s="72">
        <f>(OPTI4_UPI_OOS[[#This Row],[SORTINO AJUSTADO]]-K$74)/ABS(K$74)</f>
        <v>-9.2422228775100895E-2</v>
      </c>
      <c r="S6" s="72">
        <f>(OPTI4_UPI_OOS[[#This Row],[RECOVERY]]-L$74)/ABS(L$74)</f>
        <v>-0.48157907499401581</v>
      </c>
      <c r="T6" s="72">
        <f>(OPTI4_UPI_OOS[[#This Row],[ROB]]-O$74)/ABS(O$74)</f>
        <v>-0.44785689627900166</v>
      </c>
      <c r="U6" s="72">
        <f>SUM(OPTI4_UPI_OOS[[#This Row],[VAR NET PROFIT]:[VAR ROB]])</f>
        <v>-1.1969275247116273</v>
      </c>
      <c r="V6" s="72">
        <f>OPTI4_UPI_OOS[[#This Row],[SUMA]]-OPTI4_UPI_OOS[[#This Row],[VAR ROB]]</f>
        <v>-0.74907062843262562</v>
      </c>
    </row>
    <row r="7" spans="1:22" x14ac:dyDescent="0.25">
      <c r="A7" s="73" t="s">
        <v>80</v>
      </c>
      <c r="B7" s="41">
        <v>67517.69</v>
      </c>
      <c r="C7" s="41">
        <v>200254.85</v>
      </c>
      <c r="D7" s="41">
        <v>-132737.16</v>
      </c>
      <c r="E7" s="42">
        <v>775</v>
      </c>
      <c r="F7" s="43">
        <v>41.806451612903203</v>
      </c>
      <c r="G7" s="38">
        <v>324</v>
      </c>
      <c r="H7" s="38">
        <v>451</v>
      </c>
      <c r="I7" s="36">
        <v>-89697.229999999894</v>
      </c>
      <c r="J7" s="39">
        <v>0.121833260660501</v>
      </c>
      <c r="K7" s="39">
        <v>0.38438588545285002</v>
      </c>
      <c r="L7" s="32">
        <f>-OPTI4_UPI_OOS[[#This Row],[Net Profit]]/OPTI4_UPI_OOS[[#This Row],[Max Intraday Drawdown]]</f>
        <v>0.75272881893900268</v>
      </c>
      <c r="M7" s="35">
        <v>1.5</v>
      </c>
      <c r="N7" s="32">
        <v>0.18</v>
      </c>
      <c r="O7" s="58">
        <v>0.40965119111218484</v>
      </c>
      <c r="P7" s="72">
        <f>(OPTI4_UPI_OOS[[#This Row],[Net Profit]]-B$74)/ABS(B$74)</f>
        <v>0</v>
      </c>
      <c r="Q7" s="72">
        <f>(OPTI4_UPI_OOS[[#This Row],[UPI]]-J$74)/ABS(J$74)</f>
        <v>0</v>
      </c>
      <c r="R7" s="72">
        <f>(OPTI4_UPI_OOS[[#This Row],[SORTINO AJUSTADO]]-K$74)/ABS(K$74)</f>
        <v>0</v>
      </c>
      <c r="S7" s="72">
        <f>(OPTI4_UPI_OOS[[#This Row],[RECOVERY]]-L$74)/ABS(L$74)</f>
        <v>-0.54969430061396229</v>
      </c>
      <c r="T7" s="72">
        <f>(OPTI4_UPI_OOS[[#This Row],[ROB]]-O$74)/ABS(O$74)</f>
        <v>-0.6823658804545274</v>
      </c>
      <c r="U7" s="72">
        <f>SUM(OPTI4_UPI_OOS[[#This Row],[VAR NET PROFIT]:[VAR ROB]])</f>
        <v>-1.2320601810684897</v>
      </c>
      <c r="V7" s="72">
        <f>OPTI4_UPI_OOS[[#This Row],[SUMA]]-OPTI4_UPI_OOS[[#This Row],[VAR ROB]]</f>
        <v>-0.54969430061396229</v>
      </c>
    </row>
    <row r="8" spans="1:22" x14ac:dyDescent="0.25">
      <c r="A8" s="73" t="s">
        <v>81</v>
      </c>
      <c r="B8" s="74">
        <v>51297.599999999999</v>
      </c>
      <c r="C8" s="74">
        <v>180398.01</v>
      </c>
      <c r="D8" s="74">
        <v>-129100.41</v>
      </c>
      <c r="E8" s="75">
        <v>1252</v>
      </c>
      <c r="F8" s="76">
        <v>37.699680511182102</v>
      </c>
      <c r="G8" s="77">
        <v>472</v>
      </c>
      <c r="H8" s="77">
        <v>780</v>
      </c>
      <c r="I8" s="74">
        <v>-55512.39</v>
      </c>
      <c r="J8" s="78">
        <v>9.7616852851635696E-2</v>
      </c>
      <c r="K8" s="78">
        <v>0.34040709343169601</v>
      </c>
      <c r="L8" s="76">
        <f>-OPTI4_UPI_OOS[[#This Row],[Net Profit]]/OPTI4_UPI_OOS[[#This Row],[Max Intraday Drawdown]]</f>
        <v>0.9240747876284916</v>
      </c>
      <c r="M8" s="79">
        <v>1</v>
      </c>
      <c r="N8" s="76">
        <v>0.12</v>
      </c>
      <c r="O8" s="80">
        <v>0.98848721035166731</v>
      </c>
      <c r="P8" s="72">
        <f>(OPTI4_UPI_OOS[[#This Row],[Net Profit]]-B$74)/ABS(B$74)</f>
        <v>-0.24023467035083698</v>
      </c>
      <c r="Q8" s="72">
        <f>(OPTI4_UPI_OOS[[#This Row],[UPI]]-J$74)/ABS(J$74)</f>
        <v>-0.1987668037248583</v>
      </c>
      <c r="R8" s="72">
        <f>(OPTI4_UPI_OOS[[#This Row],[SORTINO AJUSTADO]]-K$74)/ABS(K$74)</f>
        <v>-0.11441312932014146</v>
      </c>
      <c r="S8" s="72">
        <f>(OPTI4_UPI_OOS[[#This Row],[RECOVERY]]-L$74)/ABS(L$74)</f>
        <v>-0.44718983376432658</v>
      </c>
      <c r="T8" s="72">
        <f>(OPTI4_UPI_OOS[[#This Row],[ROB]]-O$74)/ABS(O$74)</f>
        <v>-0.23354973315327654</v>
      </c>
      <c r="U8" s="72">
        <f>SUM(OPTI4_UPI_OOS[[#This Row],[VAR NET PROFIT]:[VAR ROB]])</f>
        <v>-1.2341541703134398</v>
      </c>
      <c r="V8" s="72">
        <f>OPTI4_UPI_OOS[[#This Row],[SUMA]]-OPTI4_UPI_OOS[[#This Row],[VAR ROB]]</f>
        <v>-1.0006044371601632</v>
      </c>
    </row>
    <row r="9" spans="1:22" x14ac:dyDescent="0.25">
      <c r="A9" s="73" t="s">
        <v>82</v>
      </c>
      <c r="B9" s="74">
        <v>51861.760000000002</v>
      </c>
      <c r="C9" s="74">
        <v>178996.21</v>
      </c>
      <c r="D9" s="74">
        <v>-127134.45</v>
      </c>
      <c r="E9" s="75">
        <v>1125</v>
      </c>
      <c r="F9" s="76">
        <v>39.644444444444403</v>
      </c>
      <c r="G9" s="77">
        <v>446</v>
      </c>
      <c r="H9" s="77">
        <v>679</v>
      </c>
      <c r="I9" s="74">
        <v>-57058.87</v>
      </c>
      <c r="J9" s="78">
        <v>0.10909224578696</v>
      </c>
      <c r="K9" s="78">
        <v>0.34595167497419199</v>
      </c>
      <c r="L9" s="76">
        <f>-OPTI4_UPI_OOS[[#This Row],[Net Profit]]/OPTI4_UPI_OOS[[#This Row],[Max Intraday Drawdown]]</f>
        <v>0.90891670304722127</v>
      </c>
      <c r="M9" s="79">
        <v>1</v>
      </c>
      <c r="N9" s="76">
        <v>0.13</v>
      </c>
      <c r="O9" s="80">
        <v>0.7506348780191211</v>
      </c>
      <c r="P9" s="72">
        <f>(OPTI4_UPI_OOS[[#This Row],[Net Profit]]-B$74)/ABS(B$74)</f>
        <v>-0.23187893424671371</v>
      </c>
      <c r="Q9" s="72">
        <f>(OPTI4_UPI_OOS[[#This Row],[UPI]]-J$74)/ABS(J$74)</f>
        <v>-0.10457747584253652</v>
      </c>
      <c r="R9" s="72">
        <f>(OPTI4_UPI_OOS[[#This Row],[SORTINO AJUSTADO]]-K$74)/ABS(K$74)</f>
        <v>-9.998861023051922E-2</v>
      </c>
      <c r="S9" s="72">
        <f>(OPTI4_UPI_OOS[[#This Row],[RECOVERY]]-L$74)/ABS(L$74)</f>
        <v>-0.45625786956551034</v>
      </c>
      <c r="T9" s="72">
        <f>(OPTI4_UPI_OOS[[#This Row],[ROB]]-O$74)/ABS(O$74)</f>
        <v>-0.41797496564721975</v>
      </c>
      <c r="U9" s="72">
        <f>SUM(OPTI4_UPI_OOS[[#This Row],[VAR NET PROFIT]:[VAR ROB]])</f>
        <v>-1.3106778555324996</v>
      </c>
      <c r="V9" s="72">
        <f>OPTI4_UPI_OOS[[#This Row],[SUMA]]-OPTI4_UPI_OOS[[#This Row],[VAR ROB]]</f>
        <v>-0.89270288988527979</v>
      </c>
    </row>
    <row r="10" spans="1:22" x14ac:dyDescent="0.25">
      <c r="A10" s="73" t="s">
        <v>83</v>
      </c>
      <c r="B10" s="74">
        <v>61302.87</v>
      </c>
      <c r="C10" s="74">
        <v>199529.9</v>
      </c>
      <c r="D10" s="74">
        <v>-138227.03</v>
      </c>
      <c r="E10" s="75">
        <v>1028</v>
      </c>
      <c r="F10" s="76">
        <v>38.4241245136187</v>
      </c>
      <c r="G10" s="77">
        <v>395</v>
      </c>
      <c r="H10" s="77">
        <v>633</v>
      </c>
      <c r="I10" s="74">
        <v>-71366.58</v>
      </c>
      <c r="J10" s="78">
        <v>0.107992134827915</v>
      </c>
      <c r="K10" s="78">
        <v>0.33872934324811099</v>
      </c>
      <c r="L10" s="76">
        <f>-OPTI4_UPI_OOS[[#This Row],[Net Profit]]/OPTI4_UPI_OOS[[#This Row],[Max Intraday Drawdown]]</f>
        <v>0.85898567648891122</v>
      </c>
      <c r="M10" s="79">
        <v>1.5</v>
      </c>
      <c r="N10" s="76">
        <v>0.15</v>
      </c>
      <c r="O10" s="80">
        <v>0.63389793811548534</v>
      </c>
      <c r="P10" s="72">
        <f>(OPTI4_UPI_OOS[[#This Row],[Net Profit]]-B$74)/ABS(B$74)</f>
        <v>-9.2047284200629492E-2</v>
      </c>
      <c r="Q10" s="72">
        <f>(OPTI4_UPI_OOS[[#This Row],[UPI]]-J$74)/ABS(J$74)</f>
        <v>-0.11360711974339667</v>
      </c>
      <c r="R10" s="72">
        <f>(OPTI4_UPI_OOS[[#This Row],[SORTINO AJUSTADO]]-K$74)/ABS(K$74)</f>
        <v>-0.11877788423721766</v>
      </c>
      <c r="S10" s="72">
        <f>(OPTI4_UPI_OOS[[#This Row],[RECOVERY]]-L$74)/ABS(L$74)</f>
        <v>-0.48612815653963592</v>
      </c>
      <c r="T10" s="72">
        <f>(OPTI4_UPI_OOS[[#This Row],[ROB]]-O$74)/ABS(O$74)</f>
        <v>-0.50849010615994361</v>
      </c>
      <c r="U10" s="72">
        <f>SUM(OPTI4_UPI_OOS[[#This Row],[VAR NET PROFIT]:[VAR ROB]])</f>
        <v>-1.3190505508808235</v>
      </c>
      <c r="V10" s="72">
        <f>OPTI4_UPI_OOS[[#This Row],[SUMA]]-OPTI4_UPI_OOS[[#This Row],[VAR ROB]]</f>
        <v>-0.81056044472087985</v>
      </c>
    </row>
    <row r="11" spans="1:22" x14ac:dyDescent="0.25">
      <c r="A11" s="73" t="s">
        <v>84</v>
      </c>
      <c r="B11" s="74">
        <v>44753.58</v>
      </c>
      <c r="C11" s="74">
        <v>191149.74</v>
      </c>
      <c r="D11" s="74">
        <v>-146396.16</v>
      </c>
      <c r="E11" s="75">
        <v>1327</v>
      </c>
      <c r="F11" s="76">
        <v>39.110776186887698</v>
      </c>
      <c r="G11" s="77">
        <v>519</v>
      </c>
      <c r="H11" s="77">
        <v>808</v>
      </c>
      <c r="I11" s="74">
        <v>-28513.67</v>
      </c>
      <c r="J11" s="78">
        <v>9.1133198207211094E-2</v>
      </c>
      <c r="K11" s="78">
        <v>0.30275768790109298</v>
      </c>
      <c r="L11" s="76">
        <f>-OPTI4_UPI_OOS[[#This Row],[Net Profit]]/OPTI4_UPI_OOS[[#This Row],[Max Intraday Drawdown]]</f>
        <v>1.5695482202045548</v>
      </c>
      <c r="M11" s="79">
        <v>0</v>
      </c>
      <c r="N11" s="76">
        <v>0.13</v>
      </c>
      <c r="O11" s="80">
        <v>0.59580394913004386</v>
      </c>
      <c r="P11" s="72">
        <f>(OPTI4_UPI_OOS[[#This Row],[Net Profit]]-B$74)/ABS(B$74)</f>
        <v>-0.33715771377841863</v>
      </c>
      <c r="Q11" s="72">
        <f>(OPTI4_UPI_OOS[[#This Row],[UPI]]-J$74)/ABS(J$74)</f>
        <v>-0.25198424705087968</v>
      </c>
      <c r="R11" s="72">
        <f>(OPTI4_UPI_OOS[[#This Row],[SORTINO AJUSTADO]]-K$74)/ABS(K$74)</f>
        <v>-0.21236002840112039</v>
      </c>
      <c r="S11" s="72">
        <f>(OPTI4_UPI_OOS[[#This Row],[RECOVERY]]-L$74)/ABS(L$74)</f>
        <v>-6.104762932346771E-2</v>
      </c>
      <c r="T11" s="72">
        <f>(OPTI4_UPI_OOS[[#This Row],[ROB]]-O$74)/ABS(O$74)</f>
        <v>-0.53802730979534563</v>
      </c>
      <c r="U11" s="72">
        <f>SUM(OPTI4_UPI_OOS[[#This Row],[VAR NET PROFIT]:[VAR ROB]])</f>
        <v>-1.4005769283492322</v>
      </c>
      <c r="V11" s="72">
        <f>OPTI4_UPI_OOS[[#This Row],[SUMA]]-OPTI4_UPI_OOS[[#This Row],[VAR ROB]]</f>
        <v>-0.86254961855388657</v>
      </c>
    </row>
    <row r="12" spans="1:22" x14ac:dyDescent="0.25">
      <c r="A12" s="72"/>
      <c r="B12" s="53">
        <v>63077.14</v>
      </c>
      <c r="C12" s="53">
        <v>187660.3</v>
      </c>
      <c r="D12" s="53">
        <v>-124583.16</v>
      </c>
      <c r="E12" s="52">
        <v>718</v>
      </c>
      <c r="F12" s="54">
        <v>41.782729805013901</v>
      </c>
      <c r="G12" s="55">
        <v>300</v>
      </c>
      <c r="H12" s="55">
        <v>418</v>
      </c>
      <c r="I12" s="53">
        <v>-89660.67</v>
      </c>
      <c r="J12" s="56">
        <v>0.118448801619105</v>
      </c>
      <c r="K12" s="56">
        <v>0.37190667066760502</v>
      </c>
      <c r="L12" s="54">
        <f>-OPTI4_UPI_OOS[[#This Row],[Net Profit]]/OPTI4_UPI_OOS[[#This Row],[Max Intraday Drawdown]]</f>
        <v>0.7035095767185322</v>
      </c>
      <c r="M12" s="57">
        <v>1.5</v>
      </c>
      <c r="N12" s="54">
        <v>0.19</v>
      </c>
      <c r="O12" s="50">
        <v>0.37555652091613867</v>
      </c>
      <c r="P12" s="72">
        <f>(OPTI4_UPI_OOS[[#This Row],[Net Profit]]-B$74)/ABS(B$74)</f>
        <v>-6.5768689657480922E-2</v>
      </c>
      <c r="Q12" s="72">
        <f>(OPTI4_UPI_OOS[[#This Row],[UPI]]-J$74)/ABS(J$74)</f>
        <v>-2.7779434146699023E-2</v>
      </c>
      <c r="R12" s="72">
        <f>(OPTI4_UPI_OOS[[#This Row],[SORTINO AJUSTADO]]-K$74)/ABS(K$74)</f>
        <v>-3.2465330433616393E-2</v>
      </c>
      <c r="S12" s="72">
        <f>(OPTI4_UPI_OOS[[#This Row],[RECOVERY]]-L$74)/ABS(L$74)</f>
        <v>-0.57913877614577502</v>
      </c>
      <c r="T12" s="72">
        <f>(OPTI4_UPI_OOS[[#This Row],[ROB]]-O$74)/ABS(O$74)</f>
        <v>-0.70880210420750234</v>
      </c>
      <c r="U12" s="72">
        <f>SUM(OPTI4_UPI_OOS[[#This Row],[VAR NET PROFIT]:[VAR ROB]])</f>
        <v>-1.4139543345910737</v>
      </c>
      <c r="V12" s="72">
        <f>OPTI4_UPI_OOS[[#This Row],[SUMA]]-OPTI4_UPI_OOS[[#This Row],[VAR ROB]]</f>
        <v>-0.70515223038357133</v>
      </c>
    </row>
    <row r="13" spans="1:22" x14ac:dyDescent="0.25">
      <c r="A13" s="72"/>
      <c r="B13" s="53">
        <v>57604.5</v>
      </c>
      <c r="C13" s="53">
        <v>178976.46</v>
      </c>
      <c r="D13" s="53">
        <v>-121371.96</v>
      </c>
      <c r="E13" s="52">
        <v>706</v>
      </c>
      <c r="F13" s="54">
        <v>40.9348441926346</v>
      </c>
      <c r="G13" s="55">
        <v>289</v>
      </c>
      <c r="H13" s="55">
        <v>417</v>
      </c>
      <c r="I13" s="53">
        <v>-86451.61</v>
      </c>
      <c r="J13" s="56">
        <v>0.119421720696663</v>
      </c>
      <c r="K13" s="56">
        <v>0.37705576741934799</v>
      </c>
      <c r="L13" s="54">
        <f>-OPTI4_UPI_OOS[[#This Row],[Net Profit]]/OPTI4_UPI_OOS[[#This Row],[Max Intraday Drawdown]]</f>
        <v>0.66632073133166636</v>
      </c>
      <c r="M13" s="57">
        <v>1</v>
      </c>
      <c r="N13" s="54">
        <v>0.18</v>
      </c>
      <c r="O13" s="50">
        <v>0.37908058436943964</v>
      </c>
      <c r="P13" s="72">
        <f>(OPTI4_UPI_OOS[[#This Row],[Net Profit]]-B$74)/ABS(B$74)</f>
        <v>-0.14682359541625317</v>
      </c>
      <c r="Q13" s="72">
        <f>(OPTI4_UPI_OOS[[#This Row],[UPI]]-J$74)/ABS(J$74)</f>
        <v>-1.9793773479952786E-2</v>
      </c>
      <c r="R13" s="72">
        <f>(OPTI4_UPI_OOS[[#This Row],[SORTINO AJUSTADO]]-K$74)/ABS(K$74)</f>
        <v>-1.9069685727056088E-2</v>
      </c>
      <c r="S13" s="72">
        <f>(OPTI4_UPI_OOS[[#This Row],[RECOVERY]]-L$74)/ABS(L$74)</f>
        <v>-0.60138629558431111</v>
      </c>
      <c r="T13" s="72">
        <f>(OPTI4_UPI_OOS[[#This Row],[ROB]]-O$74)/ABS(O$74)</f>
        <v>-0.70606962639101511</v>
      </c>
      <c r="U13" s="72">
        <f>SUM(OPTI4_UPI_OOS[[#This Row],[VAR NET PROFIT]:[VAR ROB]])</f>
        <v>-1.4931429765985884</v>
      </c>
      <c r="V13" s="72">
        <f>OPTI4_UPI_OOS[[#This Row],[SUMA]]-OPTI4_UPI_OOS[[#This Row],[VAR ROB]]</f>
        <v>-0.7870733502075733</v>
      </c>
    </row>
    <row r="14" spans="1:22" x14ac:dyDescent="0.25">
      <c r="A14" s="72"/>
      <c r="B14" s="53">
        <v>59483.86</v>
      </c>
      <c r="C14" s="53">
        <v>174387.97</v>
      </c>
      <c r="D14" s="53">
        <v>-114904.11</v>
      </c>
      <c r="E14" s="52">
        <v>651</v>
      </c>
      <c r="F14" s="54">
        <v>41.6282642089094</v>
      </c>
      <c r="G14" s="55">
        <v>271</v>
      </c>
      <c r="H14" s="55">
        <v>380</v>
      </c>
      <c r="I14" s="53">
        <v>-89974.759999999893</v>
      </c>
      <c r="J14" s="56">
        <v>0.11650675414170999</v>
      </c>
      <c r="K14" s="56">
        <v>0.37734849673809101</v>
      </c>
      <c r="L14" s="54">
        <f>-OPTI4_UPI_OOS[[#This Row],[Net Profit]]/OPTI4_UPI_OOS[[#This Row],[Max Intraday Drawdown]]</f>
        <v>0.66111718441927569</v>
      </c>
      <c r="M14" s="57">
        <v>1</v>
      </c>
      <c r="N14" s="54">
        <v>0.19</v>
      </c>
      <c r="O14" s="50">
        <v>0.37070484272199039</v>
      </c>
      <c r="P14" s="72">
        <f>(OPTI4_UPI_OOS[[#This Row],[Net Profit]]-B$74)/ABS(B$74)</f>
        <v>-0.11898851989752614</v>
      </c>
      <c r="Q14" s="72">
        <f>(OPTI4_UPI_OOS[[#This Row],[UPI]]-J$74)/ABS(J$74)</f>
        <v>-4.371964182780743E-2</v>
      </c>
      <c r="R14" s="72">
        <f>(OPTI4_UPI_OOS[[#This Row],[SORTINO AJUSTADO]]-K$74)/ABS(K$74)</f>
        <v>-1.8308135082712958E-2</v>
      </c>
      <c r="S14" s="72">
        <f>(OPTI4_UPI_OOS[[#This Row],[RECOVERY]]-L$74)/ABS(L$74)</f>
        <v>-0.60449921855566091</v>
      </c>
      <c r="T14" s="72">
        <f>(OPTI4_UPI_OOS[[#This Row],[ROB]]-O$74)/ABS(O$74)</f>
        <v>-0.71256398398461795</v>
      </c>
      <c r="U14" s="72">
        <f>SUM(OPTI4_UPI_OOS[[#This Row],[VAR NET PROFIT]:[VAR ROB]])</f>
        <v>-1.4980794993483255</v>
      </c>
      <c r="V14" s="72">
        <f>OPTI4_UPI_OOS[[#This Row],[SUMA]]-OPTI4_UPI_OOS[[#This Row],[VAR ROB]]</f>
        <v>-0.78551551536370756</v>
      </c>
    </row>
    <row r="15" spans="1:22" x14ac:dyDescent="0.25">
      <c r="A15" s="72"/>
      <c r="B15" s="53">
        <v>56566.92</v>
      </c>
      <c r="C15" s="53">
        <v>195057.56</v>
      </c>
      <c r="D15" s="53">
        <v>-138490.64000000001</v>
      </c>
      <c r="E15" s="52">
        <v>1136</v>
      </c>
      <c r="F15" s="54">
        <v>39.348591549295797</v>
      </c>
      <c r="G15" s="55">
        <v>447</v>
      </c>
      <c r="H15" s="55">
        <v>689</v>
      </c>
      <c r="I15" s="53">
        <v>-68139.75</v>
      </c>
      <c r="J15" s="56">
        <v>0.100094613576377</v>
      </c>
      <c r="K15" s="56">
        <v>0.31497599177027902</v>
      </c>
      <c r="L15" s="54">
        <f>-OPTI4_UPI_OOS[[#This Row],[Net Profit]]/OPTI4_UPI_OOS[[#This Row],[Max Intraday Drawdown]]</f>
        <v>0.83016036894764067</v>
      </c>
      <c r="M15" s="57">
        <v>1.5</v>
      </c>
      <c r="N15" s="54">
        <v>0.14000000000000001</v>
      </c>
      <c r="O15" s="50">
        <v>0.67275629511985902</v>
      </c>
      <c r="P15" s="72">
        <f>(OPTI4_UPI_OOS[[#This Row],[Net Profit]]-B$74)/ABS(B$74)</f>
        <v>-0.16219112354110463</v>
      </c>
      <c r="Q15" s="72">
        <f>(OPTI4_UPI_OOS[[#This Row],[UPI]]-J$74)/ABS(J$74)</f>
        <v>-0.17842949426348059</v>
      </c>
      <c r="R15" s="72">
        <f>(OPTI4_UPI_OOS[[#This Row],[SORTINO AJUSTADO]]-K$74)/ABS(K$74)</f>
        <v>-0.18057347137186971</v>
      </c>
      <c r="S15" s="72">
        <f>(OPTI4_UPI_OOS[[#This Row],[RECOVERY]]-L$74)/ABS(L$74)</f>
        <v>-0.50337234853255775</v>
      </c>
      <c r="T15" s="72">
        <f>(OPTI4_UPI_OOS[[#This Row],[ROB]]-O$74)/ABS(O$74)</f>
        <v>-0.47836022912832094</v>
      </c>
      <c r="U15" s="72">
        <f>SUM(OPTI4_UPI_OOS[[#This Row],[VAR NET PROFIT]:[VAR ROB]])</f>
        <v>-1.5029266668373336</v>
      </c>
      <c r="V15" s="72">
        <f>OPTI4_UPI_OOS[[#This Row],[SUMA]]-OPTI4_UPI_OOS[[#This Row],[VAR ROB]]</f>
        <v>-1.0245664377090127</v>
      </c>
    </row>
    <row r="16" spans="1:22" x14ac:dyDescent="0.25">
      <c r="A16" s="72"/>
      <c r="B16" s="53">
        <v>51337.46</v>
      </c>
      <c r="C16" s="53">
        <v>191263.75</v>
      </c>
      <c r="D16" s="53">
        <v>-139926.29</v>
      </c>
      <c r="E16" s="52">
        <v>1261</v>
      </c>
      <c r="F16" s="54">
        <v>39.413164155432199</v>
      </c>
      <c r="G16" s="55">
        <v>497</v>
      </c>
      <c r="H16" s="55">
        <v>764</v>
      </c>
      <c r="I16" s="53">
        <v>-59781.38</v>
      </c>
      <c r="J16" s="56">
        <v>0.103876032915242</v>
      </c>
      <c r="K16" s="56">
        <v>0.33360186731623798</v>
      </c>
      <c r="L16" s="54">
        <f>-OPTI4_UPI_OOS[[#This Row],[Net Profit]]/OPTI4_UPI_OOS[[#This Row],[Max Intraday Drawdown]]</f>
        <v>0.85875334426873384</v>
      </c>
      <c r="M16" s="57">
        <v>1.5</v>
      </c>
      <c r="N16" s="54">
        <v>0.13</v>
      </c>
      <c r="O16" s="50">
        <v>0.62293506125107645</v>
      </c>
      <c r="P16" s="72">
        <f>(OPTI4_UPI_OOS[[#This Row],[Net Profit]]-B$74)/ABS(B$74)</f>
        <v>-0.23964430655136457</v>
      </c>
      <c r="Q16" s="72">
        <f>(OPTI4_UPI_OOS[[#This Row],[UPI]]-J$74)/ABS(J$74)</f>
        <v>-0.14739183411743678</v>
      </c>
      <c r="R16" s="72">
        <f>(OPTI4_UPI_OOS[[#This Row],[SORTINO AJUSTADO]]-K$74)/ABS(K$74)</f>
        <v>-0.13211728124923924</v>
      </c>
      <c r="S16" s="72">
        <f>(OPTI4_UPI_OOS[[#This Row],[RECOVERY]]-L$74)/ABS(L$74)</f>
        <v>-0.48626714487150868</v>
      </c>
      <c r="T16" s="72">
        <f>(OPTI4_UPI_OOS[[#This Row],[ROB]]-O$74)/ABS(O$74)</f>
        <v>-0.5169904689467768</v>
      </c>
      <c r="U16" s="72">
        <f>SUM(OPTI4_UPI_OOS[[#This Row],[VAR NET PROFIT]:[VAR ROB]])</f>
        <v>-1.5224110357363261</v>
      </c>
      <c r="V16" s="72">
        <f>OPTI4_UPI_OOS[[#This Row],[SUMA]]-OPTI4_UPI_OOS[[#This Row],[VAR ROB]]</f>
        <v>-1.0054205667895493</v>
      </c>
    </row>
    <row r="17" spans="1:22" x14ac:dyDescent="0.25">
      <c r="A17" s="72"/>
      <c r="B17" s="53">
        <v>53185.13</v>
      </c>
      <c r="C17" s="53">
        <v>196939.09</v>
      </c>
      <c r="D17" s="53">
        <v>-143753.96</v>
      </c>
      <c r="E17" s="52">
        <v>1179</v>
      </c>
      <c r="F17" s="54">
        <v>40.0339270568278</v>
      </c>
      <c r="G17" s="55">
        <v>472</v>
      </c>
      <c r="H17" s="55">
        <v>707</v>
      </c>
      <c r="I17" s="53">
        <v>-67203.039999999994</v>
      </c>
      <c r="J17" s="56">
        <v>9.6122629447375096E-2</v>
      </c>
      <c r="K17" s="56">
        <v>0.30741567575781298</v>
      </c>
      <c r="L17" s="54">
        <f>-OPTI4_UPI_OOS[[#This Row],[Net Profit]]/OPTI4_UPI_OOS[[#This Row],[Max Intraday Drawdown]]</f>
        <v>0.79140958504258141</v>
      </c>
      <c r="M17" s="57">
        <v>0</v>
      </c>
      <c r="N17" s="54">
        <v>0.14000000000000001</v>
      </c>
      <c r="O17" s="50">
        <v>0.74723786088563815</v>
      </c>
      <c r="P17" s="72">
        <f>(OPTI4_UPI_OOS[[#This Row],[Net Profit]]-B$74)/ABS(B$74)</f>
        <v>-0.21227858950743136</v>
      </c>
      <c r="Q17" s="72">
        <f>(OPTI4_UPI_OOS[[#This Row],[UPI]]-J$74)/ABS(J$74)</f>
        <v>-0.21103129862682424</v>
      </c>
      <c r="R17" s="72">
        <f>(OPTI4_UPI_OOS[[#This Row],[SORTINO AJUSTADO]]-K$74)/ABS(K$74)</f>
        <v>-0.20024202918990491</v>
      </c>
      <c r="S17" s="72">
        <f>(OPTI4_UPI_OOS[[#This Row],[RECOVERY]]-L$74)/ABS(L$74)</f>
        <v>-0.52655426798227523</v>
      </c>
      <c r="T17" s="72">
        <f>(OPTI4_UPI_OOS[[#This Row],[ROB]]-O$74)/ABS(O$74)</f>
        <v>-0.42060893466692473</v>
      </c>
      <c r="U17" s="72">
        <f>SUM(OPTI4_UPI_OOS[[#This Row],[VAR NET PROFIT]:[VAR ROB]])</f>
        <v>-1.5707151199733604</v>
      </c>
      <c r="V17" s="72">
        <f>OPTI4_UPI_OOS[[#This Row],[SUMA]]-OPTI4_UPI_OOS[[#This Row],[VAR ROB]]</f>
        <v>-1.1501061853064356</v>
      </c>
    </row>
    <row r="18" spans="1:22" x14ac:dyDescent="0.25">
      <c r="A18" s="72"/>
      <c r="B18" s="53">
        <v>61843.58</v>
      </c>
      <c r="C18" s="53">
        <v>186481.34</v>
      </c>
      <c r="D18" s="53">
        <v>-124637.75999999999</v>
      </c>
      <c r="E18" s="52">
        <v>661</v>
      </c>
      <c r="F18" s="54">
        <v>42.057488653555197</v>
      </c>
      <c r="G18" s="55">
        <v>278</v>
      </c>
      <c r="H18" s="55">
        <v>383</v>
      </c>
      <c r="I18" s="53">
        <v>-98055.949999999895</v>
      </c>
      <c r="J18" s="56">
        <v>0.11189935795877</v>
      </c>
      <c r="K18" s="56">
        <v>0.36040845771608898</v>
      </c>
      <c r="L18" s="54">
        <f>-OPTI4_UPI_OOS[[#This Row],[Net Profit]]/OPTI4_UPI_OOS[[#This Row],[Max Intraday Drawdown]]</f>
        <v>0.63069686235256572</v>
      </c>
      <c r="M18" s="57">
        <v>1.5</v>
      </c>
      <c r="N18" s="54">
        <v>0.2</v>
      </c>
      <c r="O18" s="50">
        <v>0.32332822486331086</v>
      </c>
      <c r="P18" s="72">
        <f>(OPTI4_UPI_OOS[[#This Row],[Net Profit]]-B$74)/ABS(B$74)</f>
        <v>-8.4038864481293718E-2</v>
      </c>
      <c r="Q18" s="72">
        <f>(OPTI4_UPI_OOS[[#This Row],[UPI]]-J$74)/ABS(J$74)</f>
        <v>-8.1536869717479588E-2</v>
      </c>
      <c r="R18" s="72">
        <f>(OPTI4_UPI_OOS[[#This Row],[SORTINO AJUSTADO]]-K$74)/ABS(K$74)</f>
        <v>-6.2378533250545654E-2</v>
      </c>
      <c r="S18" s="72">
        <f>(OPTI4_UPI_OOS[[#This Row],[RECOVERY]]-L$74)/ABS(L$74)</f>
        <v>-0.62269759765200894</v>
      </c>
      <c r="T18" s="72">
        <f>(OPTI4_UPI_OOS[[#This Row],[ROB]]-O$74)/ABS(O$74)</f>
        <v>-0.74929872472765868</v>
      </c>
      <c r="U18" s="72">
        <f>SUM(OPTI4_UPI_OOS[[#This Row],[VAR NET PROFIT]:[VAR ROB]])</f>
        <v>-1.5999505898289867</v>
      </c>
      <c r="V18" s="72">
        <f>OPTI4_UPI_OOS[[#This Row],[SUMA]]-OPTI4_UPI_OOS[[#This Row],[VAR ROB]]</f>
        <v>-0.85065186510132806</v>
      </c>
    </row>
    <row r="19" spans="1:22" x14ac:dyDescent="0.25">
      <c r="A19" s="72"/>
      <c r="B19" s="53">
        <v>59953.93</v>
      </c>
      <c r="C19" s="53">
        <v>172484.44</v>
      </c>
      <c r="D19" s="53">
        <v>-112530.51</v>
      </c>
      <c r="E19" s="52">
        <v>591</v>
      </c>
      <c r="F19" s="54">
        <v>43.485617597292702</v>
      </c>
      <c r="G19" s="55">
        <v>257</v>
      </c>
      <c r="H19" s="55">
        <v>334</v>
      </c>
      <c r="I19" s="53">
        <v>-96727.38</v>
      </c>
      <c r="J19" s="56">
        <v>0.114992447850317</v>
      </c>
      <c r="K19" s="56">
        <v>0.37277536582771598</v>
      </c>
      <c r="L19" s="54">
        <f>-OPTI4_UPI_OOS[[#This Row],[Net Profit]]/OPTI4_UPI_OOS[[#This Row],[Max Intraday Drawdown]]</f>
        <v>0.61982377688716472</v>
      </c>
      <c r="M19" s="57">
        <v>1</v>
      </c>
      <c r="N19" s="54">
        <v>0.2</v>
      </c>
      <c r="O19" s="50">
        <v>0.28622787361823032</v>
      </c>
      <c r="P19" s="72">
        <f>(OPTI4_UPI_OOS[[#This Row],[Net Profit]]-B$74)/ABS(B$74)</f>
        <v>-0.11202634450319615</v>
      </c>
      <c r="Q19" s="72">
        <f>(OPTI4_UPI_OOS[[#This Row],[UPI]]-J$74)/ABS(J$74)</f>
        <v>-5.6148975846969457E-2</v>
      </c>
      <c r="R19" s="72">
        <f>(OPTI4_UPI_OOS[[#This Row],[SORTINO AJUSTADO]]-K$74)/ABS(K$74)</f>
        <v>-3.0205374506547079E-2</v>
      </c>
      <c r="S19" s="72">
        <f>(OPTI4_UPI_OOS[[#This Row],[RECOVERY]]-L$74)/ABS(L$74)</f>
        <v>-0.6292022142307695</v>
      </c>
      <c r="T19" s="72">
        <f>(OPTI4_UPI_OOS[[#This Row],[ROB]]-O$74)/ABS(O$74)</f>
        <v>-0.77806548449360746</v>
      </c>
      <c r="U19" s="72">
        <f>SUM(OPTI4_UPI_OOS[[#This Row],[VAR NET PROFIT]:[VAR ROB]])</f>
        <v>-1.6056483935810897</v>
      </c>
      <c r="V19" s="72">
        <f>OPTI4_UPI_OOS[[#This Row],[SUMA]]-OPTI4_UPI_OOS[[#This Row],[VAR ROB]]</f>
        <v>-0.82758290908748222</v>
      </c>
    </row>
    <row r="20" spans="1:22" x14ac:dyDescent="0.25">
      <c r="A20" s="72"/>
      <c r="B20" s="53">
        <v>56513.9</v>
      </c>
      <c r="C20" s="53">
        <v>189165.75</v>
      </c>
      <c r="D20" s="53">
        <v>-132651.85</v>
      </c>
      <c r="E20" s="52">
        <v>815</v>
      </c>
      <c r="F20" s="54">
        <v>40.490797546012303</v>
      </c>
      <c r="G20" s="55">
        <v>330</v>
      </c>
      <c r="H20" s="55">
        <v>485</v>
      </c>
      <c r="I20" s="53">
        <v>-84992.520000000106</v>
      </c>
      <c r="J20" s="56">
        <v>0.11536976832866799</v>
      </c>
      <c r="K20" s="56">
        <v>0.34980290982822099</v>
      </c>
      <c r="L20" s="54">
        <f>-OPTI4_UPI_OOS[[#This Row],[Net Profit]]/OPTI4_UPI_OOS[[#This Row],[Max Intraday Drawdown]]</f>
        <v>0.66492792542214219</v>
      </c>
      <c r="M20" s="57">
        <v>0</v>
      </c>
      <c r="N20" s="54">
        <v>0.18</v>
      </c>
      <c r="O20" s="50">
        <v>0.38458222993174446</v>
      </c>
      <c r="P20" s="72">
        <f>(OPTI4_UPI_OOS[[#This Row],[Net Profit]]-B$74)/ABS(B$74)</f>
        <v>-0.16297639922218904</v>
      </c>
      <c r="Q20" s="72">
        <f>(OPTI4_UPI_OOS[[#This Row],[UPI]]-J$74)/ABS(J$74)</f>
        <v>-5.3051952289482687E-2</v>
      </c>
      <c r="R20" s="72">
        <f>(OPTI4_UPI_OOS[[#This Row],[SORTINO AJUSTADO]]-K$74)/ABS(K$74)</f>
        <v>-8.9969421181754314E-2</v>
      </c>
      <c r="S20" s="72">
        <f>(OPTI4_UPI_OOS[[#This Row],[RECOVERY]]-L$74)/ABS(L$74)</f>
        <v>-0.60221951522917783</v>
      </c>
      <c r="T20" s="72">
        <f>(OPTI4_UPI_OOS[[#This Row],[ROB]]-O$74)/ABS(O$74)</f>
        <v>-0.70180377685329109</v>
      </c>
      <c r="U20" s="72">
        <f>SUM(OPTI4_UPI_OOS[[#This Row],[VAR NET PROFIT]:[VAR ROB]])</f>
        <v>-1.610021064775895</v>
      </c>
      <c r="V20" s="72">
        <f>OPTI4_UPI_OOS[[#This Row],[SUMA]]-OPTI4_UPI_OOS[[#This Row],[VAR ROB]]</f>
        <v>-0.90821728792260392</v>
      </c>
    </row>
    <row r="21" spans="1:22" x14ac:dyDescent="0.25">
      <c r="A21" s="72"/>
      <c r="B21" s="53">
        <v>53881.17</v>
      </c>
      <c r="C21" s="53">
        <v>177124.87</v>
      </c>
      <c r="D21" s="53">
        <v>-123243.7</v>
      </c>
      <c r="E21" s="52">
        <v>836</v>
      </c>
      <c r="F21" s="54">
        <v>39.712918660287102</v>
      </c>
      <c r="G21" s="55">
        <v>332</v>
      </c>
      <c r="H21" s="55">
        <v>504</v>
      </c>
      <c r="I21" s="53">
        <v>-77415.78</v>
      </c>
      <c r="J21" s="56">
        <v>0.112402207854127</v>
      </c>
      <c r="K21" s="56">
        <v>0.34120752147940397</v>
      </c>
      <c r="L21" s="54">
        <f>-OPTI4_UPI_OOS[[#This Row],[Net Profit]]/OPTI4_UPI_OOS[[#This Row],[Max Intraday Drawdown]]</f>
        <v>0.69599725017302672</v>
      </c>
      <c r="M21" s="57">
        <v>1</v>
      </c>
      <c r="N21" s="54">
        <v>0.16</v>
      </c>
      <c r="O21" s="50">
        <v>0.45177659975126927</v>
      </c>
      <c r="P21" s="72">
        <f>(OPTI4_UPI_OOS[[#This Row],[Net Profit]]-B$74)/ABS(B$74)</f>
        <v>-0.2019695875258766</v>
      </c>
      <c r="Q21" s="72">
        <f>(OPTI4_UPI_OOS[[#This Row],[UPI]]-J$74)/ABS(J$74)</f>
        <v>-7.7409508333315113E-2</v>
      </c>
      <c r="R21" s="72">
        <f>(OPTI4_UPI_OOS[[#This Row],[SORTINO AJUSTADO]]-K$74)/ABS(K$74)</f>
        <v>-0.1123307738591313</v>
      </c>
      <c r="S21" s="72">
        <f>(OPTI4_UPI_OOS[[#This Row],[RECOVERY]]-L$74)/ABS(L$74)</f>
        <v>-0.58363288262074475</v>
      </c>
      <c r="T21" s="72">
        <f>(OPTI4_UPI_OOS[[#This Row],[ROB]]-O$74)/ABS(O$74)</f>
        <v>-0.64970280666425861</v>
      </c>
      <c r="U21" s="72">
        <f>SUM(OPTI4_UPI_OOS[[#This Row],[VAR NET PROFIT]:[VAR ROB]])</f>
        <v>-1.6250455590033264</v>
      </c>
      <c r="V21" s="72">
        <f>OPTI4_UPI_OOS[[#This Row],[SUMA]]-OPTI4_UPI_OOS[[#This Row],[VAR ROB]]</f>
        <v>-0.97534275233906775</v>
      </c>
    </row>
    <row r="22" spans="1:22" x14ac:dyDescent="0.25">
      <c r="A22" s="72"/>
      <c r="B22" s="53">
        <v>53588.550000000097</v>
      </c>
      <c r="C22" s="53">
        <v>193355.81</v>
      </c>
      <c r="D22" s="53">
        <v>-139767.26</v>
      </c>
      <c r="E22" s="52">
        <v>1073</v>
      </c>
      <c r="F22" s="54">
        <v>39.422180801491102</v>
      </c>
      <c r="G22" s="55">
        <v>423</v>
      </c>
      <c r="H22" s="55">
        <v>650</v>
      </c>
      <c r="I22" s="53">
        <v>-71495.91</v>
      </c>
      <c r="J22" s="56">
        <v>9.8824957671588498E-2</v>
      </c>
      <c r="K22" s="56">
        <v>0.30472474620654599</v>
      </c>
      <c r="L22" s="54">
        <f>-OPTI4_UPI_OOS[[#This Row],[Net Profit]]/OPTI4_UPI_OOS[[#This Row],[Max Intraday Drawdown]]</f>
        <v>0.74953308517927941</v>
      </c>
      <c r="M22" s="57">
        <v>0</v>
      </c>
      <c r="N22" s="54">
        <v>0.15</v>
      </c>
      <c r="O22" s="50">
        <v>0.68094608099665477</v>
      </c>
      <c r="P22" s="72">
        <f>(OPTI4_UPI_OOS[[#This Row],[Net Profit]]-B$74)/ABS(B$74)</f>
        <v>-0.20630356281442544</v>
      </c>
      <c r="Q22" s="72">
        <f>(OPTI4_UPI_OOS[[#This Row],[UPI]]-J$74)/ABS(J$74)</f>
        <v>-0.18885075277618271</v>
      </c>
      <c r="R22" s="72">
        <f>(OPTI4_UPI_OOS[[#This Row],[SORTINO AJUSTADO]]-K$74)/ABS(K$74)</f>
        <v>-0.207242623262439</v>
      </c>
      <c r="S22" s="72">
        <f>(OPTI4_UPI_OOS[[#This Row],[RECOVERY]]-L$74)/ABS(L$74)</f>
        <v>-0.55160608755438012</v>
      </c>
      <c r="T22" s="72">
        <f>(OPTI4_UPI_OOS[[#This Row],[ROB]]-O$74)/ABS(O$74)</f>
        <v>-0.47201005736590179</v>
      </c>
      <c r="U22" s="72">
        <f>SUM(OPTI4_UPI_OOS[[#This Row],[VAR NET PROFIT]:[VAR ROB]])</f>
        <v>-1.6260130837733291</v>
      </c>
      <c r="V22" s="72">
        <f>OPTI4_UPI_OOS[[#This Row],[SUMA]]-OPTI4_UPI_OOS[[#This Row],[VAR ROB]]</f>
        <v>-1.1540030264074272</v>
      </c>
    </row>
    <row r="23" spans="1:22" x14ac:dyDescent="0.25">
      <c r="A23" s="72"/>
      <c r="B23" s="53">
        <v>61969.59</v>
      </c>
      <c r="C23" s="53">
        <v>185664.3</v>
      </c>
      <c r="D23" s="53">
        <v>-123694.71</v>
      </c>
      <c r="E23" s="52">
        <v>630</v>
      </c>
      <c r="F23" s="54">
        <v>40.317460317460302</v>
      </c>
      <c r="G23" s="55">
        <v>254</v>
      </c>
      <c r="H23" s="55">
        <v>376</v>
      </c>
      <c r="I23" s="53">
        <v>-104522.06</v>
      </c>
      <c r="J23" s="56">
        <v>0.113525983285949</v>
      </c>
      <c r="K23" s="56">
        <v>0.36593204807710999</v>
      </c>
      <c r="L23" s="54">
        <f>-OPTI4_UPI_OOS[[#This Row],[Net Profit]]/OPTI4_UPI_OOS[[#This Row],[Max Intraday Drawdown]]</f>
        <v>0.59288527225735888</v>
      </c>
      <c r="M23" s="57">
        <v>0</v>
      </c>
      <c r="N23" s="54">
        <v>0.21</v>
      </c>
      <c r="O23" s="50">
        <v>0.28011300013886359</v>
      </c>
      <c r="P23" s="72">
        <f>(OPTI4_UPI_OOS[[#This Row],[Net Profit]]-B$74)/ABS(B$74)</f>
        <v>-8.2172538782058532E-2</v>
      </c>
      <c r="Q23" s="72">
        <f>(OPTI4_UPI_OOS[[#This Row],[UPI]]-J$74)/ABS(J$74)</f>
        <v>-6.8185627877931906E-2</v>
      </c>
      <c r="R23" s="72">
        <f>(OPTI4_UPI_OOS[[#This Row],[SORTINO AJUSTADO]]-K$74)/ABS(K$74)</f>
        <v>-4.8008623818221935E-2</v>
      </c>
      <c r="S23" s="72">
        <f>(OPTI4_UPI_OOS[[#This Row],[RECOVERY]]-L$74)/ABS(L$74)</f>
        <v>-0.6453176622680018</v>
      </c>
      <c r="T23" s="72">
        <f>(OPTI4_UPI_OOS[[#This Row],[ROB]]-O$74)/ABS(O$74)</f>
        <v>-0.78280681686585651</v>
      </c>
      <c r="U23" s="72">
        <f>SUM(OPTI4_UPI_OOS[[#This Row],[VAR NET PROFIT]:[VAR ROB]])</f>
        <v>-1.6264912696120706</v>
      </c>
      <c r="V23" s="72">
        <f>OPTI4_UPI_OOS[[#This Row],[SUMA]]-OPTI4_UPI_OOS[[#This Row],[VAR ROB]]</f>
        <v>-0.84368445274621406</v>
      </c>
    </row>
    <row r="24" spans="1:22" x14ac:dyDescent="0.25">
      <c r="A24" s="72"/>
      <c r="B24" s="53">
        <v>64899.35</v>
      </c>
      <c r="C24" s="53">
        <v>177297.8</v>
      </c>
      <c r="D24" s="53">
        <v>-112398.45</v>
      </c>
      <c r="E24" s="52">
        <v>491</v>
      </c>
      <c r="F24" s="54">
        <v>41.751527494908402</v>
      </c>
      <c r="G24" s="55">
        <v>205</v>
      </c>
      <c r="H24" s="55">
        <v>286</v>
      </c>
      <c r="I24" s="53">
        <v>-111420.74</v>
      </c>
      <c r="J24" s="56">
        <v>0.117904551219877</v>
      </c>
      <c r="K24" s="56">
        <v>0.326127546766734</v>
      </c>
      <c r="L24" s="54">
        <f>-OPTI4_UPI_OOS[[#This Row],[Net Profit]]/OPTI4_UPI_OOS[[#This Row],[Max Intraday Drawdown]]</f>
        <v>0.58247100135935193</v>
      </c>
      <c r="M24" s="57">
        <v>1.5</v>
      </c>
      <c r="N24" s="54">
        <v>0.24</v>
      </c>
      <c r="O24" s="50">
        <v>0.28553399567512605</v>
      </c>
      <c r="P24" s="72">
        <f>(OPTI4_UPI_OOS[[#This Row],[Net Profit]]-B$74)/ABS(B$74)</f>
        <v>-3.8780058974174081E-2</v>
      </c>
      <c r="Q24" s="72">
        <f>(OPTI4_UPI_OOS[[#This Row],[UPI]]-J$74)/ABS(J$74)</f>
        <v>-3.2246608350831957E-2</v>
      </c>
      <c r="R24" s="72">
        <f>(OPTI4_UPI_OOS[[#This Row],[SORTINO AJUSTADO]]-K$74)/ABS(K$74)</f>
        <v>-0.15156211736932304</v>
      </c>
      <c r="S24" s="72">
        <f>(OPTI4_UPI_OOS[[#This Row],[RECOVERY]]-L$74)/ABS(L$74)</f>
        <v>-0.651547801758254</v>
      </c>
      <c r="T24" s="72">
        <f>(OPTI4_UPI_OOS[[#This Row],[ROB]]-O$74)/ABS(O$74)</f>
        <v>-0.77860350150493729</v>
      </c>
      <c r="U24" s="72">
        <f>SUM(OPTI4_UPI_OOS[[#This Row],[VAR NET PROFIT]:[VAR ROB]])</f>
        <v>-1.6527400879575205</v>
      </c>
      <c r="V24" s="72">
        <f>OPTI4_UPI_OOS[[#This Row],[SUMA]]-OPTI4_UPI_OOS[[#This Row],[VAR ROB]]</f>
        <v>-0.87413658645258319</v>
      </c>
    </row>
    <row r="25" spans="1:22" x14ac:dyDescent="0.25">
      <c r="A25" s="72"/>
      <c r="B25" s="53">
        <v>63638.239999999998</v>
      </c>
      <c r="C25" s="53">
        <v>177373.65</v>
      </c>
      <c r="D25" s="53">
        <v>-113735.41</v>
      </c>
      <c r="E25" s="52">
        <v>510</v>
      </c>
      <c r="F25" s="54">
        <v>40.588235294117602</v>
      </c>
      <c r="G25" s="55">
        <v>207</v>
      </c>
      <c r="H25" s="55">
        <v>303</v>
      </c>
      <c r="I25" s="53">
        <v>-109195.4</v>
      </c>
      <c r="J25" s="56">
        <v>0.120554215689128</v>
      </c>
      <c r="K25" s="56">
        <v>0.32147726613779998</v>
      </c>
      <c r="L25" s="54">
        <f>-OPTI4_UPI_OOS[[#This Row],[Net Profit]]/OPTI4_UPI_OOS[[#This Row],[Max Intraday Drawdown]]</f>
        <v>0.58279231542720666</v>
      </c>
      <c r="M25" s="57">
        <v>0</v>
      </c>
      <c r="N25" s="54">
        <v>0.24</v>
      </c>
      <c r="O25" s="50">
        <v>0.26447328396141728</v>
      </c>
      <c r="P25" s="72">
        <f>(OPTI4_UPI_OOS[[#This Row],[Net Profit]]-B$74)/ABS(B$74)</f>
        <v>-5.7458275009112492E-2</v>
      </c>
      <c r="Q25" s="72">
        <f>(OPTI4_UPI_OOS[[#This Row],[UPI]]-J$74)/ABS(J$74)</f>
        <v>-1.0498323400677695E-2</v>
      </c>
      <c r="R25" s="72">
        <f>(OPTI4_UPI_OOS[[#This Row],[SORTINO AJUSTADO]]-K$74)/ABS(K$74)</f>
        <v>-0.16366006582405224</v>
      </c>
      <c r="S25" s="72">
        <f>(OPTI4_UPI_OOS[[#This Row],[RECOVERY]]-L$74)/ABS(L$74)</f>
        <v>-0.65135558172840058</v>
      </c>
      <c r="T25" s="72">
        <f>(OPTI4_UPI_OOS[[#This Row],[ROB]]-O$74)/ABS(O$74)</f>
        <v>-0.79493349337929997</v>
      </c>
      <c r="U25" s="72">
        <f>SUM(OPTI4_UPI_OOS[[#This Row],[VAR NET PROFIT]:[VAR ROB]])</f>
        <v>-1.6779057393415431</v>
      </c>
      <c r="V25" s="72">
        <f>OPTI4_UPI_OOS[[#This Row],[SUMA]]-OPTI4_UPI_OOS[[#This Row],[VAR ROB]]</f>
        <v>-0.88297224596224311</v>
      </c>
    </row>
    <row r="26" spans="1:22" x14ac:dyDescent="0.25">
      <c r="A26" s="72"/>
      <c r="B26" s="53">
        <v>63777.67</v>
      </c>
      <c r="C26" s="53">
        <v>185308.07</v>
      </c>
      <c r="D26" s="53">
        <v>-121530.4</v>
      </c>
      <c r="E26" s="52">
        <v>555</v>
      </c>
      <c r="F26" s="54">
        <v>43.423423423423401</v>
      </c>
      <c r="G26" s="55">
        <v>241</v>
      </c>
      <c r="H26" s="55">
        <v>314</v>
      </c>
      <c r="I26" s="53">
        <v>-109349.88</v>
      </c>
      <c r="J26" s="56">
        <v>0.110161796350271</v>
      </c>
      <c r="K26" s="56">
        <v>0.344943836796544</v>
      </c>
      <c r="L26" s="54">
        <f>-OPTI4_UPI_OOS[[#This Row],[Net Profit]]/OPTI4_UPI_OOS[[#This Row],[Max Intraday Drawdown]]</f>
        <v>0.58324407854860005</v>
      </c>
      <c r="M26" s="57">
        <v>1.5</v>
      </c>
      <c r="N26" s="54">
        <v>0.22</v>
      </c>
      <c r="O26" s="50">
        <v>0.27924203757236116</v>
      </c>
      <c r="P26" s="72">
        <f>(OPTI4_UPI_OOS[[#This Row],[Net Profit]]-B$74)/ABS(B$74)</f>
        <v>-5.5393186585619321E-2</v>
      </c>
      <c r="Q26" s="72">
        <f>(OPTI4_UPI_OOS[[#This Row],[UPI]]-J$74)/ABS(J$74)</f>
        <v>-9.5798669812782511E-2</v>
      </c>
      <c r="R26" s="72">
        <f>(OPTI4_UPI_OOS[[#This Row],[SORTINO AJUSTADO]]-K$74)/ABS(K$74)</f>
        <v>-0.10261055400054252</v>
      </c>
      <c r="S26" s="72">
        <f>(OPTI4_UPI_OOS[[#This Row],[RECOVERY]]-L$74)/ABS(L$74)</f>
        <v>-0.65108532303334687</v>
      </c>
      <c r="T26" s="72">
        <f>(OPTI4_UPI_OOS[[#This Row],[ROB]]-O$74)/ABS(O$74)</f>
        <v>-0.78348214122465298</v>
      </c>
      <c r="U26" s="72">
        <f>SUM(OPTI4_UPI_OOS[[#This Row],[VAR NET PROFIT]:[VAR ROB]])</f>
        <v>-1.6883698746569442</v>
      </c>
      <c r="V26" s="72">
        <f>OPTI4_UPI_OOS[[#This Row],[SUMA]]-OPTI4_UPI_OOS[[#This Row],[VAR ROB]]</f>
        <v>-0.90488773343229123</v>
      </c>
    </row>
    <row r="27" spans="1:22" x14ac:dyDescent="0.25">
      <c r="A27" s="72"/>
      <c r="B27" s="53">
        <v>46834.86</v>
      </c>
      <c r="C27" s="53">
        <v>189121.73</v>
      </c>
      <c r="D27" s="53">
        <v>-142286.87</v>
      </c>
      <c r="E27" s="52">
        <v>1408</v>
      </c>
      <c r="F27" s="54">
        <v>37.5</v>
      </c>
      <c r="G27" s="55">
        <v>528</v>
      </c>
      <c r="H27" s="55">
        <v>880</v>
      </c>
      <c r="I27" s="53">
        <v>-59394.98</v>
      </c>
      <c r="J27" s="56">
        <v>8.8529168669951294E-2</v>
      </c>
      <c r="K27" s="56">
        <v>0.314030032253582</v>
      </c>
      <c r="L27" s="54">
        <f>-OPTI4_UPI_OOS[[#This Row],[Net Profit]]/OPTI4_UPI_OOS[[#This Row],[Max Intraday Drawdown]]</f>
        <v>0.78853229683720738</v>
      </c>
      <c r="M27" s="57">
        <v>1.5</v>
      </c>
      <c r="N27" s="54">
        <v>0.12</v>
      </c>
      <c r="O27" s="50">
        <v>0.74086605127287886</v>
      </c>
      <c r="P27" s="72">
        <f>(OPTI4_UPI_OOS[[#This Row],[Net Profit]]-B$74)/ABS(B$74)</f>
        <v>-0.30633201461720627</v>
      </c>
      <c r="Q27" s="72">
        <f>(OPTI4_UPI_OOS[[#This Row],[UPI]]-J$74)/ABS(J$74)</f>
        <v>-0.27335796325237049</v>
      </c>
      <c r="R27" s="72">
        <f>(OPTI4_UPI_OOS[[#This Row],[SORTINO AJUSTADO]]-K$74)/ABS(K$74)</f>
        <v>-0.18303443456666174</v>
      </c>
      <c r="S27" s="72">
        <f>(OPTI4_UPI_OOS[[#This Row],[RECOVERY]]-L$74)/ABS(L$74)</f>
        <v>-0.5282755509264867</v>
      </c>
      <c r="T27" s="72">
        <f>(OPTI4_UPI_OOS[[#This Row],[ROB]]-O$74)/ABS(O$74)</f>
        <v>-0.42554948941245196</v>
      </c>
      <c r="U27" s="72">
        <f>SUM(OPTI4_UPI_OOS[[#This Row],[VAR NET PROFIT]:[VAR ROB]])</f>
        <v>-1.716549452775177</v>
      </c>
      <c r="V27" s="72">
        <f>OPTI4_UPI_OOS[[#This Row],[SUMA]]-OPTI4_UPI_OOS[[#This Row],[VAR ROB]]</f>
        <v>-1.2909999633627249</v>
      </c>
    </row>
    <row r="28" spans="1:22" x14ac:dyDescent="0.25">
      <c r="A28" s="72"/>
      <c r="B28" s="53">
        <v>60828.68</v>
      </c>
      <c r="C28" s="53">
        <v>183803.44</v>
      </c>
      <c r="D28" s="53">
        <v>-122974.76</v>
      </c>
      <c r="E28" s="52">
        <v>607</v>
      </c>
      <c r="F28" s="54">
        <v>41.6803953871499</v>
      </c>
      <c r="G28" s="55">
        <v>253</v>
      </c>
      <c r="H28" s="55">
        <v>354</v>
      </c>
      <c r="I28" s="53">
        <v>-104215.25</v>
      </c>
      <c r="J28" s="56">
        <v>0.112035060230566</v>
      </c>
      <c r="K28" s="56">
        <v>0.34156333571129699</v>
      </c>
      <c r="L28" s="54">
        <f>-OPTI4_UPI_OOS[[#This Row],[Net Profit]]/OPTI4_UPI_OOS[[#This Row],[Max Intraday Drawdown]]</f>
        <v>0.58368309820299813</v>
      </c>
      <c r="M28" s="57">
        <v>1.5</v>
      </c>
      <c r="N28" s="54">
        <v>0.21</v>
      </c>
      <c r="O28" s="50">
        <v>0.26736515210026124</v>
      </c>
      <c r="P28" s="72">
        <f>(OPTI4_UPI_OOS[[#This Row],[Net Profit]]-B$74)/ABS(B$74)</f>
        <v>-9.9070480639962683E-2</v>
      </c>
      <c r="Q28" s="72">
        <f>(OPTI4_UPI_OOS[[#This Row],[UPI]]-J$74)/ABS(J$74)</f>
        <v>-8.0423033716864364E-2</v>
      </c>
      <c r="R28" s="72">
        <f>(OPTI4_UPI_OOS[[#This Row],[SORTINO AJUSTADO]]-K$74)/ABS(K$74)</f>
        <v>-0.1114051045113252</v>
      </c>
      <c r="S28" s="72">
        <f>(OPTI4_UPI_OOS[[#This Row],[RECOVERY]]-L$74)/ABS(L$74)</f>
        <v>-0.65082268787504827</v>
      </c>
      <c r="T28" s="72">
        <f>(OPTI4_UPI_OOS[[#This Row],[ROB]]-O$74)/ABS(O$74)</f>
        <v>-0.79269120528139525</v>
      </c>
      <c r="U28" s="72">
        <f>SUM(OPTI4_UPI_OOS[[#This Row],[VAR NET PROFIT]:[VAR ROB]])</f>
        <v>-1.7344125120245957</v>
      </c>
      <c r="V28" s="72">
        <f>OPTI4_UPI_OOS[[#This Row],[SUMA]]-OPTI4_UPI_OOS[[#This Row],[VAR ROB]]</f>
        <v>-0.94172130674320043</v>
      </c>
    </row>
    <row r="29" spans="1:22" x14ac:dyDescent="0.25">
      <c r="A29" s="72"/>
      <c r="B29" s="53">
        <v>35774.71</v>
      </c>
      <c r="C29" s="53">
        <v>182583.06</v>
      </c>
      <c r="D29" s="53">
        <v>-146808.35</v>
      </c>
      <c r="E29" s="52">
        <v>1484</v>
      </c>
      <c r="F29" s="54">
        <v>37.331536388140201</v>
      </c>
      <c r="G29" s="55">
        <v>554</v>
      </c>
      <c r="H29" s="55">
        <v>930</v>
      </c>
      <c r="I29" s="53">
        <v>-24065.06</v>
      </c>
      <c r="J29" s="56">
        <v>7.5385621236465694E-2</v>
      </c>
      <c r="K29" s="56">
        <v>0.27848199204333901</v>
      </c>
      <c r="L29" s="54">
        <f>-OPTI4_UPI_OOS[[#This Row],[Net Profit]]/OPTI4_UPI_OOS[[#This Row],[Max Intraday Drawdown]]</f>
        <v>1.4865830378149898</v>
      </c>
      <c r="M29" s="57">
        <v>0</v>
      </c>
      <c r="N29" s="54">
        <v>0.12</v>
      </c>
      <c r="O29" s="50">
        <v>0.6457498283381452</v>
      </c>
      <c r="P29" s="72">
        <f>(OPTI4_UPI_OOS[[#This Row],[Net Profit]]-B$74)/ABS(B$74)</f>
        <v>-0.47014315803754547</v>
      </c>
      <c r="Q29" s="72">
        <f>(OPTI4_UPI_OOS[[#This Row],[UPI]]-J$74)/ABS(J$74)</f>
        <v>-0.38123940188603916</v>
      </c>
      <c r="R29" s="72">
        <f>(OPTI4_UPI_OOS[[#This Row],[SORTINO AJUSTADO]]-K$74)/ABS(K$74)</f>
        <v>-0.27551452177996666</v>
      </c>
      <c r="S29" s="72">
        <f>(OPTI4_UPI_OOS[[#This Row],[RECOVERY]]-L$74)/ABS(L$74)</f>
        <v>-0.11067997172970508</v>
      </c>
      <c r="T29" s="72">
        <f>(OPTI4_UPI_OOS[[#This Row],[ROB]]-O$74)/ABS(O$74)</f>
        <v>-0.49930042284521053</v>
      </c>
      <c r="U29" s="72">
        <f>SUM(OPTI4_UPI_OOS[[#This Row],[VAR NET PROFIT]:[VAR ROB]])</f>
        <v>-1.7368774762784669</v>
      </c>
      <c r="V29" s="72">
        <f>OPTI4_UPI_OOS[[#This Row],[SUMA]]-OPTI4_UPI_OOS[[#This Row],[VAR ROB]]</f>
        <v>-1.2375770534332564</v>
      </c>
    </row>
    <row r="30" spans="1:22" x14ac:dyDescent="0.25">
      <c r="A30" s="72"/>
      <c r="B30" s="53">
        <v>52706.13</v>
      </c>
      <c r="C30" s="53">
        <v>183154.97</v>
      </c>
      <c r="D30" s="53">
        <v>-130448.84</v>
      </c>
      <c r="E30" s="52">
        <v>927</v>
      </c>
      <c r="F30" s="54">
        <v>39.482200647249201</v>
      </c>
      <c r="G30" s="55">
        <v>366</v>
      </c>
      <c r="H30" s="55">
        <v>561</v>
      </c>
      <c r="I30" s="53">
        <v>-78488.659999999902</v>
      </c>
      <c r="J30" s="56">
        <v>0.106166348530946</v>
      </c>
      <c r="K30" s="56">
        <v>0.33951622573655099</v>
      </c>
      <c r="L30" s="54">
        <f>-OPTI4_UPI_OOS[[#This Row],[Net Profit]]/OPTI4_UPI_OOS[[#This Row],[Max Intraday Drawdown]]</f>
        <v>0.6715126745698049</v>
      </c>
      <c r="M30" s="57">
        <v>1.5</v>
      </c>
      <c r="N30" s="54">
        <v>0.16</v>
      </c>
      <c r="O30" s="50">
        <v>0.41246374552070841</v>
      </c>
      <c r="P30" s="72">
        <f>(OPTI4_UPI_OOS[[#This Row],[Net Profit]]-B$74)/ABS(B$74)</f>
        <v>-0.21937302653571242</v>
      </c>
      <c r="Q30" s="72">
        <f>(OPTI4_UPI_OOS[[#This Row],[UPI]]-J$74)/ABS(J$74)</f>
        <v>-0.12859306272046853</v>
      </c>
      <c r="R30" s="72">
        <f>(OPTI4_UPI_OOS[[#This Row],[SORTINO AJUSTADO]]-K$74)/ABS(K$74)</f>
        <v>-0.11673076825762604</v>
      </c>
      <c r="S30" s="72">
        <f>(OPTI4_UPI_OOS[[#This Row],[RECOVERY]]-L$74)/ABS(L$74)</f>
        <v>-0.59828031429038642</v>
      </c>
      <c r="T30" s="72">
        <f>(OPTI4_UPI_OOS[[#This Row],[ROB]]-O$74)/ABS(O$74)</f>
        <v>-0.68018509040043362</v>
      </c>
      <c r="U30" s="72">
        <f>SUM(OPTI4_UPI_OOS[[#This Row],[VAR NET PROFIT]:[VAR ROB]])</f>
        <v>-1.743162262204627</v>
      </c>
      <c r="V30" s="72">
        <f>OPTI4_UPI_OOS[[#This Row],[SUMA]]-OPTI4_UPI_OOS[[#This Row],[VAR ROB]]</f>
        <v>-1.0629771718041934</v>
      </c>
    </row>
    <row r="31" spans="1:22" x14ac:dyDescent="0.25">
      <c r="A31" s="72"/>
      <c r="B31" s="53">
        <v>51405.62</v>
      </c>
      <c r="C31" s="53">
        <v>177258.85</v>
      </c>
      <c r="D31" s="53">
        <v>-125853.23</v>
      </c>
      <c r="E31" s="52">
        <v>852</v>
      </c>
      <c r="F31" s="54">
        <v>40.1408450704225</v>
      </c>
      <c r="G31" s="55">
        <v>342</v>
      </c>
      <c r="H31" s="55">
        <v>510</v>
      </c>
      <c r="I31" s="53">
        <v>-82218.89</v>
      </c>
      <c r="J31" s="56">
        <v>0.10964694585330099</v>
      </c>
      <c r="K31" s="56">
        <v>0.35473208022444502</v>
      </c>
      <c r="L31" s="54">
        <f>-OPTI4_UPI_OOS[[#This Row],[Net Profit]]/OPTI4_UPI_OOS[[#This Row],[Max Intraday Drawdown]]</f>
        <v>0.62522882515198153</v>
      </c>
      <c r="M31" s="57">
        <v>1.5</v>
      </c>
      <c r="N31" s="54">
        <v>0.17</v>
      </c>
      <c r="O31" s="50">
        <v>0.34506410571863366</v>
      </c>
      <c r="P31" s="72">
        <f>(OPTI4_UPI_OOS[[#This Row],[Net Profit]]-B$74)/ABS(B$74)</f>
        <v>-0.23863479334082666</v>
      </c>
      <c r="Q31" s="72">
        <f>(OPTI4_UPI_OOS[[#This Row],[UPI]]-J$74)/ABS(J$74)</f>
        <v>-0.10002453140574012</v>
      </c>
      <c r="R31" s="72">
        <f>(OPTI4_UPI_OOS[[#This Row],[SORTINO AJUSTADO]]-K$74)/ABS(K$74)</f>
        <v>-7.7145926400157647E-2</v>
      </c>
      <c r="S31" s="72">
        <f>(OPTI4_UPI_OOS[[#This Row],[RECOVERY]]-L$74)/ABS(L$74)</f>
        <v>-0.62596874690779092</v>
      </c>
      <c r="T31" s="72">
        <f>(OPTI4_UPI_OOS[[#This Row],[ROB]]-O$74)/ABS(O$74)</f>
        <v>-0.73244522221670172</v>
      </c>
      <c r="U31" s="72">
        <f>SUM(OPTI4_UPI_OOS[[#This Row],[VAR NET PROFIT]:[VAR ROB]])</f>
        <v>-1.774219220271217</v>
      </c>
      <c r="V31" s="72">
        <f>OPTI4_UPI_OOS[[#This Row],[SUMA]]-OPTI4_UPI_OOS[[#This Row],[VAR ROB]]</f>
        <v>-1.0417739980545153</v>
      </c>
    </row>
    <row r="32" spans="1:22" x14ac:dyDescent="0.25">
      <c r="A32" s="72"/>
      <c r="B32" s="53">
        <v>55899.8</v>
      </c>
      <c r="C32" s="53">
        <v>184321.77</v>
      </c>
      <c r="D32" s="53">
        <v>-128421.97</v>
      </c>
      <c r="E32" s="52">
        <v>746</v>
      </c>
      <c r="F32" s="54">
        <v>40.884718498659502</v>
      </c>
      <c r="G32" s="55">
        <v>305</v>
      </c>
      <c r="H32" s="55">
        <v>441</v>
      </c>
      <c r="I32" s="53">
        <v>-86891.04</v>
      </c>
      <c r="J32" s="56">
        <v>0.103783044819443</v>
      </c>
      <c r="K32" s="56">
        <v>0.332389192137101</v>
      </c>
      <c r="L32" s="54">
        <f>-OPTI4_UPI_OOS[[#This Row],[Net Profit]]/OPTI4_UPI_OOS[[#This Row],[Max Intraday Drawdown]]</f>
        <v>0.64333215484588524</v>
      </c>
      <c r="M32" s="57">
        <v>0</v>
      </c>
      <c r="N32" s="54">
        <v>0.19</v>
      </c>
      <c r="O32" s="50">
        <v>0.34712432739232207</v>
      </c>
      <c r="P32" s="72">
        <f>(OPTI4_UPI_OOS[[#This Row],[Net Profit]]-B$74)/ABS(B$74)</f>
        <v>-0.17207179333297687</v>
      </c>
      <c r="Q32" s="72">
        <f>(OPTI4_UPI_OOS[[#This Row],[UPI]]-J$74)/ABS(J$74)</f>
        <v>-0.1481550747571018</v>
      </c>
      <c r="R32" s="72">
        <f>(OPTI4_UPI_OOS[[#This Row],[SORTINO AJUSTADO]]-K$74)/ABS(K$74)</f>
        <v>-0.13527211919993118</v>
      </c>
      <c r="S32" s="72">
        <f>(OPTI4_UPI_OOS[[#This Row],[RECOVERY]]-L$74)/ABS(L$74)</f>
        <v>-0.61513877423513585</v>
      </c>
      <c r="T32" s="72">
        <f>(OPTI4_UPI_OOS[[#This Row],[ROB]]-O$74)/ABS(O$74)</f>
        <v>-0.73084777367611797</v>
      </c>
      <c r="U32" s="72">
        <f>SUM(OPTI4_UPI_OOS[[#This Row],[VAR NET PROFIT]:[VAR ROB]])</f>
        <v>-1.8014855352012638</v>
      </c>
      <c r="V32" s="72">
        <f>OPTI4_UPI_OOS[[#This Row],[SUMA]]-OPTI4_UPI_OOS[[#This Row],[VAR ROB]]</f>
        <v>-1.0706377615251457</v>
      </c>
    </row>
    <row r="33" spans="1:22" x14ac:dyDescent="0.25">
      <c r="A33" s="72"/>
      <c r="B33" s="53">
        <v>50260.23</v>
      </c>
      <c r="C33" s="53">
        <v>168361.74</v>
      </c>
      <c r="D33" s="53">
        <v>-118101.51</v>
      </c>
      <c r="E33" s="52">
        <v>763</v>
      </c>
      <c r="F33" s="54">
        <v>39.056356487549102</v>
      </c>
      <c r="G33" s="55">
        <v>298</v>
      </c>
      <c r="H33" s="55">
        <v>465</v>
      </c>
      <c r="I33" s="53">
        <v>-80229.56</v>
      </c>
      <c r="J33" s="56">
        <v>0.109049301092366</v>
      </c>
      <c r="K33" s="56">
        <v>0.33397039382940302</v>
      </c>
      <c r="L33" s="54">
        <f>-OPTI4_UPI_OOS[[#This Row],[Net Profit]]/OPTI4_UPI_OOS[[#This Row],[Max Intraday Drawdown]]</f>
        <v>0.62645526162676202</v>
      </c>
      <c r="M33" s="57">
        <v>1</v>
      </c>
      <c r="N33" s="54">
        <v>0.17</v>
      </c>
      <c r="O33" s="50">
        <v>0.40329865981673219</v>
      </c>
      <c r="P33" s="72">
        <f>(OPTI4_UPI_OOS[[#This Row],[Net Profit]]-B$74)/ABS(B$74)</f>
        <v>-0.25559908817970517</v>
      </c>
      <c r="Q33" s="72">
        <f>(OPTI4_UPI_OOS[[#This Row],[UPI]]-J$74)/ABS(J$74)</f>
        <v>-0.10492996328612277</v>
      </c>
      <c r="R33" s="72">
        <f>(OPTI4_UPI_OOS[[#This Row],[SORTINO AJUSTADO]]-K$74)/ABS(K$74)</f>
        <v>-0.13115854023633527</v>
      </c>
      <c r="S33" s="72">
        <f>(OPTI4_UPI_OOS[[#This Row],[RECOVERY]]-L$74)/ABS(L$74)</f>
        <v>-0.62523505461299211</v>
      </c>
      <c r="T33" s="72">
        <f>(OPTI4_UPI_OOS[[#This Row],[ROB]]-O$74)/ABS(O$74)</f>
        <v>-0.68729148723584299</v>
      </c>
      <c r="U33" s="72">
        <f>SUM(OPTI4_UPI_OOS[[#This Row],[VAR NET PROFIT]:[VAR ROB]])</f>
        <v>-1.8042141335509982</v>
      </c>
      <c r="V33" s="72">
        <f>OPTI4_UPI_OOS[[#This Row],[SUMA]]-OPTI4_UPI_OOS[[#This Row],[VAR ROB]]</f>
        <v>-1.1169226463151554</v>
      </c>
    </row>
    <row r="34" spans="1:22" x14ac:dyDescent="0.25">
      <c r="A34" s="72"/>
      <c r="B34" s="53">
        <v>57259.74</v>
      </c>
      <c r="C34" s="53">
        <v>171803.84</v>
      </c>
      <c r="D34" s="53">
        <v>-114544.1</v>
      </c>
      <c r="E34" s="52">
        <v>549</v>
      </c>
      <c r="F34" s="54">
        <v>43.351548269581102</v>
      </c>
      <c r="G34" s="55">
        <v>238</v>
      </c>
      <c r="H34" s="55">
        <v>311</v>
      </c>
      <c r="I34" s="53">
        <v>-105909.17</v>
      </c>
      <c r="J34" s="56">
        <v>0.108819050415043</v>
      </c>
      <c r="K34" s="56">
        <v>0.34819590860649302</v>
      </c>
      <c r="L34" s="54">
        <f>-OPTI4_UPI_OOS[[#This Row],[Net Profit]]/OPTI4_UPI_OOS[[#This Row],[Max Intraday Drawdown]]</f>
        <v>0.54064950183256089</v>
      </c>
      <c r="M34" s="57">
        <v>1</v>
      </c>
      <c r="N34" s="54">
        <v>0.21</v>
      </c>
      <c r="O34" s="50">
        <v>0.26205778278169889</v>
      </c>
      <c r="P34" s="72">
        <f>(OPTI4_UPI_OOS[[#This Row],[Net Profit]]-B$74)/ABS(B$74)</f>
        <v>-0.15192981276462517</v>
      </c>
      <c r="Q34" s="72">
        <f>(OPTI4_UPI_OOS[[#This Row],[UPI]]-J$74)/ABS(J$74)</f>
        <v>-0.10681984685383436</v>
      </c>
      <c r="R34" s="72">
        <f>(OPTI4_UPI_OOS[[#This Row],[SORTINO AJUSTADO]]-K$74)/ABS(K$74)</f>
        <v>-9.4150118971515082E-2</v>
      </c>
      <c r="S34" s="72">
        <f>(OPTI4_UPI_OOS[[#This Row],[RECOVERY]]-L$74)/ABS(L$74)</f>
        <v>-0.6765667184251215</v>
      </c>
      <c r="T34" s="72">
        <f>(OPTI4_UPI_OOS[[#This Row],[ROB]]-O$74)/ABS(O$74)</f>
        <v>-0.79680641748431202</v>
      </c>
      <c r="U34" s="72">
        <f>SUM(OPTI4_UPI_OOS[[#This Row],[VAR NET PROFIT]:[VAR ROB]])</f>
        <v>-1.8262729144994081</v>
      </c>
      <c r="V34" s="72">
        <f>OPTI4_UPI_OOS[[#This Row],[SUMA]]-OPTI4_UPI_OOS[[#This Row],[VAR ROB]]</f>
        <v>-1.029466497015096</v>
      </c>
    </row>
    <row r="35" spans="1:22" x14ac:dyDescent="0.25">
      <c r="A35" s="72"/>
      <c r="B35" s="53">
        <v>56695.57</v>
      </c>
      <c r="C35" s="53">
        <v>181063.04000000001</v>
      </c>
      <c r="D35" s="53">
        <v>-124367.47</v>
      </c>
      <c r="E35" s="52">
        <v>571</v>
      </c>
      <c r="F35" s="54">
        <v>41.681260945709298</v>
      </c>
      <c r="G35" s="55">
        <v>238</v>
      </c>
      <c r="H35" s="55">
        <v>333</v>
      </c>
      <c r="I35" s="53">
        <v>-112473.53</v>
      </c>
      <c r="J35" s="56">
        <v>0.107402708194359</v>
      </c>
      <c r="K35" s="56">
        <v>0.34497363497823902</v>
      </c>
      <c r="L35" s="54">
        <f>-OPTI4_UPI_OOS[[#This Row],[Net Profit]]/OPTI4_UPI_OOS[[#This Row],[Max Intraday Drawdown]]</f>
        <v>0.5040792264633287</v>
      </c>
      <c r="M35" s="57">
        <v>0</v>
      </c>
      <c r="N35" s="54">
        <v>0.22</v>
      </c>
      <c r="O35" s="50">
        <v>0.25517226964263057</v>
      </c>
      <c r="P35" s="72">
        <f>(OPTI4_UPI_OOS[[#This Row],[Net Profit]]-B$74)/ABS(B$74)</f>
        <v>-0.1602856969780809</v>
      </c>
      <c r="Q35" s="72">
        <f>(OPTI4_UPI_OOS[[#This Row],[UPI]]-J$74)/ABS(J$74)</f>
        <v>-0.11844509773364756</v>
      </c>
      <c r="R35" s="72">
        <f>(OPTI4_UPI_OOS[[#This Row],[SORTINO AJUSTADO]]-K$74)/ABS(K$74)</f>
        <v>-0.10253303247120771</v>
      </c>
      <c r="S35" s="72">
        <f>(OPTI4_UPI_OOS[[#This Row],[RECOVERY]]-L$74)/ABS(L$74)</f>
        <v>-0.69844419011551595</v>
      </c>
      <c r="T35" s="72">
        <f>(OPTI4_UPI_OOS[[#This Row],[ROB]]-O$74)/ABS(O$74)</f>
        <v>-0.8021452861389079</v>
      </c>
      <c r="U35" s="72">
        <f>SUM(OPTI4_UPI_OOS[[#This Row],[VAR NET PROFIT]:[VAR ROB]])</f>
        <v>-1.8818533034373601</v>
      </c>
      <c r="V35" s="72">
        <f>OPTI4_UPI_OOS[[#This Row],[SUMA]]-OPTI4_UPI_OOS[[#This Row],[VAR ROB]]</f>
        <v>-1.0797080172984521</v>
      </c>
    </row>
    <row r="36" spans="1:22" x14ac:dyDescent="0.25">
      <c r="A36" s="72"/>
      <c r="B36" s="53">
        <v>48108.87</v>
      </c>
      <c r="C36" s="53">
        <v>175573.16</v>
      </c>
      <c r="D36" s="53">
        <v>-127464.29</v>
      </c>
      <c r="E36" s="52">
        <v>887</v>
      </c>
      <c r="F36" s="54">
        <v>40.248027057497197</v>
      </c>
      <c r="G36" s="55">
        <v>357</v>
      </c>
      <c r="H36" s="55">
        <v>530</v>
      </c>
      <c r="I36" s="53">
        <v>-77771.38</v>
      </c>
      <c r="J36" s="56">
        <v>0.10373438507619</v>
      </c>
      <c r="K36" s="56">
        <v>0.32502985786480598</v>
      </c>
      <c r="L36" s="54">
        <f>-OPTI4_UPI_OOS[[#This Row],[Net Profit]]/OPTI4_UPI_OOS[[#This Row],[Max Intraday Drawdown]]</f>
        <v>0.6185934980194514</v>
      </c>
      <c r="M36" s="57">
        <v>0</v>
      </c>
      <c r="N36" s="54">
        <v>0.17</v>
      </c>
      <c r="O36" s="50">
        <v>0.4094195290822924</v>
      </c>
      <c r="P36" s="72">
        <f>(OPTI4_UPI_OOS[[#This Row],[Net Profit]]-B$74)/ABS(B$74)</f>
        <v>-0.28746273754330159</v>
      </c>
      <c r="Q36" s="72">
        <f>(OPTI4_UPI_OOS[[#This Row],[UPI]]-J$74)/ABS(J$74)</f>
        <v>-0.14855447097279204</v>
      </c>
      <c r="R36" s="72">
        <f>(OPTI4_UPI_OOS[[#This Row],[SORTINO AJUSTADO]]-K$74)/ABS(K$74)</f>
        <v>-0.15441781250140318</v>
      </c>
      <c r="S36" s="72">
        <f>(OPTI4_UPI_OOS[[#This Row],[RECOVERY]]-L$74)/ABS(L$74)</f>
        <v>-0.62993820516406007</v>
      </c>
      <c r="T36" s="72">
        <f>(OPTI4_UPI_OOS[[#This Row],[ROB]]-O$74)/ABS(O$74)</f>
        <v>-0.68254550586876639</v>
      </c>
      <c r="U36" s="72">
        <f>SUM(OPTI4_UPI_OOS[[#This Row],[VAR NET PROFIT]:[VAR ROB]])</f>
        <v>-1.9029187320503234</v>
      </c>
      <c r="V36" s="72">
        <f>OPTI4_UPI_OOS[[#This Row],[SUMA]]-OPTI4_UPI_OOS[[#This Row],[VAR ROB]]</f>
        <v>-1.220373226181557</v>
      </c>
    </row>
    <row r="37" spans="1:22" x14ac:dyDescent="0.25">
      <c r="A37" s="72"/>
      <c r="B37" s="53">
        <v>27433.52</v>
      </c>
      <c r="C37" s="53">
        <v>180071.67999999999</v>
      </c>
      <c r="D37" s="53">
        <v>-152638.16</v>
      </c>
      <c r="E37" s="52">
        <v>1919</v>
      </c>
      <c r="F37" s="54">
        <v>37.050547159979203</v>
      </c>
      <c r="G37" s="55">
        <v>711</v>
      </c>
      <c r="H37" s="55">
        <v>1208</v>
      </c>
      <c r="I37" s="53">
        <v>-22487.79</v>
      </c>
      <c r="J37" s="56">
        <v>6.8388537849827596E-2</v>
      </c>
      <c r="K37" s="56">
        <v>0.240710544674309</v>
      </c>
      <c r="L37" s="54">
        <f>-OPTI4_UPI_OOS[[#This Row],[Net Profit]]/OPTI4_UPI_OOS[[#This Row],[Max Intraday Drawdown]]</f>
        <v>1.2199295706692388</v>
      </c>
      <c r="M37" s="57">
        <v>0</v>
      </c>
      <c r="N37" s="54">
        <v>0.1</v>
      </c>
      <c r="O37" s="50">
        <v>0.98018243823664053</v>
      </c>
      <c r="P37" s="72">
        <f>(OPTI4_UPI_OOS[[#This Row],[Net Profit]]-B$74)/ABS(B$74)</f>
        <v>-0.59368396637977394</v>
      </c>
      <c r="Q37" s="72">
        <f>(OPTI4_UPI_OOS[[#This Row],[UPI]]-J$74)/ABS(J$74)</f>
        <v>-0.43867103712837319</v>
      </c>
      <c r="R37" s="72">
        <f>(OPTI4_UPI_OOS[[#This Row],[SORTINO AJUSTADO]]-K$74)/ABS(K$74)</f>
        <v>-0.37377891909135852</v>
      </c>
      <c r="S37" s="72">
        <f>(OPTI4_UPI_OOS[[#This Row],[RECOVERY]]-L$74)/ABS(L$74)</f>
        <v>-0.27020033682749678</v>
      </c>
      <c r="T37" s="72">
        <f>(OPTI4_UPI_OOS[[#This Row],[ROB]]-O$74)/ABS(O$74)</f>
        <v>-0.23998906260236369</v>
      </c>
      <c r="U37" s="72">
        <f>SUM(OPTI4_UPI_OOS[[#This Row],[VAR NET PROFIT]:[VAR ROB]])</f>
        <v>-1.9163233220293661</v>
      </c>
      <c r="V37" s="72">
        <f>OPTI4_UPI_OOS[[#This Row],[SUMA]]-OPTI4_UPI_OOS[[#This Row],[VAR ROB]]</f>
        <v>-1.6763342594270023</v>
      </c>
    </row>
    <row r="38" spans="1:22" x14ac:dyDescent="0.25">
      <c r="A38" s="72"/>
      <c r="B38" s="53">
        <v>37144.769999999997</v>
      </c>
      <c r="C38" s="53">
        <v>193467.81</v>
      </c>
      <c r="D38" s="53">
        <v>-156323.04</v>
      </c>
      <c r="E38" s="52">
        <v>1697</v>
      </c>
      <c r="F38" s="54">
        <v>36.711844431349398</v>
      </c>
      <c r="G38" s="55">
        <v>623</v>
      </c>
      <c r="H38" s="55">
        <v>1074</v>
      </c>
      <c r="I38" s="53">
        <v>-54497.72</v>
      </c>
      <c r="J38" s="56">
        <v>7.5886514480319897E-2</v>
      </c>
      <c r="K38" s="56">
        <v>0.27845047733261702</v>
      </c>
      <c r="L38" s="54">
        <f>-OPTI4_UPI_OOS[[#This Row],[Net Profit]]/OPTI4_UPI_OOS[[#This Row],[Max Intraday Drawdown]]</f>
        <v>0.68158392681381896</v>
      </c>
      <c r="M38" s="57">
        <v>0</v>
      </c>
      <c r="N38" s="54">
        <v>0.11</v>
      </c>
      <c r="O38" s="50">
        <v>0.99171845274860093</v>
      </c>
      <c r="P38" s="72">
        <f>(OPTI4_UPI_OOS[[#This Row],[Net Profit]]-B$74)/ABS(B$74)</f>
        <v>-0.44985129082467135</v>
      </c>
      <c r="Q38" s="72">
        <f>(OPTI4_UPI_OOS[[#This Row],[UPI]]-J$74)/ABS(J$74)</f>
        <v>-0.37712810057850882</v>
      </c>
      <c r="R38" s="72">
        <f>(OPTI4_UPI_OOS[[#This Row],[SORTINO AJUSTADO]]-K$74)/ABS(K$74)</f>
        <v>-0.27559650894940929</v>
      </c>
      <c r="S38" s="72">
        <f>(OPTI4_UPI_OOS[[#This Row],[RECOVERY]]-L$74)/ABS(L$74)</f>
        <v>-0.59225537918583393</v>
      </c>
      <c r="T38" s="72">
        <f>(OPTI4_UPI_OOS[[#This Row],[ROB]]-O$74)/ABS(O$74)</f>
        <v>-0.23104430205468382</v>
      </c>
      <c r="U38" s="72">
        <f>SUM(OPTI4_UPI_OOS[[#This Row],[VAR NET PROFIT]:[VAR ROB]])</f>
        <v>-1.925875581593107</v>
      </c>
      <c r="V38" s="72">
        <f>OPTI4_UPI_OOS[[#This Row],[SUMA]]-OPTI4_UPI_OOS[[#This Row],[VAR ROB]]</f>
        <v>-1.6948312795384233</v>
      </c>
    </row>
    <row r="39" spans="1:22" x14ac:dyDescent="0.25">
      <c r="A39" s="72"/>
      <c r="B39" s="53">
        <v>52443.31</v>
      </c>
      <c r="C39" s="53">
        <v>173789.41</v>
      </c>
      <c r="D39" s="53">
        <v>-121346.1</v>
      </c>
      <c r="E39" s="52">
        <v>533</v>
      </c>
      <c r="F39" s="54">
        <v>41.275797373358401</v>
      </c>
      <c r="G39" s="55">
        <v>220</v>
      </c>
      <c r="H39" s="55">
        <v>313</v>
      </c>
      <c r="I39" s="53">
        <v>-111638.02</v>
      </c>
      <c r="J39" s="56">
        <v>0.109524225508168</v>
      </c>
      <c r="K39" s="56">
        <v>0.33219542091653198</v>
      </c>
      <c r="L39" s="54">
        <f>-OPTI4_UPI_OOS[[#This Row],[Net Profit]]/OPTI4_UPI_OOS[[#This Row],[Max Intraday Drawdown]]</f>
        <v>0.46976209359499566</v>
      </c>
      <c r="M39" s="57">
        <v>0</v>
      </c>
      <c r="N39" s="54">
        <v>0.23</v>
      </c>
      <c r="O39" s="50">
        <v>0.24905645052055322</v>
      </c>
      <c r="P39" s="72">
        <f>(OPTI4_UPI_OOS[[#This Row],[Net Profit]]-B$74)/ABS(B$74)</f>
        <v>-0.22326563601331745</v>
      </c>
      <c r="Q39" s="72">
        <f>(OPTI4_UPI_OOS[[#This Row],[UPI]]-J$74)/ABS(J$74)</f>
        <v>-0.10103181254118448</v>
      </c>
      <c r="R39" s="72">
        <f>(OPTI4_UPI_OOS[[#This Row],[SORTINO AJUSTADO]]-K$74)/ABS(K$74)</f>
        <v>-0.13577622517234672</v>
      </c>
      <c r="S39" s="72">
        <f>(OPTI4_UPI_OOS[[#This Row],[RECOVERY]]-L$74)/ABS(L$74)</f>
        <v>-0.71897376215844644</v>
      </c>
      <c r="T39" s="72">
        <f>(OPTI4_UPI_OOS[[#This Row],[ROB]]-O$74)/ABS(O$74)</f>
        <v>-0.80688735174078341</v>
      </c>
      <c r="U39" s="72">
        <f>SUM(OPTI4_UPI_OOS[[#This Row],[VAR NET PROFIT]:[VAR ROB]])</f>
        <v>-1.9859347876260784</v>
      </c>
      <c r="V39" s="72">
        <f>OPTI4_UPI_OOS[[#This Row],[SUMA]]-OPTI4_UPI_OOS[[#This Row],[VAR ROB]]</f>
        <v>-1.1790474358852951</v>
      </c>
    </row>
    <row r="40" spans="1:22" x14ac:dyDescent="0.25">
      <c r="A40" s="72"/>
      <c r="B40" s="53">
        <v>57608.66</v>
      </c>
      <c r="C40" s="53">
        <v>180618.2</v>
      </c>
      <c r="D40" s="53">
        <v>-123009.54</v>
      </c>
      <c r="E40" s="52">
        <v>521</v>
      </c>
      <c r="F40" s="54">
        <v>41.650671785028798</v>
      </c>
      <c r="G40" s="55">
        <v>217</v>
      </c>
      <c r="H40" s="55">
        <v>304</v>
      </c>
      <c r="I40" s="53">
        <v>-120435.77</v>
      </c>
      <c r="J40" s="56">
        <v>0.10133281383281401</v>
      </c>
      <c r="K40" s="56">
        <v>0.306090463479463</v>
      </c>
      <c r="L40" s="54">
        <f>-OPTI4_UPI_OOS[[#This Row],[Net Profit]]/OPTI4_UPI_OOS[[#This Row],[Max Intraday Drawdown]]</f>
        <v>0.47833513249427478</v>
      </c>
      <c r="M40" s="57">
        <v>1.5</v>
      </c>
      <c r="N40" s="54">
        <v>0.23</v>
      </c>
      <c r="O40" s="50">
        <v>0.27091804338674802</v>
      </c>
      <c r="P40" s="72">
        <f>(OPTI4_UPI_OOS[[#This Row],[Net Profit]]-B$74)/ABS(B$74)</f>
        <v>-0.14676198193391982</v>
      </c>
      <c r="Q40" s="72">
        <f>(OPTI4_UPI_OOS[[#This Row],[UPI]]-J$74)/ABS(J$74)</f>
        <v>-0.16826642180096679</v>
      </c>
      <c r="R40" s="72">
        <f>(OPTI4_UPI_OOS[[#This Row],[SORTINO AJUSTADO]]-K$74)/ABS(K$74)</f>
        <v>-0.20368963829446068</v>
      </c>
      <c r="S40" s="72">
        <f>(OPTI4_UPI_OOS[[#This Row],[RECOVERY]]-L$74)/ABS(L$74)</f>
        <v>-0.71384510469207618</v>
      </c>
      <c r="T40" s="72">
        <f>(OPTI4_UPI_OOS[[#This Row],[ROB]]-O$74)/ABS(O$74)</f>
        <v>-0.7899363750255376</v>
      </c>
      <c r="U40" s="72">
        <f>SUM(OPTI4_UPI_OOS[[#This Row],[VAR NET PROFIT]:[VAR ROB]])</f>
        <v>-2.022499521746961</v>
      </c>
      <c r="V40" s="72">
        <f>OPTI4_UPI_OOS[[#This Row],[SUMA]]-OPTI4_UPI_OOS[[#This Row],[VAR ROB]]</f>
        <v>-1.2325631467214233</v>
      </c>
    </row>
    <row r="41" spans="1:22" x14ac:dyDescent="0.25">
      <c r="A41" s="72"/>
      <c r="B41" s="53">
        <v>55291.47</v>
      </c>
      <c r="C41" s="53">
        <v>159704.73000000001</v>
      </c>
      <c r="D41" s="53">
        <v>-104413.26</v>
      </c>
      <c r="E41" s="52">
        <v>450</v>
      </c>
      <c r="F41" s="54">
        <v>43.7777777777778</v>
      </c>
      <c r="G41" s="55">
        <v>197</v>
      </c>
      <c r="H41" s="55">
        <v>253</v>
      </c>
      <c r="I41" s="53">
        <v>-110427</v>
      </c>
      <c r="J41" s="56">
        <v>0.106316520260419</v>
      </c>
      <c r="K41" s="56">
        <v>0.31146790955659498</v>
      </c>
      <c r="L41" s="54">
        <f>-OPTI4_UPI_OOS[[#This Row],[Net Profit]]/OPTI4_UPI_OOS[[#This Row],[Max Intraday Drawdown]]</f>
        <v>0.50070607731804728</v>
      </c>
      <c r="M41" s="57">
        <v>1</v>
      </c>
      <c r="N41" s="54">
        <v>0.24</v>
      </c>
      <c r="O41" s="50">
        <v>0.22022668791040578</v>
      </c>
      <c r="P41" s="72">
        <f>(OPTI4_UPI_OOS[[#This Row],[Net Profit]]-B$74)/ABS(B$74)</f>
        <v>-0.1810817283588938</v>
      </c>
      <c r="Q41" s="72">
        <f>(OPTI4_UPI_OOS[[#This Row],[UPI]]-J$74)/ABS(J$74)</f>
        <v>-0.12736046229051315</v>
      </c>
      <c r="R41" s="72">
        <f>(OPTI4_UPI_OOS[[#This Row],[SORTINO AJUSTADO]]-K$74)/ABS(K$74)</f>
        <v>-0.18969993086595627</v>
      </c>
      <c r="S41" s="72">
        <f>(OPTI4_UPI_OOS[[#This Row],[RECOVERY]]-L$74)/ABS(L$74)</f>
        <v>-0.70046211243598766</v>
      </c>
      <c r="T41" s="72">
        <f>(OPTI4_UPI_OOS[[#This Row],[ROB]]-O$74)/ABS(O$74)</f>
        <v>-0.82924128714255152</v>
      </c>
      <c r="U41" s="72">
        <f>SUM(OPTI4_UPI_OOS[[#This Row],[VAR NET PROFIT]:[VAR ROB]])</f>
        <v>-2.0278455210939024</v>
      </c>
      <c r="V41" s="72">
        <f>OPTI4_UPI_OOS[[#This Row],[SUMA]]-OPTI4_UPI_OOS[[#This Row],[VAR ROB]]</f>
        <v>-1.1986042339513507</v>
      </c>
    </row>
    <row r="42" spans="1:22" x14ac:dyDescent="0.25">
      <c r="A42" s="72"/>
      <c r="B42" s="53">
        <v>29614.81</v>
      </c>
      <c r="C42" s="53">
        <v>175292.17</v>
      </c>
      <c r="D42" s="53">
        <v>-145677.35999999999</v>
      </c>
      <c r="E42" s="52">
        <v>1813</v>
      </c>
      <c r="F42" s="54">
        <v>36.900165471594001</v>
      </c>
      <c r="G42" s="55">
        <v>669</v>
      </c>
      <c r="H42" s="55">
        <v>1144</v>
      </c>
      <c r="I42" s="53">
        <v>-42763.72</v>
      </c>
      <c r="J42" s="56">
        <v>7.7488232184512701E-2</v>
      </c>
      <c r="K42" s="56">
        <v>0.257478407198794</v>
      </c>
      <c r="L42" s="54">
        <f>-OPTI4_UPI_OOS[[#This Row],[Net Profit]]/OPTI4_UPI_OOS[[#This Row],[Max Intraday Drawdown]]</f>
        <v>0.69252183860524763</v>
      </c>
      <c r="M42" s="57">
        <v>1.5</v>
      </c>
      <c r="N42" s="54">
        <v>0.1</v>
      </c>
      <c r="O42" s="50">
        <v>1.0085783771605488</v>
      </c>
      <c r="P42" s="72">
        <f>(OPTI4_UPI_OOS[[#This Row],[Net Profit]]-B$74)/ABS(B$74)</f>
        <v>-0.56137702578390947</v>
      </c>
      <c r="Q42" s="72">
        <f>(OPTI4_UPI_OOS[[#This Row],[UPI]]-J$74)/ABS(J$74)</f>
        <v>-0.36398129899485809</v>
      </c>
      <c r="R42" s="72">
        <f>(OPTI4_UPI_OOS[[#This Row],[SORTINO AJUSTADO]]-K$74)/ABS(K$74)</f>
        <v>-0.33015644709364045</v>
      </c>
      <c r="S42" s="72">
        <f>(OPTI4_UPI_OOS[[#This Row],[RECOVERY]]-L$74)/ABS(L$74)</f>
        <v>-0.58571198149049308</v>
      </c>
      <c r="T42" s="72">
        <f>(OPTI4_UPI_OOS[[#This Row],[ROB]]-O$74)/ABS(O$74)</f>
        <v>-0.2179715041173633</v>
      </c>
      <c r="U42" s="72">
        <f>SUM(OPTI4_UPI_OOS[[#This Row],[VAR NET PROFIT]:[VAR ROB]])</f>
        <v>-2.0591982574802645</v>
      </c>
      <c r="V42" s="72">
        <f>OPTI4_UPI_OOS[[#This Row],[SUMA]]-OPTI4_UPI_OOS[[#This Row],[VAR ROB]]</f>
        <v>-1.8412267533629012</v>
      </c>
    </row>
    <row r="43" spans="1:22" x14ac:dyDescent="0.25">
      <c r="A43" s="72"/>
      <c r="B43" s="53">
        <v>54134.400000000001</v>
      </c>
      <c r="C43" s="53">
        <v>163627.26</v>
      </c>
      <c r="D43" s="53">
        <v>-109492.86</v>
      </c>
      <c r="E43" s="52">
        <v>502</v>
      </c>
      <c r="F43" s="54">
        <v>44.223107569721101</v>
      </c>
      <c r="G43" s="55">
        <v>222</v>
      </c>
      <c r="H43" s="55">
        <v>280</v>
      </c>
      <c r="I43" s="53">
        <v>-109852.67</v>
      </c>
      <c r="J43" s="56">
        <v>0.10173337764320201</v>
      </c>
      <c r="K43" s="56">
        <v>0.31503940228460398</v>
      </c>
      <c r="L43" s="54">
        <f>-OPTI4_UPI_OOS[[#This Row],[Net Profit]]/OPTI4_UPI_OOS[[#This Row],[Max Intraday Drawdown]]</f>
        <v>0.49279093535004659</v>
      </c>
      <c r="M43" s="57">
        <v>1</v>
      </c>
      <c r="N43" s="54">
        <v>0.22</v>
      </c>
      <c r="O43" s="50">
        <v>0.22676013055247946</v>
      </c>
      <c r="P43" s="72">
        <f>(OPTI4_UPI_OOS[[#This Row],[Net Profit]]-B$74)/ABS(B$74)</f>
        <v>-0.19821901489816965</v>
      </c>
      <c r="Q43" s="72">
        <f>(OPTI4_UPI_OOS[[#This Row],[UPI]]-J$74)/ABS(J$74)</f>
        <v>-0.16497861838655925</v>
      </c>
      <c r="R43" s="72">
        <f>(OPTI4_UPI_OOS[[#This Row],[SORTINO AJUSTADO]]-K$74)/ABS(K$74)</f>
        <v>-0.18040850559990787</v>
      </c>
      <c r="S43" s="72">
        <f>(OPTI4_UPI_OOS[[#This Row],[RECOVERY]]-L$74)/ABS(L$74)</f>
        <v>-0.70519719557610749</v>
      </c>
      <c r="T43" s="72">
        <f>(OPTI4_UPI_OOS[[#This Row],[ROB]]-O$74)/ABS(O$74)</f>
        <v>-0.82417540586052307</v>
      </c>
      <c r="U43" s="72">
        <f>SUM(OPTI4_UPI_OOS[[#This Row],[VAR NET PROFIT]:[VAR ROB]])</f>
        <v>-2.0729787403212674</v>
      </c>
      <c r="V43" s="72">
        <f>OPTI4_UPI_OOS[[#This Row],[SUMA]]-OPTI4_UPI_OOS[[#This Row],[VAR ROB]]</f>
        <v>-1.2488033344607443</v>
      </c>
    </row>
    <row r="44" spans="1:22" x14ac:dyDescent="0.25">
      <c r="A44" s="72"/>
      <c r="B44" s="53">
        <v>52118.62</v>
      </c>
      <c r="C44" s="53">
        <v>164234.78</v>
      </c>
      <c r="D44" s="53">
        <v>-112116.16</v>
      </c>
      <c r="E44" s="52">
        <v>474</v>
      </c>
      <c r="F44" s="54">
        <v>43.037974683544299</v>
      </c>
      <c r="G44" s="55">
        <v>204</v>
      </c>
      <c r="H44" s="55">
        <v>270</v>
      </c>
      <c r="I44" s="53">
        <v>-113744.03</v>
      </c>
      <c r="J44" s="56">
        <v>0.102773644083323</v>
      </c>
      <c r="K44" s="56">
        <v>0.32635568705678403</v>
      </c>
      <c r="L44" s="54">
        <f>-OPTI4_UPI_OOS[[#This Row],[Net Profit]]/OPTI4_UPI_OOS[[#This Row],[Max Intraday Drawdown]]</f>
        <v>0.45820971878699923</v>
      </c>
      <c r="M44" s="57">
        <v>1</v>
      </c>
      <c r="N44" s="54">
        <v>0.23</v>
      </c>
      <c r="O44" s="50">
        <v>0.24033095834894042</v>
      </c>
      <c r="P44" s="72">
        <f>(OPTI4_UPI_OOS[[#This Row],[Net Profit]]-B$74)/ABS(B$74)</f>
        <v>-0.2280745979312977</v>
      </c>
      <c r="Q44" s="72">
        <f>(OPTI4_UPI_OOS[[#This Row],[UPI]]-J$74)/ABS(J$74)</f>
        <v>-0.15644017466042615</v>
      </c>
      <c r="R44" s="72">
        <f>(OPTI4_UPI_OOS[[#This Row],[SORTINO AJUSTADO]]-K$74)/ABS(K$74)</f>
        <v>-0.15096859846375435</v>
      </c>
      <c r="S44" s="72">
        <f>(OPTI4_UPI_OOS[[#This Row],[RECOVERY]]-L$74)/ABS(L$74)</f>
        <v>-0.72588475066665459</v>
      </c>
      <c r="T44" s="72">
        <f>(OPTI4_UPI_OOS[[#This Row],[ROB]]-O$74)/ABS(O$74)</f>
        <v>-0.81365289785333494</v>
      </c>
      <c r="U44" s="72">
        <f>SUM(OPTI4_UPI_OOS[[#This Row],[VAR NET PROFIT]:[VAR ROB]])</f>
        <v>-2.0750210195754679</v>
      </c>
      <c r="V44" s="72">
        <f>OPTI4_UPI_OOS[[#This Row],[SUMA]]-OPTI4_UPI_OOS[[#This Row],[VAR ROB]]</f>
        <v>-1.2613681217221329</v>
      </c>
    </row>
    <row r="45" spans="1:22" x14ac:dyDescent="0.25">
      <c r="A45" s="72"/>
      <c r="B45" s="53">
        <v>44391.61</v>
      </c>
      <c r="C45" s="53">
        <v>179976.69</v>
      </c>
      <c r="D45" s="53">
        <v>-135585.07999999999</v>
      </c>
      <c r="E45" s="52">
        <v>967</v>
      </c>
      <c r="F45" s="54">
        <v>39.917269906928603</v>
      </c>
      <c r="G45" s="55">
        <v>386</v>
      </c>
      <c r="H45" s="55">
        <v>581</v>
      </c>
      <c r="I45" s="53">
        <v>-75579.5600000001</v>
      </c>
      <c r="J45" s="56">
        <v>9.5172695837207694E-2</v>
      </c>
      <c r="K45" s="56">
        <v>0.30922179388719701</v>
      </c>
      <c r="L45" s="54">
        <f>-OPTI4_UPI_OOS[[#This Row],[Net Profit]]/OPTI4_UPI_OOS[[#This Row],[Max Intraday Drawdown]]</f>
        <v>0.58734941034321897</v>
      </c>
      <c r="M45" s="57">
        <v>0</v>
      </c>
      <c r="N45" s="54">
        <v>0.16</v>
      </c>
      <c r="O45" s="50">
        <v>0.40587391443805165</v>
      </c>
      <c r="P45" s="72">
        <f>(OPTI4_UPI_OOS[[#This Row],[Net Profit]]-B$74)/ABS(B$74)</f>
        <v>-0.34251882728807814</v>
      </c>
      <c r="Q45" s="72">
        <f>(OPTI4_UPI_OOS[[#This Row],[UPI]]-J$74)/ABS(J$74)</f>
        <v>-0.21882829597399756</v>
      </c>
      <c r="R45" s="72">
        <f>(OPTI4_UPI_OOS[[#This Row],[SORTINO AJUSTADO]]-K$74)/ABS(K$74)</f>
        <v>-0.19554331834297511</v>
      </c>
      <c r="S45" s="72">
        <f>(OPTI4_UPI_OOS[[#This Row],[RECOVERY]]-L$74)/ABS(L$74)</f>
        <v>-0.64862938636867484</v>
      </c>
      <c r="T45" s="72">
        <f>(OPTI4_UPI_OOS[[#This Row],[ROB]]-O$74)/ABS(O$74)</f>
        <v>-0.68529469398344833</v>
      </c>
      <c r="U45" s="72">
        <f>SUM(OPTI4_UPI_OOS[[#This Row],[VAR NET PROFIT]:[VAR ROB]])</f>
        <v>-2.0908145219571739</v>
      </c>
      <c r="V45" s="72">
        <f>OPTI4_UPI_OOS[[#This Row],[SUMA]]-OPTI4_UPI_OOS[[#This Row],[VAR ROB]]</f>
        <v>-1.4055198279737255</v>
      </c>
    </row>
    <row r="46" spans="1:22" x14ac:dyDescent="0.25">
      <c r="A46" s="72"/>
      <c r="B46" s="53">
        <v>27207.119999999999</v>
      </c>
      <c r="C46" s="53">
        <v>157445.13</v>
      </c>
      <c r="D46" s="53">
        <v>-130238.01</v>
      </c>
      <c r="E46" s="52">
        <v>1602</v>
      </c>
      <c r="F46" s="54">
        <v>37.578027465667901</v>
      </c>
      <c r="G46" s="55">
        <v>602</v>
      </c>
      <c r="H46" s="55">
        <v>1000</v>
      </c>
      <c r="I46" s="53">
        <v>-41242.51</v>
      </c>
      <c r="J46" s="56">
        <v>7.1167386895078094E-2</v>
      </c>
      <c r="K46" s="56">
        <v>0.26896952056156898</v>
      </c>
      <c r="L46" s="54">
        <f>-OPTI4_UPI_OOS[[#This Row],[Net Profit]]/OPTI4_UPI_OOS[[#This Row],[Max Intraday Drawdown]]</f>
        <v>0.65968632849940501</v>
      </c>
      <c r="M46" s="57">
        <v>1</v>
      </c>
      <c r="N46" s="54">
        <v>0.1</v>
      </c>
      <c r="O46" s="50">
        <v>1.0548351301119496</v>
      </c>
      <c r="P46" s="72">
        <f>(OPTI4_UPI_OOS[[#This Row],[Net Profit]]-B$74)/ABS(B$74)</f>
        <v>-0.59703716166829768</v>
      </c>
      <c r="Q46" s="72">
        <f>(OPTI4_UPI_OOS[[#This Row],[UPI]]-J$74)/ABS(J$74)</f>
        <v>-0.41586241302863741</v>
      </c>
      <c r="R46" s="72">
        <f>(OPTI4_UPI_OOS[[#This Row],[SORTINO AJUSTADO]]-K$74)/ABS(K$74)</f>
        <v>-0.30026171422841791</v>
      </c>
      <c r="S46" s="72">
        <f>(OPTI4_UPI_OOS[[#This Row],[RECOVERY]]-L$74)/ABS(L$74)</f>
        <v>-0.6053552008955243</v>
      </c>
      <c r="T46" s="72">
        <f>(OPTI4_UPI_OOS[[#This Row],[ROB]]-O$74)/ABS(O$74)</f>
        <v>-0.182105080888224</v>
      </c>
      <c r="U46" s="72">
        <f>SUM(OPTI4_UPI_OOS[[#This Row],[VAR NET PROFIT]:[VAR ROB]])</f>
        <v>-2.1006215707091012</v>
      </c>
      <c r="V46" s="72">
        <f>OPTI4_UPI_OOS[[#This Row],[SUMA]]-OPTI4_UPI_OOS[[#This Row],[VAR ROB]]</f>
        <v>-1.9185164898208771</v>
      </c>
    </row>
    <row r="47" spans="1:22" x14ac:dyDescent="0.25">
      <c r="A47" s="72"/>
      <c r="B47" s="53">
        <v>34234.61</v>
      </c>
      <c r="C47" s="53">
        <v>91617.36</v>
      </c>
      <c r="D47" s="53">
        <v>-57382.75</v>
      </c>
      <c r="E47" s="52">
        <v>356</v>
      </c>
      <c r="F47" s="54">
        <v>43.539325842696599</v>
      </c>
      <c r="G47" s="55">
        <v>155</v>
      </c>
      <c r="H47" s="55">
        <v>201</v>
      </c>
      <c r="I47" s="53">
        <v>-42484.590000000098</v>
      </c>
      <c r="J47" s="56">
        <v>8.8878669842387806E-2</v>
      </c>
      <c r="K47" s="56">
        <v>0.28836609183172601</v>
      </c>
      <c r="L47" s="54">
        <f>-OPTI4_UPI_OOS[[#This Row],[Net Profit]]/OPTI4_UPI_OOS[[#This Row],[Max Intraday Drawdown]]</f>
        <v>0.80581241339506682</v>
      </c>
      <c r="M47" s="57">
        <v>0.5</v>
      </c>
      <c r="N47" s="54">
        <v>0.16</v>
      </c>
      <c r="O47" s="50">
        <v>0.41740479519996254</v>
      </c>
      <c r="P47" s="72">
        <f>(OPTI4_UPI_OOS[[#This Row],[Net Profit]]-B$74)/ABS(B$74)</f>
        <v>-0.49295347634079306</v>
      </c>
      <c r="Q47" s="72">
        <f>(OPTI4_UPI_OOS[[#This Row],[UPI]]-J$74)/ABS(J$74)</f>
        <v>-0.27048927886732044</v>
      </c>
      <c r="R47" s="72">
        <f>(OPTI4_UPI_OOS[[#This Row],[SORTINO AJUSTADO]]-K$74)/ABS(K$74)</f>
        <v>-0.24980051884059642</v>
      </c>
      <c r="S47" s="72">
        <f>(OPTI4_UPI_OOS[[#This Row],[RECOVERY]]-L$74)/ABS(L$74)</f>
        <v>-0.51793804985534764</v>
      </c>
      <c r="T47" s="72">
        <f>(OPTI4_UPI_OOS[[#This Row],[ROB]]-O$74)/ABS(O$74)</f>
        <v>-0.67635391402758005</v>
      </c>
      <c r="U47" s="72">
        <f>SUM(OPTI4_UPI_OOS[[#This Row],[VAR NET PROFIT]:[VAR ROB]])</f>
        <v>-2.207535237931638</v>
      </c>
      <c r="V47" s="72">
        <f>OPTI4_UPI_OOS[[#This Row],[SUMA]]-OPTI4_UPI_OOS[[#This Row],[VAR ROB]]</f>
        <v>-1.5311813239040579</v>
      </c>
    </row>
    <row r="48" spans="1:22" x14ac:dyDescent="0.25">
      <c r="A48" s="72"/>
      <c r="B48" s="53">
        <v>46797.07</v>
      </c>
      <c r="C48" s="53">
        <v>98940.67</v>
      </c>
      <c r="D48" s="53">
        <v>-52143.6</v>
      </c>
      <c r="E48" s="52">
        <v>239</v>
      </c>
      <c r="F48" s="54">
        <v>48.953974895397501</v>
      </c>
      <c r="G48" s="55">
        <v>117</v>
      </c>
      <c r="H48" s="55">
        <v>122</v>
      </c>
      <c r="I48" s="53">
        <v>-69003.28</v>
      </c>
      <c r="J48" s="56">
        <v>8.8785509551302794E-2</v>
      </c>
      <c r="K48" s="56">
        <v>0.241096413378866</v>
      </c>
      <c r="L48" s="54">
        <f>-OPTI4_UPI_OOS[[#This Row],[Net Profit]]/OPTI4_UPI_OOS[[#This Row],[Max Intraday Drawdown]]</f>
        <v>0.67818616738218818</v>
      </c>
      <c r="M48" s="57">
        <v>0.5</v>
      </c>
      <c r="N48" s="54">
        <v>0.24</v>
      </c>
      <c r="O48" s="50">
        <v>0.31255574881782627</v>
      </c>
      <c r="P48" s="72">
        <f>(OPTI4_UPI_OOS[[#This Row],[Net Profit]]-B$74)/ABS(B$74)</f>
        <v>-0.30689171978484459</v>
      </c>
      <c r="Q48" s="72">
        <f>(OPTI4_UPI_OOS[[#This Row],[UPI]]-J$74)/ABS(J$74)</f>
        <v>-0.2712539328754292</v>
      </c>
      <c r="R48" s="72">
        <f>(OPTI4_UPI_OOS[[#This Row],[SORTINO AJUSTADO]]-K$74)/ABS(K$74)</f>
        <v>-0.37277506145984735</v>
      </c>
      <c r="S48" s="72">
        <f>(OPTI4_UPI_OOS[[#This Row],[RECOVERY]]-L$74)/ABS(L$74)</f>
        <v>-0.5942880241420383</v>
      </c>
      <c r="T48" s="72">
        <f>(OPTI4_UPI_OOS[[#This Row],[ROB]]-O$74)/ABS(O$74)</f>
        <v>-0.75765145509502907</v>
      </c>
      <c r="U48" s="72">
        <f>SUM(OPTI4_UPI_OOS[[#This Row],[VAR NET PROFIT]:[VAR ROB]])</f>
        <v>-2.3028601933571884</v>
      </c>
      <c r="V48" s="72">
        <f>OPTI4_UPI_OOS[[#This Row],[SUMA]]-OPTI4_UPI_OOS[[#This Row],[VAR ROB]]</f>
        <v>-1.5452087382621593</v>
      </c>
    </row>
    <row r="49" spans="1:22" x14ac:dyDescent="0.25">
      <c r="A49" s="72"/>
      <c r="B49" s="53">
        <v>35698.57</v>
      </c>
      <c r="C49" s="53">
        <v>95366.68</v>
      </c>
      <c r="D49" s="53">
        <v>-59668.11</v>
      </c>
      <c r="E49" s="52">
        <v>332</v>
      </c>
      <c r="F49" s="54">
        <v>44.879518072289201</v>
      </c>
      <c r="G49" s="55">
        <v>149</v>
      </c>
      <c r="H49" s="55">
        <v>183</v>
      </c>
      <c r="I49" s="53">
        <v>-49032.349999999897</v>
      </c>
      <c r="J49" s="56">
        <v>8.7494186006490393E-2</v>
      </c>
      <c r="K49" s="56">
        <v>0.285942683204847</v>
      </c>
      <c r="L49" s="54">
        <f>-OPTI4_UPI_OOS[[#This Row],[Net Profit]]/OPTI4_UPI_OOS[[#This Row],[Max Intraday Drawdown]]</f>
        <v>0.72806157567402086</v>
      </c>
      <c r="M49" s="57">
        <v>0.5</v>
      </c>
      <c r="N49" s="54">
        <v>0.18</v>
      </c>
      <c r="O49" s="50">
        <v>0.33632118430705504</v>
      </c>
      <c r="P49" s="72">
        <f>(OPTI4_UPI_OOS[[#This Row],[Net Profit]]-B$74)/ABS(B$74)</f>
        <v>-0.47127086249544381</v>
      </c>
      <c r="Q49" s="72">
        <f>(OPTI4_UPI_OOS[[#This Row],[UPI]]-J$74)/ABS(J$74)</f>
        <v>-0.2818530380607594</v>
      </c>
      <c r="R49" s="72">
        <f>(OPTI4_UPI_OOS[[#This Row],[SORTINO AJUSTADO]]-K$74)/ABS(K$74)</f>
        <v>-0.25610514322612493</v>
      </c>
      <c r="S49" s="72">
        <f>(OPTI4_UPI_OOS[[#This Row],[RECOVERY]]-L$74)/ABS(L$74)</f>
        <v>-0.56445100973799978</v>
      </c>
      <c r="T49" s="72">
        <f>(OPTI4_UPI_OOS[[#This Row],[ROB]]-O$74)/ABS(O$74)</f>
        <v>-0.73922428256138784</v>
      </c>
      <c r="U49" s="72">
        <f>SUM(OPTI4_UPI_OOS[[#This Row],[VAR NET PROFIT]:[VAR ROB]])</f>
        <v>-2.3129043360817159</v>
      </c>
      <c r="V49" s="72">
        <f>OPTI4_UPI_OOS[[#This Row],[SUMA]]-OPTI4_UPI_OOS[[#This Row],[VAR ROB]]</f>
        <v>-1.5736800535203281</v>
      </c>
    </row>
    <row r="50" spans="1:22" x14ac:dyDescent="0.25">
      <c r="A50" s="72"/>
      <c r="B50" s="53">
        <v>34603.760000000002</v>
      </c>
      <c r="C50" s="53">
        <v>92875.37</v>
      </c>
      <c r="D50" s="53">
        <v>-58271.61</v>
      </c>
      <c r="E50" s="52">
        <v>347</v>
      </c>
      <c r="F50" s="54">
        <v>44.668587896253598</v>
      </c>
      <c r="G50" s="55">
        <v>155</v>
      </c>
      <c r="H50" s="55">
        <v>192</v>
      </c>
      <c r="I50" s="53">
        <v>-46151.51</v>
      </c>
      <c r="J50" s="56">
        <v>8.5618432190650504E-2</v>
      </c>
      <c r="K50" s="56">
        <v>0.27671940254079203</v>
      </c>
      <c r="L50" s="54">
        <f>-OPTI4_UPI_OOS[[#This Row],[Net Profit]]/OPTI4_UPI_OOS[[#This Row],[Max Intraday Drawdown]]</f>
        <v>0.74978608500566934</v>
      </c>
      <c r="M50" s="57">
        <v>0.5</v>
      </c>
      <c r="N50" s="54">
        <v>0.17</v>
      </c>
      <c r="O50" s="50">
        <v>0.38530675385244512</v>
      </c>
      <c r="P50" s="72">
        <f>(OPTI4_UPI_OOS[[#This Row],[Net Profit]]-B$74)/ABS(B$74)</f>
        <v>-0.48748602033037564</v>
      </c>
      <c r="Q50" s="72">
        <f>(OPTI4_UPI_OOS[[#This Row],[UPI]]-J$74)/ABS(J$74)</f>
        <v>-0.29724911139632282</v>
      </c>
      <c r="R50" s="72">
        <f>(OPTI4_UPI_OOS[[#This Row],[SORTINO AJUSTADO]]-K$74)/ABS(K$74)</f>
        <v>-0.28009999062586471</v>
      </c>
      <c r="S50" s="72">
        <f>(OPTI4_UPI_OOS[[#This Row],[RECOVERY]]-L$74)/ABS(L$74)</f>
        <v>-0.55145473522017874</v>
      </c>
      <c r="T50" s="72">
        <f>(OPTI4_UPI_OOS[[#This Row],[ROB]]-O$74)/ABS(O$74)</f>
        <v>-0.7012419976551969</v>
      </c>
      <c r="U50" s="72">
        <f>SUM(OPTI4_UPI_OOS[[#This Row],[VAR NET PROFIT]:[VAR ROB]])</f>
        <v>-2.3175318552279389</v>
      </c>
      <c r="V50" s="72">
        <f>OPTI4_UPI_OOS[[#This Row],[SUMA]]-OPTI4_UPI_OOS[[#This Row],[VAR ROB]]</f>
        <v>-1.616289857572742</v>
      </c>
    </row>
    <row r="51" spans="1:22" x14ac:dyDescent="0.25">
      <c r="A51" s="72"/>
      <c r="B51" s="53">
        <v>17496.54</v>
      </c>
      <c r="C51" s="53">
        <v>69224.570000000007</v>
      </c>
      <c r="D51" s="53">
        <v>-51728.03</v>
      </c>
      <c r="E51" s="52">
        <v>434</v>
      </c>
      <c r="F51" s="54">
        <v>37.327188940092199</v>
      </c>
      <c r="G51" s="55">
        <v>162</v>
      </c>
      <c r="H51" s="55">
        <v>272</v>
      </c>
      <c r="I51" s="53">
        <v>-12104.65</v>
      </c>
      <c r="J51" s="56">
        <v>6.6146108434554304E-2</v>
      </c>
      <c r="K51" s="56">
        <v>0.25670712939332402</v>
      </c>
      <c r="L51" s="54">
        <f>-OPTI4_UPI_OOS[[#This Row],[Net Profit]]/OPTI4_UPI_OOS[[#This Row],[Max Intraday Drawdown]]</f>
        <v>1.4454395624821867</v>
      </c>
      <c r="M51" s="57">
        <v>0.5</v>
      </c>
      <c r="N51" s="54">
        <v>0.12</v>
      </c>
      <c r="O51" s="50">
        <v>0.42182509701984766</v>
      </c>
      <c r="P51" s="72">
        <f>(OPTI4_UPI_OOS[[#This Row],[Net Profit]]-B$74)/ABS(B$74)</f>
        <v>-0.74085991389812067</v>
      </c>
      <c r="Q51" s="72">
        <f>(OPTI4_UPI_OOS[[#This Row],[UPI]]-J$74)/ABS(J$74)</f>
        <v>-0.45707676150213034</v>
      </c>
      <c r="R51" s="72">
        <f>(OPTI4_UPI_OOS[[#This Row],[SORTINO AJUSTADO]]-K$74)/ABS(K$74)</f>
        <v>-0.33216296667372686</v>
      </c>
      <c r="S51" s="72">
        <f>(OPTI4_UPI_OOS[[#This Row],[RECOVERY]]-L$74)/ABS(L$74)</f>
        <v>-0.135293273318217</v>
      </c>
      <c r="T51" s="72">
        <f>(OPTI4_UPI_OOS[[#This Row],[ROB]]-O$74)/ABS(O$74)</f>
        <v>-0.67292651357776678</v>
      </c>
      <c r="U51" s="72">
        <f>SUM(OPTI4_UPI_OOS[[#This Row],[VAR NET PROFIT]:[VAR ROB]])</f>
        <v>-2.3383194289699616</v>
      </c>
      <c r="V51" s="72">
        <f>OPTI4_UPI_OOS[[#This Row],[SUMA]]-OPTI4_UPI_OOS[[#This Row],[VAR ROB]]</f>
        <v>-1.6653929153921947</v>
      </c>
    </row>
    <row r="52" spans="1:22" x14ac:dyDescent="0.25">
      <c r="A52" s="72"/>
      <c r="B52" s="53">
        <v>28010.95</v>
      </c>
      <c r="C52" s="53">
        <v>84844.66</v>
      </c>
      <c r="D52" s="53">
        <v>-56833.71</v>
      </c>
      <c r="E52" s="52">
        <v>380</v>
      </c>
      <c r="F52" s="54">
        <v>42.105263157894697</v>
      </c>
      <c r="G52" s="55">
        <v>160</v>
      </c>
      <c r="H52" s="55">
        <v>220</v>
      </c>
      <c r="I52" s="53">
        <v>-36858.36</v>
      </c>
      <c r="J52" s="56">
        <v>7.8802657302259493E-2</v>
      </c>
      <c r="K52" s="56">
        <v>0.26861059934352199</v>
      </c>
      <c r="L52" s="54">
        <f>-OPTI4_UPI_OOS[[#This Row],[Net Profit]]/OPTI4_UPI_OOS[[#This Row],[Max Intraday Drawdown]]</f>
        <v>0.75996191908701305</v>
      </c>
      <c r="M52" s="57">
        <v>0.5</v>
      </c>
      <c r="N52" s="54">
        <v>0.15</v>
      </c>
      <c r="O52" s="50">
        <v>0.42132735168193569</v>
      </c>
      <c r="P52" s="72">
        <f>(OPTI4_UPI_OOS[[#This Row],[Net Profit]]-B$74)/ABS(B$74)</f>
        <v>-0.58513168919138081</v>
      </c>
      <c r="Q52" s="72">
        <f>(OPTI4_UPI_OOS[[#This Row],[UPI]]-J$74)/ABS(J$74)</f>
        <v>-0.35319257750270705</v>
      </c>
      <c r="R52" s="72">
        <f>(OPTI4_UPI_OOS[[#This Row],[SORTINO AJUSTADO]]-K$74)/ABS(K$74)</f>
        <v>-0.30119546656332519</v>
      </c>
      <c r="S52" s="72">
        <f>(OPTI4_UPI_OOS[[#This Row],[RECOVERY]]-L$74)/ABS(L$74)</f>
        <v>-0.5453672360205406</v>
      </c>
      <c r="T52" s="72">
        <f>(OPTI4_UPI_OOS[[#This Row],[ROB]]-O$74)/ABS(O$74)</f>
        <v>-0.67331245387428174</v>
      </c>
      <c r="U52" s="72">
        <f>SUM(OPTI4_UPI_OOS[[#This Row],[VAR NET PROFIT]:[VAR ROB]])</f>
        <v>-2.4581994231522355</v>
      </c>
      <c r="V52" s="72">
        <f>OPTI4_UPI_OOS[[#This Row],[SUMA]]-OPTI4_UPI_OOS[[#This Row],[VAR ROB]]</f>
        <v>-1.7848869692779536</v>
      </c>
    </row>
    <row r="53" spans="1:22" x14ac:dyDescent="0.25">
      <c r="A53" s="72"/>
      <c r="B53" s="53">
        <v>34213.49</v>
      </c>
      <c r="C53" s="53">
        <v>92492.99</v>
      </c>
      <c r="D53" s="53">
        <v>-58279.5</v>
      </c>
      <c r="E53" s="52">
        <v>313</v>
      </c>
      <c r="F53" s="54">
        <v>46.0063897763578</v>
      </c>
      <c r="G53" s="55">
        <v>144</v>
      </c>
      <c r="H53" s="55">
        <v>169</v>
      </c>
      <c r="I53" s="53">
        <v>-50455.250000000102</v>
      </c>
      <c r="J53" s="56">
        <v>8.3704541252292902E-2</v>
      </c>
      <c r="K53" s="56">
        <v>0.26640410471159398</v>
      </c>
      <c r="L53" s="54">
        <f>-OPTI4_UPI_OOS[[#This Row],[Net Profit]]/OPTI4_UPI_OOS[[#This Row],[Max Intraday Drawdown]]</f>
        <v>0.67809573830275205</v>
      </c>
      <c r="M53" s="57">
        <v>0.5</v>
      </c>
      <c r="N53" s="54">
        <v>0.19</v>
      </c>
      <c r="O53" s="50">
        <v>0.28646012112708824</v>
      </c>
      <c r="P53" s="72">
        <f>(OPTI4_UPI_OOS[[#This Row],[Net Profit]]-B$74)/ABS(B$74)</f>
        <v>-0.49326628325110061</v>
      </c>
      <c r="Q53" s="72">
        <f>(OPTI4_UPI_OOS[[#This Row],[UPI]]-J$74)/ABS(J$74)</f>
        <v>-0.31295821191601442</v>
      </c>
      <c r="R53" s="72">
        <f>(OPTI4_UPI_OOS[[#This Row],[SORTINO AJUSTADO]]-K$74)/ABS(K$74)</f>
        <v>-0.30693577783757631</v>
      </c>
      <c r="S53" s="72">
        <f>(OPTI4_UPI_OOS[[#This Row],[RECOVERY]]-L$74)/ABS(L$74)</f>
        <v>-0.59434212161889288</v>
      </c>
      <c r="T53" s="72">
        <f>(OPTI4_UPI_OOS[[#This Row],[ROB]]-O$74)/ABS(O$74)</f>
        <v>-0.77788540511243331</v>
      </c>
      <c r="U53" s="72">
        <f>SUM(OPTI4_UPI_OOS[[#This Row],[VAR NET PROFIT]:[VAR ROB]])</f>
        <v>-2.4853877997360176</v>
      </c>
      <c r="V53" s="72">
        <f>OPTI4_UPI_OOS[[#This Row],[SUMA]]-OPTI4_UPI_OOS[[#This Row],[VAR ROB]]</f>
        <v>-1.7075023946235843</v>
      </c>
    </row>
    <row r="54" spans="1:22" x14ac:dyDescent="0.25">
      <c r="A54" s="72"/>
      <c r="B54" s="53">
        <v>14059.18</v>
      </c>
      <c r="C54" s="53">
        <v>63532.68</v>
      </c>
      <c r="D54" s="53">
        <v>-49473.5</v>
      </c>
      <c r="E54" s="52">
        <v>462</v>
      </c>
      <c r="F54" s="54">
        <v>38.744588744588697</v>
      </c>
      <c r="G54" s="55">
        <v>179</v>
      </c>
      <c r="H54" s="55">
        <v>283</v>
      </c>
      <c r="I54" s="53">
        <v>-11973.3</v>
      </c>
      <c r="J54" s="56">
        <v>5.7150865858582103E-2</v>
      </c>
      <c r="K54" s="56">
        <v>0.23877703736336101</v>
      </c>
      <c r="L54" s="54">
        <f>-OPTI4_UPI_OOS[[#This Row],[Net Profit]]/OPTI4_UPI_OOS[[#This Row],[Max Intraday Drawdown]]</f>
        <v>1.1742109527030977</v>
      </c>
      <c r="M54" s="57">
        <v>0.5</v>
      </c>
      <c r="N54" s="54">
        <v>0.11</v>
      </c>
      <c r="O54" s="50">
        <v>0.58707987095507985</v>
      </c>
      <c r="P54" s="72">
        <f>(OPTI4_UPI_OOS[[#This Row],[Net Profit]]-B$74)/ABS(B$74)</f>
        <v>-0.79177042342532755</v>
      </c>
      <c r="Q54" s="72">
        <f>(OPTI4_UPI_OOS[[#This Row],[UPI]]-J$74)/ABS(J$74)</f>
        <v>-0.53090916594740112</v>
      </c>
      <c r="R54" s="72">
        <f>(OPTI4_UPI_OOS[[#This Row],[SORTINO AJUSTADO]]-K$74)/ABS(K$74)</f>
        <v>-0.37880903956175532</v>
      </c>
      <c r="S54" s="72">
        <f>(OPTI4_UPI_OOS[[#This Row],[RECOVERY]]-L$74)/ABS(L$74)</f>
        <v>-0.29755063047936575</v>
      </c>
      <c r="T54" s="72">
        <f>(OPTI4_UPI_OOS[[#This Row],[ROB]]-O$74)/ABS(O$74)</f>
        <v>-0.54479175952739023</v>
      </c>
      <c r="U54" s="72">
        <f>SUM(OPTI4_UPI_OOS[[#This Row],[VAR NET PROFIT]:[VAR ROB]])</f>
        <v>-2.5438310189412401</v>
      </c>
      <c r="V54" s="72">
        <f>OPTI4_UPI_OOS[[#This Row],[SUMA]]-OPTI4_UPI_OOS[[#This Row],[VAR ROB]]</f>
        <v>-1.9990392594138497</v>
      </c>
    </row>
    <row r="55" spans="1:22" x14ac:dyDescent="0.25">
      <c r="A55" s="72"/>
      <c r="B55" s="53">
        <v>35228.980000000003</v>
      </c>
      <c r="C55" s="53">
        <v>94351.33</v>
      </c>
      <c r="D55" s="53">
        <v>-59122.35</v>
      </c>
      <c r="E55" s="52">
        <v>301</v>
      </c>
      <c r="F55" s="54">
        <v>45.847176079734197</v>
      </c>
      <c r="G55" s="55">
        <v>138</v>
      </c>
      <c r="H55" s="55">
        <v>163</v>
      </c>
      <c r="I55" s="53">
        <v>-54973.599999999999</v>
      </c>
      <c r="J55" s="56">
        <v>8.0663332452202696E-2</v>
      </c>
      <c r="K55" s="56">
        <v>0.26449468668942999</v>
      </c>
      <c r="L55" s="54">
        <f>-OPTI4_UPI_OOS[[#This Row],[Net Profit]]/OPTI4_UPI_OOS[[#This Row],[Max Intraday Drawdown]]</f>
        <v>0.64083450965554378</v>
      </c>
      <c r="M55" s="57">
        <v>0.5</v>
      </c>
      <c r="N55" s="54">
        <v>0.2</v>
      </c>
      <c r="O55" s="50">
        <v>0.25683657993579889</v>
      </c>
      <c r="P55" s="72">
        <f>(OPTI4_UPI_OOS[[#This Row],[Net Profit]]-B$74)/ABS(B$74)</f>
        <v>-0.47822592864181224</v>
      </c>
      <c r="Q55" s="72">
        <f>(OPTI4_UPI_OOS[[#This Row],[UPI]]-J$74)/ABS(J$74)</f>
        <v>-0.3379202689405309</v>
      </c>
      <c r="R55" s="72">
        <f>(OPTI4_UPI_OOS[[#This Row],[SORTINO AJUSTADO]]-K$74)/ABS(K$74)</f>
        <v>-0.31190322876235332</v>
      </c>
      <c r="S55" s="72">
        <f>(OPTI4_UPI_OOS[[#This Row],[RECOVERY]]-L$74)/ABS(L$74)</f>
        <v>-0.61663294296623372</v>
      </c>
      <c r="T55" s="72">
        <f>(OPTI4_UPI_OOS[[#This Row],[ROB]]-O$74)/ABS(O$74)</f>
        <v>-0.80085481818448601</v>
      </c>
      <c r="U55" s="72">
        <f>SUM(OPTI4_UPI_OOS[[#This Row],[VAR NET PROFIT]:[VAR ROB]])</f>
        <v>-2.5455371874954165</v>
      </c>
      <c r="V55" s="72">
        <f>OPTI4_UPI_OOS[[#This Row],[SUMA]]-OPTI4_UPI_OOS[[#This Row],[VAR ROB]]</f>
        <v>-1.7446823693109303</v>
      </c>
    </row>
    <row r="56" spans="1:22" x14ac:dyDescent="0.25">
      <c r="A56" s="72"/>
      <c r="B56" s="53">
        <v>39040.379999999997</v>
      </c>
      <c r="C56" s="53">
        <v>96780.61</v>
      </c>
      <c r="D56" s="53">
        <v>-57740.23</v>
      </c>
      <c r="E56" s="52">
        <v>253</v>
      </c>
      <c r="F56" s="54">
        <v>46.640316205533601</v>
      </c>
      <c r="G56" s="55">
        <v>118</v>
      </c>
      <c r="H56" s="55">
        <v>135</v>
      </c>
      <c r="I56" s="53">
        <v>-69139</v>
      </c>
      <c r="J56" s="56">
        <v>8.2535736507768104E-2</v>
      </c>
      <c r="K56" s="56">
        <v>0.24467210923933599</v>
      </c>
      <c r="L56" s="54">
        <f>-OPTI4_UPI_OOS[[#This Row],[Net Profit]]/OPTI4_UPI_OOS[[#This Row],[Max Intraday Drawdown]]</f>
        <v>0.56466509495364403</v>
      </c>
      <c r="M56" s="57">
        <v>0.5</v>
      </c>
      <c r="N56" s="54">
        <v>0.23</v>
      </c>
      <c r="O56" s="50">
        <v>0.25532354092068982</v>
      </c>
      <c r="P56" s="72">
        <f>(OPTI4_UPI_OOS[[#This Row],[Net Profit]]-B$74)/ABS(B$74)</f>
        <v>-0.4217755376405799</v>
      </c>
      <c r="Q56" s="72">
        <f>(OPTI4_UPI_OOS[[#This Row],[UPI]]-J$74)/ABS(J$74)</f>
        <v>-0.32255169023374392</v>
      </c>
      <c r="R56" s="72">
        <f>(OPTI4_UPI_OOS[[#This Row],[SORTINO AJUSTADO]]-K$74)/ABS(K$74)</f>
        <v>-0.36347270152470712</v>
      </c>
      <c r="S56" s="72">
        <f>(OPTI4_UPI_OOS[[#This Row],[RECOVERY]]-L$74)/ABS(L$74)</f>
        <v>-0.66219984660559539</v>
      </c>
      <c r="T56" s="72">
        <f>(OPTI4_UPI_OOS[[#This Row],[ROB]]-O$74)/ABS(O$74)</f>
        <v>-0.80202799386621026</v>
      </c>
      <c r="U56" s="72">
        <f>SUM(OPTI4_UPI_OOS[[#This Row],[VAR NET PROFIT]:[VAR ROB]])</f>
        <v>-2.5720277698708367</v>
      </c>
      <c r="V56" s="72">
        <f>OPTI4_UPI_OOS[[#This Row],[SUMA]]-OPTI4_UPI_OOS[[#This Row],[VAR ROB]]</f>
        <v>-1.7699997760046264</v>
      </c>
    </row>
    <row r="57" spans="1:22" x14ac:dyDescent="0.25">
      <c r="A57" s="72"/>
      <c r="B57" s="53">
        <v>23772.84</v>
      </c>
      <c r="C57" s="53">
        <v>79418.17</v>
      </c>
      <c r="D57" s="53">
        <v>-55645.33</v>
      </c>
      <c r="E57" s="52">
        <v>395</v>
      </c>
      <c r="F57" s="54">
        <v>40</v>
      </c>
      <c r="G57" s="55">
        <v>158</v>
      </c>
      <c r="H57" s="55">
        <v>237</v>
      </c>
      <c r="I57" s="53">
        <v>-33578.32</v>
      </c>
      <c r="J57" s="56">
        <v>7.2315211166561102E-2</v>
      </c>
      <c r="K57" s="56">
        <v>0.26505786765383199</v>
      </c>
      <c r="L57" s="54">
        <f>-OPTI4_UPI_OOS[[#This Row],[Net Profit]]/OPTI4_UPI_OOS[[#This Row],[Max Intraday Drawdown]]</f>
        <v>0.70798181683896044</v>
      </c>
      <c r="M57" s="57">
        <v>0.5</v>
      </c>
      <c r="N57" s="54">
        <v>0.14000000000000001</v>
      </c>
      <c r="O57" s="50">
        <v>0.43972270380878592</v>
      </c>
      <c r="P57" s="72">
        <f>(OPTI4_UPI_OOS[[#This Row],[Net Profit]]-B$74)/ABS(B$74)</f>
        <v>-0.64790205352108465</v>
      </c>
      <c r="Q57" s="72">
        <f>(OPTI4_UPI_OOS[[#This Row],[UPI]]-J$74)/ABS(J$74)</f>
        <v>-0.40644114115870428</v>
      </c>
      <c r="R57" s="72">
        <f>(OPTI4_UPI_OOS[[#This Row],[SORTINO AJUSTADO]]-K$74)/ABS(K$74)</f>
        <v>-0.31043808400622236</v>
      </c>
      <c r="S57" s="72">
        <f>(OPTI4_UPI_OOS[[#This Row],[RECOVERY]]-L$74)/ABS(L$74)</f>
        <v>-0.5764633435536094</v>
      </c>
      <c r="T57" s="72">
        <f>(OPTI4_UPI_OOS[[#This Row],[ROB]]-O$74)/ABS(O$74)</f>
        <v>-0.65904912057192389</v>
      </c>
      <c r="U57" s="72">
        <f>SUM(OPTI4_UPI_OOS[[#This Row],[VAR NET PROFIT]:[VAR ROB]])</f>
        <v>-2.6002937428115449</v>
      </c>
      <c r="V57" s="72">
        <f>OPTI4_UPI_OOS[[#This Row],[SUMA]]-OPTI4_UPI_OOS[[#This Row],[VAR ROB]]</f>
        <v>-1.9412446222396209</v>
      </c>
    </row>
    <row r="58" spans="1:22" x14ac:dyDescent="0.25">
      <c r="A58" s="72"/>
      <c r="B58" s="53">
        <v>36162.68</v>
      </c>
      <c r="C58" s="53">
        <v>96079.7</v>
      </c>
      <c r="D58" s="53">
        <v>-59917.02</v>
      </c>
      <c r="E58" s="52">
        <v>268</v>
      </c>
      <c r="F58" s="54">
        <v>45.1492537313433</v>
      </c>
      <c r="G58" s="55">
        <v>121</v>
      </c>
      <c r="H58" s="55">
        <v>147</v>
      </c>
      <c r="I58" s="53">
        <v>-67265.690000000104</v>
      </c>
      <c r="J58" s="56">
        <v>8.0203672695144002E-2</v>
      </c>
      <c r="K58" s="56">
        <v>0.25831345592780097</v>
      </c>
      <c r="L58" s="54">
        <f>-OPTI4_UPI_OOS[[#This Row],[Net Profit]]/OPTI4_UPI_OOS[[#This Row],[Max Intraday Drawdown]]</f>
        <v>0.53760958967342709</v>
      </c>
      <c r="M58" s="57">
        <v>0.5</v>
      </c>
      <c r="N58" s="54">
        <v>0.22</v>
      </c>
      <c r="O58" s="50">
        <v>0.24489225603433848</v>
      </c>
      <c r="P58" s="72">
        <f>(OPTI4_UPI_OOS[[#This Row],[Net Profit]]-B$74)/ABS(B$74)</f>
        <v>-0.46439696026330285</v>
      </c>
      <c r="Q58" s="72">
        <f>(OPTI4_UPI_OOS[[#This Row],[UPI]]-J$74)/ABS(J$74)</f>
        <v>-0.3416931282940992</v>
      </c>
      <c r="R58" s="72">
        <f>(OPTI4_UPI_OOS[[#This Row],[SORTINO AJUSTADO]]-K$74)/ABS(K$74)</f>
        <v>-0.32798402411816313</v>
      </c>
      <c r="S58" s="72">
        <f>(OPTI4_UPI_OOS[[#This Row],[RECOVERY]]-L$74)/ABS(L$74)</f>
        <v>-0.67838528805663945</v>
      </c>
      <c r="T58" s="72">
        <f>(OPTI4_UPI_OOS[[#This Row],[ROB]]-O$74)/ABS(O$74)</f>
        <v>-0.81011617244957679</v>
      </c>
      <c r="U58" s="72">
        <f>SUM(OPTI4_UPI_OOS[[#This Row],[VAR NET PROFIT]:[VAR ROB]])</f>
        <v>-2.6225755731817815</v>
      </c>
      <c r="V58" s="72">
        <f>OPTI4_UPI_OOS[[#This Row],[SUMA]]-OPTI4_UPI_OOS[[#This Row],[VAR ROB]]</f>
        <v>-1.8124594007322048</v>
      </c>
    </row>
    <row r="59" spans="1:22" x14ac:dyDescent="0.25">
      <c r="A59" s="72"/>
      <c r="B59" s="53">
        <v>32438.66</v>
      </c>
      <c r="C59" s="53">
        <v>91781.42</v>
      </c>
      <c r="D59" s="53">
        <v>-59342.76</v>
      </c>
      <c r="E59" s="52">
        <v>282</v>
      </c>
      <c r="F59" s="54">
        <v>45.035460992907801</v>
      </c>
      <c r="G59" s="55">
        <v>127</v>
      </c>
      <c r="H59" s="55">
        <v>155</v>
      </c>
      <c r="I59" s="53">
        <v>-59378.25</v>
      </c>
      <c r="J59" s="56">
        <v>8.0130183552048401E-2</v>
      </c>
      <c r="K59" s="56">
        <v>0.26104429938653201</v>
      </c>
      <c r="L59" s="54">
        <f>-OPTI4_UPI_OOS[[#This Row],[Net Profit]]/OPTI4_UPI_OOS[[#This Row],[Max Intraday Drawdown]]</f>
        <v>0.54630542328209408</v>
      </c>
      <c r="M59" s="57">
        <v>0.5</v>
      </c>
      <c r="N59" s="54">
        <v>0.21</v>
      </c>
      <c r="O59" s="50">
        <v>0.22900400119830064</v>
      </c>
      <c r="P59" s="72">
        <f>(OPTI4_UPI_OOS[[#This Row],[Net Profit]]-B$74)/ABS(B$74)</f>
        <v>-0.51955317191687089</v>
      </c>
      <c r="Q59" s="72">
        <f>(OPTI4_UPI_OOS[[#This Row],[UPI]]-J$74)/ABS(J$74)</f>
        <v>-0.34229632271487714</v>
      </c>
      <c r="R59" s="72">
        <f>(OPTI4_UPI_OOS[[#This Row],[SORTINO AJUSTADO]]-K$74)/ABS(K$74)</f>
        <v>-0.32087959192624277</v>
      </c>
      <c r="S59" s="72">
        <f>(OPTI4_UPI_OOS[[#This Row],[RECOVERY]]-L$74)/ABS(L$74)</f>
        <v>-0.67318317099087488</v>
      </c>
      <c r="T59" s="72">
        <f>(OPTI4_UPI_OOS[[#This Row],[ROB]]-O$74)/ABS(O$74)</f>
        <v>-0.82243556012731689</v>
      </c>
      <c r="U59" s="72">
        <f>SUM(OPTI4_UPI_OOS[[#This Row],[VAR NET PROFIT]:[VAR ROB]])</f>
        <v>-2.6783478176761828</v>
      </c>
      <c r="V59" s="72">
        <f>OPTI4_UPI_OOS[[#This Row],[SUMA]]-OPTI4_UPI_OOS[[#This Row],[VAR ROB]]</f>
        <v>-1.8559122575488658</v>
      </c>
    </row>
    <row r="60" spans="1:22" x14ac:dyDescent="0.25">
      <c r="A60" s="72"/>
      <c r="B60" s="53">
        <v>18487.5</v>
      </c>
      <c r="C60" s="53">
        <v>72255.820000000007</v>
      </c>
      <c r="D60" s="53">
        <v>-53768.32</v>
      </c>
      <c r="E60" s="52">
        <v>413</v>
      </c>
      <c r="F60" s="54">
        <v>38.983050847457598</v>
      </c>
      <c r="G60" s="55">
        <v>161</v>
      </c>
      <c r="H60" s="55">
        <v>252</v>
      </c>
      <c r="I60" s="53">
        <v>-29427.26</v>
      </c>
      <c r="J60" s="56">
        <v>6.6663779579425E-2</v>
      </c>
      <c r="K60" s="56">
        <v>0.250206477848536</v>
      </c>
      <c r="L60" s="54">
        <f>-OPTI4_UPI_OOS[[#This Row],[Net Profit]]/OPTI4_UPI_OOS[[#This Row],[Max Intraday Drawdown]]</f>
        <v>0.62824401592265133</v>
      </c>
      <c r="M60" s="57">
        <v>0.5</v>
      </c>
      <c r="N60" s="54">
        <v>0.13</v>
      </c>
      <c r="O60" s="50">
        <v>0.35796246160903694</v>
      </c>
      <c r="P60" s="72">
        <f>(OPTI4_UPI_OOS[[#This Row],[Net Profit]]-B$74)/ABS(B$74)</f>
        <v>-0.72618287148153327</v>
      </c>
      <c r="Q60" s="72">
        <f>(OPTI4_UPI_OOS[[#This Row],[UPI]]-J$74)/ABS(J$74)</f>
        <v>-0.45282774820260757</v>
      </c>
      <c r="R60" s="72">
        <f>(OPTI4_UPI_OOS[[#This Row],[SORTINO AJUSTADO]]-K$74)/ABS(K$74)</f>
        <v>-0.34907475191560561</v>
      </c>
      <c r="S60" s="72">
        <f>(OPTI4_UPI_OOS[[#This Row],[RECOVERY]]-L$74)/ABS(L$74)</f>
        <v>-0.62416496637673236</v>
      </c>
      <c r="T60" s="72">
        <f>(OPTI4_UPI_OOS[[#This Row],[ROB]]-O$74)/ABS(O$74)</f>
        <v>-0.72244413347164194</v>
      </c>
      <c r="U60" s="72">
        <f>SUM(OPTI4_UPI_OOS[[#This Row],[VAR NET PROFIT]:[VAR ROB]])</f>
        <v>-2.8746944714481208</v>
      </c>
      <c r="V60" s="72">
        <f>OPTI4_UPI_OOS[[#This Row],[SUMA]]-OPTI4_UPI_OOS[[#This Row],[VAR ROB]]</f>
        <v>-2.1522503379764788</v>
      </c>
    </row>
    <row r="61" spans="1:22" x14ac:dyDescent="0.25">
      <c r="A61" s="72"/>
      <c r="B61" s="53">
        <v>4980.46</v>
      </c>
      <c r="C61" s="53">
        <v>51738.52</v>
      </c>
      <c r="D61" s="53">
        <v>-46758.06</v>
      </c>
      <c r="E61" s="52">
        <v>494</v>
      </c>
      <c r="F61" s="54">
        <v>35.222672064777299</v>
      </c>
      <c r="G61" s="55">
        <v>174</v>
      </c>
      <c r="H61" s="55">
        <v>320</v>
      </c>
      <c r="I61" s="53">
        <v>-18997.009999999998</v>
      </c>
      <c r="J61" s="56">
        <v>3.5351177087591799E-2</v>
      </c>
      <c r="K61" s="56">
        <v>0.151208528218403</v>
      </c>
      <c r="L61" s="54">
        <f>-OPTI4_UPI_OOS[[#This Row],[Net Profit]]/OPTI4_UPI_OOS[[#This Row],[Max Intraday Drawdown]]</f>
        <v>0.26217073107820654</v>
      </c>
      <c r="M61" s="57">
        <v>0.5</v>
      </c>
      <c r="N61" s="54">
        <v>0.1</v>
      </c>
      <c r="O61" s="50">
        <v>0.24225152909099068</v>
      </c>
      <c r="P61" s="72">
        <f>(OPTI4_UPI_OOS[[#This Row],[Net Profit]]-B$74)/ABS(B$74)</f>
        <v>-0.92623473936978595</v>
      </c>
      <c r="Q61" s="72">
        <f>(OPTI4_UPI_OOS[[#This Row],[UPI]]-J$74)/ABS(J$74)</f>
        <v>-0.70983968666733033</v>
      </c>
      <c r="R61" s="72">
        <f>(OPTI4_UPI_OOS[[#This Row],[SORTINO AJUSTADO]]-K$74)/ABS(K$74)</f>
        <v>-0.60662309949216198</v>
      </c>
      <c r="S61" s="72">
        <f>(OPTI4_UPI_OOS[[#This Row],[RECOVERY]]-L$74)/ABS(L$74)</f>
        <v>-0.84316134649510832</v>
      </c>
      <c r="T61" s="72">
        <f>(OPTI4_UPI_OOS[[#This Row],[ROB]]-O$74)/ABS(O$74)</f>
        <v>-0.81216373143587683</v>
      </c>
      <c r="U61" s="72">
        <f>SUM(OPTI4_UPI_OOS[[#This Row],[VAR NET PROFIT]:[VAR ROB]])</f>
        <v>-3.8980226034602636</v>
      </c>
      <c r="V61" s="72">
        <f>OPTI4_UPI_OOS[[#This Row],[SUMA]]-OPTI4_UPI_OOS[[#This Row],[VAR ROB]]</f>
        <v>-3.0858588720243869</v>
      </c>
    </row>
    <row r="64" spans="1:22" s="52" customFormat="1" ht="30" customHeight="1" x14ac:dyDescent="0.25">
      <c r="A64" s="3" t="s">
        <v>56</v>
      </c>
      <c r="B64" s="61">
        <v>47148.135666666669</v>
      </c>
      <c r="C64" s="61">
        <v>157748.12150000001</v>
      </c>
      <c r="D64" s="61">
        <v>-110599.98583333334</v>
      </c>
      <c r="E64" s="11">
        <v>791.48333333333335</v>
      </c>
      <c r="F64" s="10">
        <v>40.907949356351615</v>
      </c>
      <c r="G64" s="11">
        <v>315.10000000000002</v>
      </c>
      <c r="H64" s="11">
        <v>476.38333333333333</v>
      </c>
      <c r="I64" s="61">
        <v>-69566.053</v>
      </c>
      <c r="J64" s="62">
        <v>9.6323925995502435E-2</v>
      </c>
      <c r="K64" s="62">
        <v>0.3109288303450507</v>
      </c>
      <c r="L64" s="10">
        <v>0.74586460921117415</v>
      </c>
      <c r="M64" s="11">
        <v>0.75</v>
      </c>
      <c r="N64" s="11">
        <v>0.17000000000000004</v>
      </c>
      <c r="O64" s="63">
        <v>0.48591236559985895</v>
      </c>
    </row>
    <row r="65" spans="1:15" s="52" customFormat="1" ht="30" customHeight="1" x14ac:dyDescent="0.25">
      <c r="A65" s="3" t="s">
        <v>57</v>
      </c>
      <c r="B65" s="64">
        <v>1871.7402863288667</v>
      </c>
      <c r="C65" s="64">
        <v>5674.811609999434</v>
      </c>
      <c r="D65" s="64">
        <v>4345.0698807883919</v>
      </c>
      <c r="E65" s="11">
        <v>55.654302688303275</v>
      </c>
      <c r="F65" s="10">
        <v>0.36249571887238607</v>
      </c>
      <c r="G65" s="11">
        <v>20.108233971344372</v>
      </c>
      <c r="H65" s="11">
        <v>35.61346228404188</v>
      </c>
      <c r="I65" s="61">
        <v>3748.5457835594507</v>
      </c>
      <c r="J65" s="62">
        <v>2.3254576914182278E-3</v>
      </c>
      <c r="K65" s="62">
        <v>5.866208370281587E-3</v>
      </c>
      <c r="L65" s="10">
        <v>3.4882184477618774E-2</v>
      </c>
      <c r="M65" s="11">
        <v>7.2777813717447737E-2</v>
      </c>
      <c r="N65" s="11">
        <v>5.6248038258321286E-3</v>
      </c>
      <c r="O65" s="63">
        <v>3.5267550482947586E-2</v>
      </c>
    </row>
    <row r="66" spans="1:15" s="52" customFormat="1" ht="30" customHeight="1" x14ac:dyDescent="0.25">
      <c r="A66" s="3" t="s">
        <v>58</v>
      </c>
      <c r="B66" s="65">
        <v>51633.69</v>
      </c>
      <c r="C66" s="61">
        <v>178175.05499999999</v>
      </c>
      <c r="D66" s="61">
        <v>-123469.205</v>
      </c>
      <c r="E66" s="66">
        <v>673.5</v>
      </c>
      <c r="F66" s="10">
        <v>40.404128931736302</v>
      </c>
      <c r="G66" s="11">
        <v>280</v>
      </c>
      <c r="H66" s="11">
        <v>393.5</v>
      </c>
      <c r="I66" s="61">
        <v>-69071.14</v>
      </c>
      <c r="J66" s="67">
        <v>0.10153309573800801</v>
      </c>
      <c r="K66" s="68">
        <v>0.32281211869908349</v>
      </c>
      <c r="L66" s="69">
        <v>0.67480420643627848</v>
      </c>
      <c r="M66" s="11">
        <v>0.75</v>
      </c>
      <c r="N66" s="66">
        <v>0.17</v>
      </c>
      <c r="O66" s="70">
        <v>0.38494449189209479</v>
      </c>
    </row>
    <row r="67" spans="1:15" s="52" customFormat="1" ht="30" customHeight="1" x14ac:dyDescent="0.25">
      <c r="A67" s="3" t="s">
        <v>59</v>
      </c>
      <c r="B67" s="61" t="e">
        <v>#N/A</v>
      </c>
      <c r="C67" s="61" t="e">
        <v>#N/A</v>
      </c>
      <c r="D67" s="61" t="e">
        <v>#N/A</v>
      </c>
      <c r="E67" s="66">
        <v>927</v>
      </c>
      <c r="F67" s="10" t="e">
        <v>#N/A</v>
      </c>
      <c r="G67" s="11">
        <v>472</v>
      </c>
      <c r="H67" s="11" t="e">
        <v>#N/A</v>
      </c>
      <c r="I67" s="61" t="e">
        <v>#N/A</v>
      </c>
      <c r="J67" s="62" t="e">
        <v>#N/A</v>
      </c>
      <c r="K67" s="62" t="e">
        <v>#N/A</v>
      </c>
      <c r="L67" s="10" t="e">
        <v>#N/A</v>
      </c>
      <c r="M67" s="11">
        <v>0</v>
      </c>
      <c r="N67" s="66">
        <v>0.1</v>
      </c>
      <c r="O67" s="63" t="e">
        <v>#N/A</v>
      </c>
    </row>
    <row r="68" spans="1:15" s="52" customFormat="1" ht="30" customHeight="1" x14ac:dyDescent="0.25">
      <c r="A68" s="3" t="s">
        <v>60</v>
      </c>
      <c r="B68" s="61">
        <v>14498.437914754406</v>
      </c>
      <c r="C68" s="61">
        <v>43956.901716784618</v>
      </c>
      <c r="D68" s="61">
        <v>33656.766572801775</v>
      </c>
      <c r="E68" s="66">
        <v>431.09637491317051</v>
      </c>
      <c r="F68" s="10">
        <v>2.8078797645284741</v>
      </c>
      <c r="G68" s="11">
        <v>155.75771058531797</v>
      </c>
      <c r="H68" s="11">
        <v>275.86069265376034</v>
      </c>
      <c r="I68" s="61">
        <v>29036.110784443572</v>
      </c>
      <c r="J68" s="62">
        <v>1.8012917822345487E-2</v>
      </c>
      <c r="K68" s="62">
        <v>4.5439454646966276E-2</v>
      </c>
      <c r="L68" s="10">
        <v>0.27019623912230478</v>
      </c>
      <c r="M68" s="11">
        <v>0.56373452100212162</v>
      </c>
      <c r="N68" s="11">
        <v>4.35695430862632E-2</v>
      </c>
      <c r="O68" s="63">
        <v>0.27318127136397069</v>
      </c>
    </row>
    <row r="69" spans="1:15" s="52" customFormat="1" ht="30" customHeight="1" x14ac:dyDescent="0.25">
      <c r="A69" s="3" t="s">
        <v>61</v>
      </c>
      <c r="B69" s="61">
        <v>210204701.9679881</v>
      </c>
      <c r="C69" s="61">
        <v>1932209208.5390625</v>
      </c>
      <c r="D69" s="61">
        <v>1132777936.1360669</v>
      </c>
      <c r="E69" s="66">
        <v>185844.08446327684</v>
      </c>
      <c r="F69" s="10">
        <v>7.8841887720484785</v>
      </c>
      <c r="G69" s="11">
        <v>24260.464406779669</v>
      </c>
      <c r="H69" s="11">
        <v>76099.121751412429</v>
      </c>
      <c r="I69" s="61">
        <v>843095729.48648024</v>
      </c>
      <c r="J69" s="62">
        <v>3.2446520847457166E-4</v>
      </c>
      <c r="K69" s="62">
        <v>2.064744038613705E-3</v>
      </c>
      <c r="L69" s="10">
        <v>7.30060076358377E-2</v>
      </c>
      <c r="M69" s="11">
        <v>0.31779661016949151</v>
      </c>
      <c r="N69" s="11">
        <v>1.8983050847457457E-3</v>
      </c>
      <c r="O69" s="63">
        <v>7.4628007024035395E-2</v>
      </c>
    </row>
    <row r="70" spans="1:15" s="52" customFormat="1" ht="30" customHeight="1" x14ac:dyDescent="0.25">
      <c r="A70" s="3" t="s">
        <v>62</v>
      </c>
      <c r="B70" s="61">
        <v>0.14935222562630734</v>
      </c>
      <c r="C70" s="61">
        <v>-0.32972911421402307</v>
      </c>
      <c r="D70" s="61">
        <v>-0.79385472836975124</v>
      </c>
      <c r="E70" s="66">
        <v>-6.2476956306840137E-2</v>
      </c>
      <c r="F70" s="10">
        <v>8.6921814873358816E-2</v>
      </c>
      <c r="G70" s="11">
        <v>-0.29760558179489349</v>
      </c>
      <c r="H70" s="11">
        <v>7.6044950173877801E-2</v>
      </c>
      <c r="I70" s="64">
        <v>-0.86436678214216212</v>
      </c>
      <c r="J70" s="62">
        <v>0.85344385661012412</v>
      </c>
      <c r="K70" s="62">
        <v>1.029372761976004</v>
      </c>
      <c r="L70" s="10">
        <v>3.6012638033468591</v>
      </c>
      <c r="M70" s="11">
        <v>-1.3734543254688436</v>
      </c>
      <c r="N70" s="66">
        <v>-1.2109379051075968</v>
      </c>
      <c r="O70" s="63">
        <v>0.93847947874405468</v>
      </c>
    </row>
    <row r="71" spans="1:15" s="52" customFormat="1" ht="30" customHeight="1" x14ac:dyDescent="0.25">
      <c r="A71" s="3" t="s">
        <v>63</v>
      </c>
      <c r="B71" s="61">
        <v>-0.90198414158943618</v>
      </c>
      <c r="C71" s="61">
        <v>-1.14345342236348</v>
      </c>
      <c r="D71" s="61">
        <v>0.86043935561667662</v>
      </c>
      <c r="E71" s="66">
        <v>0.87442689076126601</v>
      </c>
      <c r="F71" s="10">
        <v>0.53570911845841818</v>
      </c>
      <c r="G71" s="11">
        <v>0.7667160022020002</v>
      </c>
      <c r="H71" s="11">
        <v>0.93099161368545691</v>
      </c>
      <c r="I71" s="64">
        <v>0.10909573612736939</v>
      </c>
      <c r="J71" s="62">
        <v>-0.94172789207779894</v>
      </c>
      <c r="K71" s="62">
        <v>-0.81436089900440412</v>
      </c>
      <c r="L71" s="10">
        <v>1.796670522530539</v>
      </c>
      <c r="M71" s="11">
        <v>4.6718911614851703E-17</v>
      </c>
      <c r="N71" s="66">
        <v>-2.8654265790442381E-15</v>
      </c>
      <c r="O71" s="63">
        <v>1.3271217666062736</v>
      </c>
    </row>
    <row r="72" spans="1:15" s="52" customFormat="1" ht="30" customHeight="1" x14ac:dyDescent="0.25">
      <c r="A72" s="3" t="s">
        <v>64</v>
      </c>
      <c r="B72" s="61">
        <v>62537.23</v>
      </c>
      <c r="C72" s="61">
        <v>148516.33000000002</v>
      </c>
      <c r="D72" s="61">
        <v>109564.98000000001</v>
      </c>
      <c r="E72" s="66">
        <v>1680</v>
      </c>
      <c r="F72" s="10">
        <v>13.731302830620201</v>
      </c>
      <c r="G72" s="66">
        <v>594</v>
      </c>
      <c r="H72" s="66">
        <v>1086</v>
      </c>
      <c r="I72" s="61">
        <v>108462.47</v>
      </c>
      <c r="J72" s="62">
        <v>8.6482083572909207E-2</v>
      </c>
      <c r="K72" s="62">
        <v>0.23317735723444702</v>
      </c>
      <c r="L72" s="10">
        <v>1.409424409656852</v>
      </c>
      <c r="M72" s="11">
        <v>1.5</v>
      </c>
      <c r="N72" s="66">
        <v>0.13999999999999999</v>
      </c>
      <c r="O72" s="63">
        <v>1.0694684862049779</v>
      </c>
    </row>
    <row r="73" spans="1:15" s="52" customFormat="1" ht="30" customHeight="1" x14ac:dyDescent="0.25">
      <c r="A73" s="3" t="s">
        <v>65</v>
      </c>
      <c r="B73" s="65">
        <v>4980.46</v>
      </c>
      <c r="C73" s="61">
        <v>51738.52</v>
      </c>
      <c r="D73" s="61">
        <v>-156323.04</v>
      </c>
      <c r="E73" s="66">
        <v>239</v>
      </c>
      <c r="F73" s="10">
        <v>35.222672064777299</v>
      </c>
      <c r="G73" s="66">
        <v>117</v>
      </c>
      <c r="H73" s="66">
        <v>122</v>
      </c>
      <c r="I73" s="61">
        <v>-120435.77</v>
      </c>
      <c r="J73" s="67">
        <v>3.5351177087591799E-2</v>
      </c>
      <c r="K73" s="68">
        <v>0.151208528218403</v>
      </c>
      <c r="L73" s="69">
        <v>0.26217073107820654</v>
      </c>
      <c r="M73" s="11">
        <v>0</v>
      </c>
      <c r="N73" s="66">
        <v>0.1</v>
      </c>
      <c r="O73" s="70">
        <v>0.22022668791040578</v>
      </c>
    </row>
    <row r="74" spans="1:15" s="52" customFormat="1" ht="30" customHeight="1" x14ac:dyDescent="0.25">
      <c r="A74" s="3" t="s">
        <v>66</v>
      </c>
      <c r="B74" s="65">
        <v>67517.69</v>
      </c>
      <c r="C74" s="61">
        <v>200254.85</v>
      </c>
      <c r="D74" s="61">
        <v>-46758.06</v>
      </c>
      <c r="E74" s="66">
        <v>1919</v>
      </c>
      <c r="F74" s="10">
        <v>48.953974895397501</v>
      </c>
      <c r="G74" s="66">
        <v>711</v>
      </c>
      <c r="H74" s="66">
        <v>1208</v>
      </c>
      <c r="I74" s="61">
        <v>-11973.3</v>
      </c>
      <c r="J74" s="67">
        <v>0.121833260660501</v>
      </c>
      <c r="K74" s="68">
        <v>0.38438588545285002</v>
      </c>
      <c r="L74" s="69">
        <v>1.6715951407350584</v>
      </c>
      <c r="M74" s="11">
        <v>1.5</v>
      </c>
      <c r="N74" s="66">
        <v>0.24</v>
      </c>
      <c r="O74" s="70">
        <v>1.2896951741153837</v>
      </c>
    </row>
    <row r="75" spans="1:15" s="52" customFormat="1" ht="30" customHeight="1" x14ac:dyDescent="0.25">
      <c r="A75" s="3" t="s">
        <v>67</v>
      </c>
      <c r="B75" s="61">
        <v>3745.343661925675</v>
      </c>
      <c r="C75" s="61">
        <v>11355.271803130514</v>
      </c>
      <c r="D75" s="61">
        <v>8694.4647489281178</v>
      </c>
      <c r="E75" s="11">
        <v>111.36400245002037</v>
      </c>
      <c r="F75" s="10">
        <v>0.72535225804042891</v>
      </c>
      <c r="G75" s="11">
        <v>40.236483238177605</v>
      </c>
      <c r="H75" s="11">
        <v>71.262373428088679</v>
      </c>
      <c r="I75" s="61">
        <v>7500.8227874547283</v>
      </c>
      <c r="J75" s="62">
        <v>4.6532300924676893E-3</v>
      </c>
      <c r="K75" s="62">
        <v>1.1738255835836171E-2</v>
      </c>
      <c r="L75" s="10">
        <v>6.979908991733752E-2</v>
      </c>
      <c r="M75" s="11">
        <v>0.14562806887598193</v>
      </c>
      <c r="N75" s="11">
        <v>1.1255206458143301E-2</v>
      </c>
      <c r="O75" s="63">
        <v>7.0570205512872811E-2</v>
      </c>
    </row>
  </sheetData>
  <phoneticPr fontId="4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EF261-86AC-4D74-8233-74A5E54A444C}">
  <dimension ref="A1:V75"/>
  <sheetViews>
    <sheetView tabSelected="1" workbookViewId="0">
      <pane ySplit="2" topLeftCell="A57" activePane="bottomLeft" state="frozen"/>
      <selection pane="bottomLeft" activeCell="O75" sqref="O75"/>
    </sheetView>
  </sheetViews>
  <sheetFormatPr baseColWidth="10" defaultRowHeight="15" x14ac:dyDescent="0.25"/>
  <cols>
    <col min="1" max="1" width="21.25" style="52" bestFit="1" customWidth="1"/>
    <col min="2" max="4" width="15" style="53" bestFit="1" customWidth="1"/>
    <col min="5" max="5" width="7.875" style="52" bestFit="1" customWidth="1"/>
    <col min="6" max="6" width="7.5" style="54" bestFit="1" customWidth="1"/>
    <col min="7" max="7" width="8.375" style="55" bestFit="1" customWidth="1"/>
    <col min="8" max="8" width="8.25" style="55" bestFit="1" customWidth="1"/>
    <col min="9" max="9" width="14" style="53" bestFit="1" customWidth="1"/>
    <col min="10" max="10" width="6.125" style="56" bestFit="1" customWidth="1"/>
    <col min="11" max="11" width="9.375" style="56" bestFit="1" customWidth="1"/>
    <col min="12" max="12" width="7.25" style="54" bestFit="1" customWidth="1"/>
    <col min="13" max="13" width="17.375" style="57" bestFit="1" customWidth="1"/>
    <col min="14" max="14" width="17.375" style="55" bestFit="1" customWidth="1"/>
    <col min="15" max="15" width="17.375" style="54" bestFit="1" customWidth="1"/>
  </cols>
  <sheetData>
    <row r="1" spans="1:22" s="52" customFormat="1" ht="67.5" customHeight="1" x14ac:dyDescent="0.25">
      <c r="A1" s="71" t="s">
        <v>55</v>
      </c>
      <c r="B1" s="30" t="s">
        <v>25</v>
      </c>
      <c r="C1" s="51" t="s">
        <v>26</v>
      </c>
      <c r="D1" s="51" t="s">
        <v>27</v>
      </c>
      <c r="E1" s="51" t="s">
        <v>28</v>
      </c>
      <c r="F1" s="51" t="s">
        <v>29</v>
      </c>
      <c r="G1" s="51" t="s">
        <v>30</v>
      </c>
      <c r="H1" s="51" t="s">
        <v>31</v>
      </c>
      <c r="I1" s="51" t="s">
        <v>32</v>
      </c>
      <c r="J1" s="28" t="s">
        <v>52</v>
      </c>
      <c r="K1" s="29" t="s">
        <v>54</v>
      </c>
      <c r="L1" s="17" t="s">
        <v>35</v>
      </c>
      <c r="M1" s="51" t="s">
        <v>33</v>
      </c>
      <c r="N1" s="51" t="s">
        <v>34</v>
      </c>
      <c r="O1" s="51" t="s">
        <v>53</v>
      </c>
      <c r="P1" s="71" t="s">
        <v>68</v>
      </c>
      <c r="Q1" s="71" t="s">
        <v>69</v>
      </c>
      <c r="R1" s="71" t="s">
        <v>70</v>
      </c>
      <c r="S1" s="71" t="s">
        <v>71</v>
      </c>
      <c r="T1" s="71" t="s">
        <v>72</v>
      </c>
      <c r="U1" s="71" t="s">
        <v>73</v>
      </c>
      <c r="V1" s="71" t="s">
        <v>74</v>
      </c>
    </row>
    <row r="2" spans="1:22" x14ac:dyDescent="0.25">
      <c r="A2" s="73" t="s">
        <v>75</v>
      </c>
      <c r="B2" s="41">
        <v>1342452.15</v>
      </c>
      <c r="C2" s="41">
        <v>2588363.52</v>
      </c>
      <c r="D2" s="41">
        <v>-1245911.3700000001</v>
      </c>
      <c r="E2" s="42">
        <v>1217</v>
      </c>
      <c r="F2" s="43">
        <v>45.357436318816802</v>
      </c>
      <c r="G2" s="44">
        <v>552</v>
      </c>
      <c r="H2" s="44">
        <v>665</v>
      </c>
      <c r="I2" s="31">
        <v>-1035213.86</v>
      </c>
      <c r="J2" s="34">
        <v>0.119768171949217</v>
      </c>
      <c r="K2" s="34">
        <v>0.317037272037273</v>
      </c>
      <c r="L2" s="32">
        <f>-OPTI4_SORTINO_ALL_DATA[[#This Row],[Net Profit]]/OPTI4_SORTINO_ALL_DATA[[#This Row],[Max Intraday Drawdown]]</f>
        <v>1.2967872648072929</v>
      </c>
      <c r="M2" s="35">
        <v>1</v>
      </c>
      <c r="N2" s="32">
        <v>0.24</v>
      </c>
      <c r="O2" s="58">
        <v>0.22022668791040578</v>
      </c>
      <c r="P2" s="72">
        <f>(OPTI4_SORTINO_ALL_DATA[[#This Row],[Net Profit]]-B$74)/ABS(B$74)</f>
        <v>0</v>
      </c>
      <c r="Q2" s="72">
        <f>(OPTI4_SORTINO_ALL_DATA[[#This Row],[UPI]]-J$74)/ABS(J$74)</f>
        <v>0</v>
      </c>
      <c r="R2" s="72">
        <f>(OPTI4_SORTINO_ALL_DATA[[#This Row],[SORTINO AJUSTADO]]-K$74)/ABS(K$74)</f>
        <v>-2.4390591973174187E-2</v>
      </c>
      <c r="S2" s="72">
        <f>(OPTI4_SORTINO_ALL_DATA[[#This Row],[RECOVERY]]-L$74)/ABS(L$74)</f>
        <v>-0.55016715451344023</v>
      </c>
      <c r="T2" s="72">
        <f>(OPTI4_SORTINO_ALL_DATA[[#This Row],[ROB]]-O$74)/ABS(O$74)</f>
        <v>-0.82924128714255152</v>
      </c>
      <c r="U2" s="72">
        <f>SUM(OPTI4_SORTINO_ALL_DATA[[#This Row],[VAR NET PROFIT]:[VAR ROB]])</f>
        <v>-1.4037990336291659</v>
      </c>
      <c r="V2" s="72">
        <f>OPTI4_SORTINO_ALL_DATA[[#This Row],[SUMA]]-OPTI4_SORTINO_ALL_DATA[[#This Row],[VAR ROB]]</f>
        <v>-0.5745577464866144</v>
      </c>
    </row>
    <row r="3" spans="1:22" x14ac:dyDescent="0.25">
      <c r="A3" s="73" t="s">
        <v>76</v>
      </c>
      <c r="B3" s="74">
        <v>1303484.94</v>
      </c>
      <c r="C3" s="74">
        <v>2543571.37</v>
      </c>
      <c r="D3" s="74">
        <v>-1240086.43</v>
      </c>
      <c r="E3" s="75">
        <v>1383</v>
      </c>
      <c r="F3" s="76">
        <v>43.311641359363698</v>
      </c>
      <c r="G3" s="77">
        <v>599</v>
      </c>
      <c r="H3" s="77">
        <v>784</v>
      </c>
      <c r="I3" s="74">
        <v>-944630.62</v>
      </c>
      <c r="J3" s="78">
        <v>0.11742334628043199</v>
      </c>
      <c r="K3" s="78">
        <v>0.30934606342430898</v>
      </c>
      <c r="L3" s="76">
        <f>-OPTI4_SORTINO_ALL_DATA[[#This Row],[Net Profit]]/OPTI4_SORTINO_ALL_DATA[[#This Row],[Max Intraday Drawdown]]</f>
        <v>1.3798885113421371</v>
      </c>
      <c r="M3" s="79">
        <v>0</v>
      </c>
      <c r="N3" s="76">
        <v>0.24</v>
      </c>
      <c r="O3" s="80">
        <v>0.26447328396141728</v>
      </c>
      <c r="P3" s="72">
        <f>(OPTI4_SORTINO_ALL_DATA[[#This Row],[Net Profit]]-B$74)/ABS(B$74)</f>
        <v>-2.9026889338290354E-2</v>
      </c>
      <c r="Q3" s="72">
        <f>(OPTI4_SORTINO_ALL_DATA[[#This Row],[UPI]]-J$74)/ABS(J$74)</f>
        <v>-1.9578036723974044E-2</v>
      </c>
      <c r="R3" s="72">
        <f>(OPTI4_SORTINO_ALL_DATA[[#This Row],[SORTINO AJUSTADO]]-K$74)/ABS(K$74)</f>
        <v>-4.8058520458953216E-2</v>
      </c>
      <c r="S3" s="72">
        <f>(OPTI4_SORTINO_ALL_DATA[[#This Row],[RECOVERY]]-L$74)/ABS(L$74)</f>
        <v>-0.52134078398472894</v>
      </c>
      <c r="T3" s="72">
        <f>(OPTI4_SORTINO_ALL_DATA[[#This Row],[ROB]]-O$74)/ABS(O$74)</f>
        <v>-0.79493349337929997</v>
      </c>
      <c r="U3" s="72">
        <f>SUM(OPTI4_SORTINO_ALL_DATA[[#This Row],[VAR NET PROFIT]:[VAR ROB]])</f>
        <v>-1.4129377238852465</v>
      </c>
      <c r="V3" s="72">
        <f>OPTI4_SORTINO_ALL_DATA[[#This Row],[SUMA]]-OPTI4_SORTINO_ALL_DATA[[#This Row],[VAR ROB]]</f>
        <v>-0.61800423050594655</v>
      </c>
    </row>
    <row r="4" spans="1:22" x14ac:dyDescent="0.25">
      <c r="A4" s="73" t="s">
        <v>77</v>
      </c>
      <c r="B4" s="74">
        <v>1234916.42</v>
      </c>
      <c r="C4" s="74">
        <v>2420913.33</v>
      </c>
      <c r="D4" s="74">
        <v>-1185996.9099999999</v>
      </c>
      <c r="E4" s="75">
        <v>1332</v>
      </c>
      <c r="F4" s="76">
        <v>43.768768768768801</v>
      </c>
      <c r="G4" s="77">
        <v>583</v>
      </c>
      <c r="H4" s="77">
        <v>749</v>
      </c>
      <c r="I4" s="74">
        <v>-906135.99</v>
      </c>
      <c r="J4" s="78">
        <v>0.117799241297133</v>
      </c>
      <c r="K4" s="78">
        <v>0.30918523701683098</v>
      </c>
      <c r="L4" s="76">
        <f>-OPTI4_SORTINO_ALL_DATA[[#This Row],[Net Profit]]/OPTI4_SORTINO_ALL_DATA[[#This Row],[Max Intraday Drawdown]]</f>
        <v>1.3628378451230041</v>
      </c>
      <c r="M4" s="79">
        <v>1.5</v>
      </c>
      <c r="N4" s="76">
        <v>0.24</v>
      </c>
      <c r="O4" s="80">
        <v>0.28553399567512605</v>
      </c>
      <c r="P4" s="72">
        <f>(OPTI4_SORTINO_ALL_DATA[[#This Row],[Net Profit]]-B$74)/ABS(B$74)</f>
        <v>-8.0103957522806302E-2</v>
      </c>
      <c r="Q4" s="72">
        <f>(OPTI4_SORTINO_ALL_DATA[[#This Row],[UPI]]-J$74)/ABS(J$74)</f>
        <v>-1.6439514939902842E-2</v>
      </c>
      <c r="R4" s="72">
        <f>(OPTI4_SORTINO_ALL_DATA[[#This Row],[SORTINO AJUSTADO]]-K$74)/ABS(K$74)</f>
        <v>-4.8553426799732749E-2</v>
      </c>
      <c r="S4" s="72">
        <f>(OPTI4_SORTINO_ALL_DATA[[#This Row],[RECOVERY]]-L$74)/ABS(L$74)</f>
        <v>-0.5272553621973195</v>
      </c>
      <c r="T4" s="72">
        <f>(OPTI4_SORTINO_ALL_DATA[[#This Row],[ROB]]-O$74)/ABS(O$74)</f>
        <v>-0.77860350150493729</v>
      </c>
      <c r="U4" s="72">
        <f>SUM(OPTI4_SORTINO_ALL_DATA[[#This Row],[VAR NET PROFIT]:[VAR ROB]])</f>
        <v>-1.4509557629646987</v>
      </c>
      <c r="V4" s="72">
        <f>OPTI4_SORTINO_ALL_DATA[[#This Row],[SUMA]]-OPTI4_SORTINO_ALL_DATA[[#This Row],[VAR ROB]]</f>
        <v>-0.67235226145976146</v>
      </c>
    </row>
    <row r="5" spans="1:22" x14ac:dyDescent="0.25">
      <c r="A5" s="73" t="s">
        <v>78</v>
      </c>
      <c r="B5" s="74">
        <v>1148842.3400000001</v>
      </c>
      <c r="C5" s="74">
        <v>2369920.9</v>
      </c>
      <c r="D5" s="74">
        <v>-1221078.56</v>
      </c>
      <c r="E5" s="75">
        <v>1540</v>
      </c>
      <c r="F5" s="76">
        <v>43.831168831168803</v>
      </c>
      <c r="G5" s="77">
        <v>675</v>
      </c>
      <c r="H5" s="77">
        <v>865</v>
      </c>
      <c r="I5" s="74">
        <v>-845257.60999999905</v>
      </c>
      <c r="J5" s="78">
        <v>0.115104726990154</v>
      </c>
      <c r="K5" s="78">
        <v>0.318390881787599</v>
      </c>
      <c r="L5" s="76">
        <f>-OPTI4_SORTINO_ALL_DATA[[#This Row],[Net Profit]]/OPTI4_SORTINO_ALL_DATA[[#This Row],[Max Intraday Drawdown]]</f>
        <v>1.3591623741784489</v>
      </c>
      <c r="M5" s="79">
        <v>1.5</v>
      </c>
      <c r="N5" s="76">
        <v>0.22</v>
      </c>
      <c r="O5" s="80">
        <v>0.27924203757236116</v>
      </c>
      <c r="P5" s="72">
        <f>(OPTI4_SORTINO_ALL_DATA[[#This Row],[Net Profit]]-B$74)/ABS(B$74)</f>
        <v>-0.1442210137620174</v>
      </c>
      <c r="Q5" s="72">
        <f>(OPTI4_SORTINO_ALL_DATA[[#This Row],[UPI]]-J$74)/ABS(J$74)</f>
        <v>-3.8937264242793562E-2</v>
      </c>
      <c r="R5" s="72">
        <f>(OPTI4_SORTINO_ALL_DATA[[#This Row],[SORTINO AJUSTADO]]-K$74)/ABS(K$74)</f>
        <v>-2.0225168776309085E-2</v>
      </c>
      <c r="S5" s="72">
        <f>(OPTI4_SORTINO_ALL_DATA[[#This Row],[RECOVERY]]-L$74)/ABS(L$74)</f>
        <v>-0.52853031885240209</v>
      </c>
      <c r="T5" s="72">
        <f>(OPTI4_SORTINO_ALL_DATA[[#This Row],[ROB]]-O$74)/ABS(O$74)</f>
        <v>-0.78348214122465298</v>
      </c>
      <c r="U5" s="72">
        <f>SUM(OPTI4_SORTINO_ALL_DATA[[#This Row],[VAR NET PROFIT]:[VAR ROB]])</f>
        <v>-1.515395906858175</v>
      </c>
      <c r="V5" s="72">
        <f>OPTI4_SORTINO_ALL_DATA[[#This Row],[SUMA]]-OPTI4_SORTINO_ALL_DATA[[#This Row],[VAR ROB]]</f>
        <v>-0.73191376563352206</v>
      </c>
    </row>
    <row r="6" spans="1:22" x14ac:dyDescent="0.25">
      <c r="A6" s="73" t="s">
        <v>79</v>
      </c>
      <c r="B6" s="36">
        <v>1086663.72</v>
      </c>
      <c r="C6" s="36">
        <v>2197886.2200000002</v>
      </c>
      <c r="D6" s="36">
        <v>-1111222.5</v>
      </c>
      <c r="E6" s="16">
        <v>1510</v>
      </c>
      <c r="F6" s="37">
        <v>44.105960264900702</v>
      </c>
      <c r="G6" s="38">
        <v>666</v>
      </c>
      <c r="H6" s="38">
        <v>844</v>
      </c>
      <c r="I6" s="36">
        <v>-763462.04</v>
      </c>
      <c r="J6" s="39">
        <v>0.11349201356194</v>
      </c>
      <c r="K6" s="39">
        <v>0.32496331977618198</v>
      </c>
      <c r="L6" s="37">
        <f>-OPTI4_SORTINO_ALL_DATA[[#This Row],[Net Profit]]/OPTI4_SORTINO_ALL_DATA[[#This Row],[Max Intraday Drawdown]]</f>
        <v>1.4233369349967941</v>
      </c>
      <c r="M6" s="40">
        <v>1</v>
      </c>
      <c r="N6" s="37">
        <v>0.21</v>
      </c>
      <c r="O6" s="59">
        <v>0.26205778278169889</v>
      </c>
      <c r="P6" s="72">
        <f>(OPTI4_SORTINO_ALL_DATA[[#This Row],[Net Profit]]-B$74)/ABS(B$74)</f>
        <v>-0.19053821024458856</v>
      </c>
      <c r="Q6" s="72">
        <f>(OPTI4_SORTINO_ALL_DATA[[#This Row],[UPI]]-J$74)/ABS(J$74)</f>
        <v>-5.2402556414889299E-2</v>
      </c>
      <c r="R6" s="72">
        <f>(OPTI4_SORTINO_ALL_DATA[[#This Row],[SORTINO AJUSTADO]]-K$74)/ABS(K$74)</f>
        <v>0</v>
      </c>
      <c r="S6" s="72">
        <f>(OPTI4_SORTINO_ALL_DATA[[#This Row],[RECOVERY]]-L$74)/ABS(L$74)</f>
        <v>-0.50626928492325074</v>
      </c>
      <c r="T6" s="72">
        <f>(OPTI4_SORTINO_ALL_DATA[[#This Row],[ROB]]-O$74)/ABS(O$74)</f>
        <v>-0.79680641748431202</v>
      </c>
      <c r="U6" s="72">
        <f>SUM(OPTI4_SORTINO_ALL_DATA[[#This Row],[VAR NET PROFIT]:[VAR ROB]])</f>
        <v>-1.5460164690670406</v>
      </c>
      <c r="V6" s="72">
        <f>OPTI4_SORTINO_ALL_DATA[[#This Row],[SUMA]]-OPTI4_SORTINO_ALL_DATA[[#This Row],[VAR ROB]]</f>
        <v>-0.74921005158272858</v>
      </c>
    </row>
    <row r="7" spans="1:22" x14ac:dyDescent="0.25">
      <c r="A7" s="73" t="s">
        <v>80</v>
      </c>
      <c r="B7" s="74">
        <v>1096511.3799999999</v>
      </c>
      <c r="C7" s="74">
        <v>2292992.83</v>
      </c>
      <c r="D7" s="74">
        <v>-1196481.45</v>
      </c>
      <c r="E7" s="75">
        <v>1664</v>
      </c>
      <c r="F7" s="76">
        <v>43.088942307692299</v>
      </c>
      <c r="G7" s="77">
        <v>717</v>
      </c>
      <c r="H7" s="77">
        <v>947</v>
      </c>
      <c r="I7" s="74">
        <v>-754257.67000000097</v>
      </c>
      <c r="J7" s="78">
        <v>0.11321581678624</v>
      </c>
      <c r="K7" s="78">
        <v>0.31617928144607998</v>
      </c>
      <c r="L7" s="76">
        <f>-OPTI4_SORTINO_ALL_DATA[[#This Row],[Net Profit]]/OPTI4_SORTINO_ALL_DATA[[#This Row],[Max Intraday Drawdown]]</f>
        <v>1.4537623197123053</v>
      </c>
      <c r="M7" s="79">
        <v>1.5</v>
      </c>
      <c r="N7" s="76">
        <v>0.21</v>
      </c>
      <c r="O7" s="80">
        <v>0.26736515210026124</v>
      </c>
      <c r="P7" s="72">
        <f>(OPTI4_SORTINO_ALL_DATA[[#This Row],[Net Profit]]-B$74)/ABS(B$74)</f>
        <v>-0.18320263407526297</v>
      </c>
      <c r="Q7" s="72">
        <f>(OPTI4_SORTINO_ALL_DATA[[#This Row],[UPI]]-J$74)/ABS(J$74)</f>
        <v>-5.4708651358186144E-2</v>
      </c>
      <c r="R7" s="72">
        <f>(OPTI4_SORTINO_ALL_DATA[[#This Row],[SORTINO AJUSTADO]]-K$74)/ABS(K$74)</f>
        <v>-2.7030861009642533E-2</v>
      </c>
      <c r="S7" s="72">
        <f>(OPTI4_SORTINO_ALL_DATA[[#This Row],[RECOVERY]]-L$74)/ABS(L$74)</f>
        <v>-0.49571525053917964</v>
      </c>
      <c r="T7" s="72">
        <f>(OPTI4_SORTINO_ALL_DATA[[#This Row],[ROB]]-O$74)/ABS(O$74)</f>
        <v>-0.79269120528139525</v>
      </c>
      <c r="U7" s="72">
        <f>SUM(OPTI4_SORTINO_ALL_DATA[[#This Row],[VAR NET PROFIT]:[VAR ROB]])</f>
        <v>-1.5533486022636667</v>
      </c>
      <c r="V7" s="72">
        <f>OPTI4_SORTINO_ALL_DATA[[#This Row],[SUMA]]-OPTI4_SORTINO_ALL_DATA[[#This Row],[VAR ROB]]</f>
        <v>-0.76065739698227142</v>
      </c>
    </row>
    <row r="8" spans="1:22" x14ac:dyDescent="0.25">
      <c r="A8" s="73" t="s">
        <v>81</v>
      </c>
      <c r="B8" s="74">
        <v>1113709.48</v>
      </c>
      <c r="C8" s="74">
        <v>2320040.71</v>
      </c>
      <c r="D8" s="74">
        <v>-1206331.23</v>
      </c>
      <c r="E8" s="75">
        <v>1732</v>
      </c>
      <c r="F8" s="76">
        <v>42.551963048498799</v>
      </c>
      <c r="G8" s="77">
        <v>737</v>
      </c>
      <c r="H8" s="77">
        <v>995</v>
      </c>
      <c r="I8" s="74">
        <v>-757775.07</v>
      </c>
      <c r="J8" s="78">
        <v>0.112364386566478</v>
      </c>
      <c r="K8" s="78">
        <v>0.30889097543320998</v>
      </c>
      <c r="L8" s="76">
        <f>-OPTI4_SORTINO_ALL_DATA[[#This Row],[Net Profit]]/OPTI4_SORTINO_ALL_DATA[[#This Row],[Max Intraday Drawdown]]</f>
        <v>1.4697098441098095</v>
      </c>
      <c r="M8" s="79">
        <v>0</v>
      </c>
      <c r="N8" s="76">
        <v>0.21</v>
      </c>
      <c r="O8" s="80">
        <v>0.28011300013886359</v>
      </c>
      <c r="P8" s="72">
        <f>(OPTI4_SORTINO_ALL_DATA[[#This Row],[Net Profit]]-B$74)/ABS(B$74)</f>
        <v>-0.17039167466788291</v>
      </c>
      <c r="Q8" s="72">
        <f>(OPTI4_SORTINO_ALL_DATA[[#This Row],[UPI]]-J$74)/ABS(J$74)</f>
        <v>-6.1817637041987152E-2</v>
      </c>
      <c r="R8" s="72">
        <f>(OPTI4_SORTINO_ALL_DATA[[#This Row],[SORTINO AJUSTADO]]-K$74)/ABS(K$74)</f>
        <v>-4.9458949256309309E-2</v>
      </c>
      <c r="S8" s="72">
        <f>(OPTI4_SORTINO_ALL_DATA[[#This Row],[RECOVERY]]-L$74)/ABS(L$74)</f>
        <v>-0.4901833329510919</v>
      </c>
      <c r="T8" s="72">
        <f>(OPTI4_SORTINO_ALL_DATA[[#This Row],[ROB]]-O$74)/ABS(O$74)</f>
        <v>-0.78280681686585651</v>
      </c>
      <c r="U8" s="72">
        <f>SUM(OPTI4_SORTINO_ALL_DATA[[#This Row],[VAR NET PROFIT]:[VAR ROB]])</f>
        <v>-1.5546584107831278</v>
      </c>
      <c r="V8" s="72">
        <f>OPTI4_SORTINO_ALL_DATA[[#This Row],[SUMA]]-OPTI4_SORTINO_ALL_DATA[[#This Row],[VAR ROB]]</f>
        <v>-0.77185159391727132</v>
      </c>
    </row>
    <row r="9" spans="1:22" x14ac:dyDescent="0.25">
      <c r="A9" s="73" t="s">
        <v>82</v>
      </c>
      <c r="B9" s="74">
        <v>1144482.3799999999</v>
      </c>
      <c r="C9" s="74">
        <v>2326701.9700000002</v>
      </c>
      <c r="D9" s="74">
        <v>-1182219.5900000001</v>
      </c>
      <c r="E9" s="75">
        <v>1397</v>
      </c>
      <c r="F9" s="76">
        <v>44.595561918396598</v>
      </c>
      <c r="G9" s="77">
        <v>623</v>
      </c>
      <c r="H9" s="77">
        <v>774</v>
      </c>
      <c r="I9" s="74">
        <v>-886717.17000000097</v>
      </c>
      <c r="J9" s="78">
        <v>0.11381546925017</v>
      </c>
      <c r="K9" s="78">
        <v>0.31990231603927999</v>
      </c>
      <c r="L9" s="76">
        <f>-OPTI4_SORTINO_ALL_DATA[[#This Row],[Net Profit]]/OPTI4_SORTINO_ALL_DATA[[#This Row],[Max Intraday Drawdown]]</f>
        <v>1.2906960852015514</v>
      </c>
      <c r="M9" s="79">
        <v>1</v>
      </c>
      <c r="N9" s="76">
        <v>0.22</v>
      </c>
      <c r="O9" s="80">
        <v>0.22676013055247946</v>
      </c>
      <c r="P9" s="72">
        <f>(OPTI4_SORTINO_ALL_DATA[[#This Row],[Net Profit]]-B$74)/ABS(B$74)</f>
        <v>-0.14746877197820424</v>
      </c>
      <c r="Q9" s="72">
        <f>(OPTI4_SORTINO_ALL_DATA[[#This Row],[UPI]]-J$74)/ABS(J$74)</f>
        <v>-4.9701874898541616E-2</v>
      </c>
      <c r="R9" s="72">
        <f>(OPTI4_SORTINO_ALL_DATA[[#This Row],[SORTINO AJUSTADO]]-K$74)/ABS(K$74)</f>
        <v>-1.557407691547388E-2</v>
      </c>
      <c r="S9" s="72">
        <f>(OPTI4_SORTINO_ALL_DATA[[#This Row],[RECOVERY]]-L$74)/ABS(L$74)</f>
        <v>-0.55228007829730197</v>
      </c>
      <c r="T9" s="72">
        <f>(OPTI4_SORTINO_ALL_DATA[[#This Row],[ROB]]-O$74)/ABS(O$74)</f>
        <v>-0.82417540586052307</v>
      </c>
      <c r="U9" s="72">
        <f>SUM(OPTI4_SORTINO_ALL_DATA[[#This Row],[VAR NET PROFIT]:[VAR ROB]])</f>
        <v>-1.5892002079500447</v>
      </c>
      <c r="V9" s="72">
        <f>OPTI4_SORTINO_ALL_DATA[[#This Row],[SUMA]]-OPTI4_SORTINO_ALL_DATA[[#This Row],[VAR ROB]]</f>
        <v>-0.76502480208952162</v>
      </c>
    </row>
    <row r="10" spans="1:22" x14ac:dyDescent="0.25">
      <c r="A10" s="73" t="s">
        <v>83</v>
      </c>
      <c r="B10" s="74">
        <v>1010258.38</v>
      </c>
      <c r="C10" s="74">
        <v>2108770.9900000002</v>
      </c>
      <c r="D10" s="74">
        <v>-1098512.6100000001</v>
      </c>
      <c r="E10" s="75">
        <v>1668</v>
      </c>
      <c r="F10" s="76">
        <v>43.764988009592301</v>
      </c>
      <c r="G10" s="77">
        <v>730</v>
      </c>
      <c r="H10" s="77">
        <v>938</v>
      </c>
      <c r="I10" s="74">
        <v>-683464.79000000097</v>
      </c>
      <c r="J10" s="78">
        <v>0.112902035560366</v>
      </c>
      <c r="K10" s="78">
        <v>0.31728647828592599</v>
      </c>
      <c r="L10" s="76">
        <f>-OPTI4_SORTINO_ALL_DATA[[#This Row],[Net Profit]]/OPTI4_SORTINO_ALL_DATA[[#This Row],[Max Intraday Drawdown]]</f>
        <v>1.478142538988729</v>
      </c>
      <c r="M10" s="79">
        <v>1</v>
      </c>
      <c r="N10" s="76">
        <v>0.2</v>
      </c>
      <c r="O10" s="80">
        <v>0.28622787361823032</v>
      </c>
      <c r="P10" s="72">
        <f>(OPTI4_SORTINO_ALL_DATA[[#This Row],[Net Profit]]-B$74)/ABS(B$74)</f>
        <v>-0.24745296880786397</v>
      </c>
      <c r="Q10" s="72">
        <f>(OPTI4_SORTINO_ALL_DATA[[#This Row],[UPI]]-J$74)/ABS(J$74)</f>
        <v>-5.7328556302606991E-2</v>
      </c>
      <c r="R10" s="72">
        <f>(OPTI4_SORTINO_ALL_DATA[[#This Row],[SORTINO AJUSTADO]]-K$74)/ABS(K$74)</f>
        <v>-2.362371696455897E-2</v>
      </c>
      <c r="S10" s="72">
        <f>(OPTI4_SORTINO_ALL_DATA[[#This Row],[RECOVERY]]-L$74)/ABS(L$74)</f>
        <v>-0.48725817842848945</v>
      </c>
      <c r="T10" s="72">
        <f>(OPTI4_SORTINO_ALL_DATA[[#This Row],[ROB]]-O$74)/ABS(O$74)</f>
        <v>-0.77806548449360746</v>
      </c>
      <c r="U10" s="72">
        <f>SUM(OPTI4_SORTINO_ALL_DATA[[#This Row],[VAR NET PROFIT]:[VAR ROB]])</f>
        <v>-1.5937289049971268</v>
      </c>
      <c r="V10" s="72">
        <f>OPTI4_SORTINO_ALL_DATA[[#This Row],[SUMA]]-OPTI4_SORTINO_ALL_DATA[[#This Row],[VAR ROB]]</f>
        <v>-0.81566342050351937</v>
      </c>
    </row>
    <row r="11" spans="1:22" x14ac:dyDescent="0.25">
      <c r="A11" s="73" t="s">
        <v>84</v>
      </c>
      <c r="B11" s="74">
        <v>1094883.5</v>
      </c>
      <c r="C11" s="74">
        <v>2300890.04</v>
      </c>
      <c r="D11" s="74">
        <v>-1206006.54</v>
      </c>
      <c r="E11" s="75">
        <v>1601</v>
      </c>
      <c r="F11" s="76">
        <v>42.8482198625859</v>
      </c>
      <c r="G11" s="77">
        <v>686</v>
      </c>
      <c r="H11" s="77">
        <v>915</v>
      </c>
      <c r="I11" s="74">
        <v>-813475.950000001</v>
      </c>
      <c r="J11" s="78">
        <v>0.110625761524871</v>
      </c>
      <c r="K11" s="78">
        <v>0.30352104664808799</v>
      </c>
      <c r="L11" s="76">
        <f>-OPTI4_SORTINO_ALL_DATA[[#This Row],[Net Profit]]/OPTI4_SORTINO_ALL_DATA[[#This Row],[Max Intraday Drawdown]]</f>
        <v>1.3459322306947104</v>
      </c>
      <c r="M11" s="79">
        <v>0</v>
      </c>
      <c r="N11" s="76">
        <v>0.22</v>
      </c>
      <c r="O11" s="80">
        <v>0.25517226964263057</v>
      </c>
      <c r="P11" s="72">
        <f>(OPTI4_SORTINO_ALL_DATA[[#This Row],[Net Profit]]-B$74)/ABS(B$74)</f>
        <v>-0.18441525085270258</v>
      </c>
      <c r="Q11" s="72">
        <f>(OPTI4_SORTINO_ALL_DATA[[#This Row],[UPI]]-J$74)/ABS(J$74)</f>
        <v>-7.6334223655200206E-2</v>
      </c>
      <c r="R11" s="72">
        <f>(OPTI4_SORTINO_ALL_DATA[[#This Row],[SORTINO AJUSTADO]]-K$74)/ABS(K$74)</f>
        <v>-6.5983672073704577E-2</v>
      </c>
      <c r="S11" s="72">
        <f>(OPTI4_SORTINO_ALL_DATA[[#This Row],[RECOVERY]]-L$74)/ABS(L$74)</f>
        <v>-0.53311962447792427</v>
      </c>
      <c r="T11" s="72">
        <f>(OPTI4_SORTINO_ALL_DATA[[#This Row],[ROB]]-O$74)/ABS(O$74)</f>
        <v>-0.8021452861389079</v>
      </c>
      <c r="U11" s="72">
        <f>SUM(OPTI4_SORTINO_ALL_DATA[[#This Row],[VAR NET PROFIT]:[VAR ROB]])</f>
        <v>-1.6619980571984394</v>
      </c>
      <c r="V11" s="72">
        <f>OPTI4_SORTINO_ALL_DATA[[#This Row],[SUMA]]-OPTI4_SORTINO_ALL_DATA[[#This Row],[VAR ROB]]</f>
        <v>-0.85985277105953151</v>
      </c>
    </row>
    <row r="12" spans="1:22" x14ac:dyDescent="0.25">
      <c r="A12" s="72"/>
      <c r="B12" s="53">
        <v>1062516.31</v>
      </c>
      <c r="C12" s="53">
        <v>2192606.5499999998</v>
      </c>
      <c r="D12" s="53">
        <v>-1130090.24</v>
      </c>
      <c r="E12" s="52">
        <v>1435</v>
      </c>
      <c r="F12" s="54">
        <v>42.996515679442503</v>
      </c>
      <c r="G12" s="55">
        <v>617</v>
      </c>
      <c r="H12" s="55">
        <v>818</v>
      </c>
      <c r="I12" s="53">
        <v>-820205.41</v>
      </c>
      <c r="J12" s="56">
        <v>0.113639202572688</v>
      </c>
      <c r="K12" s="56">
        <v>0.30380913584955899</v>
      </c>
      <c r="L12" s="54">
        <f>-OPTI4_SORTINO_ALL_DATA[[#This Row],[Net Profit]]/OPTI4_SORTINO_ALL_DATA[[#This Row],[Max Intraday Drawdown]]</f>
        <v>1.2954270930741605</v>
      </c>
      <c r="M12" s="57">
        <v>1.5</v>
      </c>
      <c r="N12" s="54">
        <v>0.23</v>
      </c>
      <c r="O12" s="50">
        <v>0.27091804338674802</v>
      </c>
      <c r="P12" s="72">
        <f>(OPTI4_SORTINO_ALL_DATA[[#This Row],[Net Profit]]-B$74)/ABS(B$74)</f>
        <v>-0.20852574894382631</v>
      </c>
      <c r="Q12" s="72">
        <f>(OPTI4_SORTINO_ALL_DATA[[#This Row],[UPI]]-J$74)/ABS(J$74)</f>
        <v>-5.117360711765518E-2</v>
      </c>
      <c r="R12" s="72">
        <f>(OPTI4_SORTINO_ALL_DATA[[#This Row],[SORTINO AJUSTADO]]-K$74)/ABS(K$74)</f>
        <v>-6.5097143705920124E-2</v>
      </c>
      <c r="S12" s="72">
        <f>(OPTI4_SORTINO_ALL_DATA[[#This Row],[RECOVERY]]-L$74)/ABS(L$74)</f>
        <v>-0.550638974323574</v>
      </c>
      <c r="T12" s="72">
        <f>(OPTI4_SORTINO_ALL_DATA[[#This Row],[ROB]]-O$74)/ABS(O$74)</f>
        <v>-0.7899363750255376</v>
      </c>
      <c r="U12" s="72">
        <f>SUM(OPTI4_SORTINO_ALL_DATA[[#This Row],[VAR NET PROFIT]:[VAR ROB]])</f>
        <v>-1.665371849116513</v>
      </c>
      <c r="V12" s="72">
        <f>OPTI4_SORTINO_ALL_DATA[[#This Row],[SUMA]]-OPTI4_SORTINO_ALL_DATA[[#This Row],[VAR ROB]]</f>
        <v>-0.87543547409097544</v>
      </c>
    </row>
    <row r="13" spans="1:22" x14ac:dyDescent="0.25">
      <c r="A13" s="72"/>
      <c r="B13" s="53">
        <v>760127.33</v>
      </c>
      <c r="C13" s="53">
        <v>1169636.5900000001</v>
      </c>
      <c r="D13" s="53">
        <v>-409509.26</v>
      </c>
      <c r="E13" s="52">
        <v>628</v>
      </c>
      <c r="F13" s="54">
        <v>51.592356687898103</v>
      </c>
      <c r="G13" s="55">
        <v>324</v>
      </c>
      <c r="H13" s="55">
        <v>304</v>
      </c>
      <c r="I13" s="53">
        <v>-402839.21</v>
      </c>
      <c r="J13" s="56">
        <v>0.117134852464923</v>
      </c>
      <c r="K13" s="56">
        <v>0.28397977329395802</v>
      </c>
      <c r="L13" s="54">
        <f>-OPTI4_SORTINO_ALL_DATA[[#This Row],[Net Profit]]/OPTI4_SORTINO_ALL_DATA[[#This Row],[Max Intraday Drawdown]]</f>
        <v>1.8869248849931959</v>
      </c>
      <c r="M13" s="57">
        <v>0.5</v>
      </c>
      <c r="N13" s="54">
        <v>0.24</v>
      </c>
      <c r="O13" s="50">
        <v>0.31255574881782627</v>
      </c>
      <c r="P13" s="72">
        <f>(OPTI4_SORTINO_ALL_DATA[[#This Row],[Net Profit]]-B$74)/ABS(B$74)</f>
        <v>-0.43377696553281248</v>
      </c>
      <c r="Q13" s="72">
        <f>(OPTI4_SORTINO_ALL_DATA[[#This Row],[UPI]]-J$74)/ABS(J$74)</f>
        <v>-2.198680535435206E-2</v>
      </c>
      <c r="R13" s="72">
        <f>(OPTI4_SORTINO_ALL_DATA[[#This Row],[SORTINO AJUSTADO]]-K$74)/ABS(K$74)</f>
        <v>-0.12611745384202538</v>
      </c>
      <c r="S13" s="72">
        <f>(OPTI4_SORTINO_ALL_DATA[[#This Row],[RECOVERY]]-L$74)/ABS(L$74)</f>
        <v>-0.34545872459502935</v>
      </c>
      <c r="T13" s="72">
        <f>(OPTI4_SORTINO_ALL_DATA[[#This Row],[ROB]]-O$74)/ABS(O$74)</f>
        <v>-0.75765145509502907</v>
      </c>
      <c r="U13" s="72">
        <f>SUM(OPTI4_SORTINO_ALL_DATA[[#This Row],[VAR NET PROFIT]:[VAR ROB]])</f>
        <v>-1.6849914044192484</v>
      </c>
      <c r="V13" s="72">
        <f>OPTI4_SORTINO_ALL_DATA[[#This Row],[SUMA]]-OPTI4_SORTINO_ALL_DATA[[#This Row],[VAR ROB]]</f>
        <v>-0.92733994932421937</v>
      </c>
    </row>
    <row r="14" spans="1:22" x14ac:dyDescent="0.25">
      <c r="A14" s="72"/>
      <c r="B14" s="53">
        <v>780488.11</v>
      </c>
      <c r="C14" s="53">
        <v>1763993.13</v>
      </c>
      <c r="D14" s="53">
        <v>-983505.02</v>
      </c>
      <c r="E14" s="52">
        <v>2206</v>
      </c>
      <c r="F14" s="54">
        <v>42.475067996373497</v>
      </c>
      <c r="G14" s="55">
        <v>937</v>
      </c>
      <c r="H14" s="55">
        <v>1268</v>
      </c>
      <c r="I14" s="53">
        <v>-466222.45</v>
      </c>
      <c r="J14" s="56">
        <v>0.105697272377515</v>
      </c>
      <c r="K14" s="56">
        <v>0.30174648326251002</v>
      </c>
      <c r="L14" s="54">
        <f>-OPTI4_SORTINO_ALL_DATA[[#This Row],[Net Profit]]/OPTI4_SORTINO_ALL_DATA[[#This Row],[Max Intraday Drawdown]]</f>
        <v>1.6740680548523563</v>
      </c>
      <c r="M14" s="57">
        <v>1.5</v>
      </c>
      <c r="N14" s="54">
        <v>0.18</v>
      </c>
      <c r="O14" s="50">
        <v>0.40965119111218484</v>
      </c>
      <c r="P14" s="72">
        <f>(OPTI4_SORTINO_ALL_DATA[[#This Row],[Net Profit]]-B$74)/ABS(B$74)</f>
        <v>-0.41861010837518486</v>
      </c>
      <c r="Q14" s="72">
        <f>(OPTI4_SORTINO_ALL_DATA[[#This Row],[UPI]]-J$74)/ABS(J$74)</f>
        <v>-0.11748446471795709</v>
      </c>
      <c r="R14" s="72">
        <f>(OPTI4_SORTINO_ALL_DATA[[#This Row],[SORTINO AJUSTADO]]-K$74)/ABS(K$74)</f>
        <v>-7.1444483425583294E-2</v>
      </c>
      <c r="S14" s="72">
        <f>(OPTI4_SORTINO_ALL_DATA[[#This Row],[RECOVERY]]-L$74)/ABS(L$74)</f>
        <v>-0.41929504006635065</v>
      </c>
      <c r="T14" s="72">
        <f>(OPTI4_SORTINO_ALL_DATA[[#This Row],[ROB]]-O$74)/ABS(O$74)</f>
        <v>-0.6823658804545274</v>
      </c>
      <c r="U14" s="72">
        <f>SUM(OPTI4_SORTINO_ALL_DATA[[#This Row],[VAR NET PROFIT]:[VAR ROB]])</f>
        <v>-1.7091999770396034</v>
      </c>
      <c r="V14" s="72">
        <f>OPTI4_SORTINO_ALL_DATA[[#This Row],[SUMA]]-OPTI4_SORTINO_ALL_DATA[[#This Row],[VAR ROB]]</f>
        <v>-1.026834096585076</v>
      </c>
    </row>
    <row r="15" spans="1:22" x14ac:dyDescent="0.25">
      <c r="A15" s="72"/>
      <c r="B15" s="53">
        <v>917631.6</v>
      </c>
      <c r="C15" s="53">
        <v>2014762.08</v>
      </c>
      <c r="D15" s="53">
        <v>-1097130.48</v>
      </c>
      <c r="E15" s="52">
        <v>1841</v>
      </c>
      <c r="F15" s="54">
        <v>42.639869636067402</v>
      </c>
      <c r="G15" s="55">
        <v>785</v>
      </c>
      <c r="H15" s="55">
        <v>1056</v>
      </c>
      <c r="I15" s="53">
        <v>-618243.93000000005</v>
      </c>
      <c r="J15" s="56">
        <v>0.109254801808592</v>
      </c>
      <c r="K15" s="56">
        <v>0.29958527227644899</v>
      </c>
      <c r="L15" s="54">
        <f>-OPTI4_SORTINO_ALL_DATA[[#This Row],[Net Profit]]/OPTI4_SORTINO_ALL_DATA[[#This Row],[Max Intraday Drawdown]]</f>
        <v>1.4842549283096074</v>
      </c>
      <c r="M15" s="57">
        <v>1.5</v>
      </c>
      <c r="N15" s="54">
        <v>0.2</v>
      </c>
      <c r="O15" s="50">
        <v>0.32332822486331086</v>
      </c>
      <c r="P15" s="72">
        <f>(OPTI4_SORTINO_ALL_DATA[[#This Row],[Net Profit]]-B$74)/ABS(B$74)</f>
        <v>-0.31645116736563011</v>
      </c>
      <c r="Q15" s="72">
        <f>(OPTI4_SORTINO_ALL_DATA[[#This Row],[UPI]]-J$74)/ABS(J$74)</f>
        <v>-8.7781001993441035E-2</v>
      </c>
      <c r="R15" s="72">
        <f>(OPTI4_SORTINO_ALL_DATA[[#This Row],[SORTINO AJUSTADO]]-K$74)/ABS(K$74)</f>
        <v>-7.8095113987671244E-2</v>
      </c>
      <c r="S15" s="72">
        <f>(OPTI4_SORTINO_ALL_DATA[[#This Row],[RECOVERY]]-L$74)/ABS(L$74)</f>
        <v>-0.4851378973650099</v>
      </c>
      <c r="T15" s="72">
        <f>(OPTI4_SORTINO_ALL_DATA[[#This Row],[ROB]]-O$74)/ABS(O$74)</f>
        <v>-0.74929872472765868</v>
      </c>
      <c r="U15" s="72">
        <f>SUM(OPTI4_SORTINO_ALL_DATA[[#This Row],[VAR NET PROFIT]:[VAR ROB]])</f>
        <v>-1.7167639054394108</v>
      </c>
      <c r="V15" s="72">
        <f>OPTI4_SORTINO_ALL_DATA[[#This Row],[SUMA]]-OPTI4_SORTINO_ALL_DATA[[#This Row],[VAR ROB]]</f>
        <v>-0.96746518071175214</v>
      </c>
    </row>
    <row r="16" spans="1:22" x14ac:dyDescent="0.25">
      <c r="A16" s="72"/>
      <c r="B16" s="53">
        <v>1059493.01</v>
      </c>
      <c r="C16" s="53">
        <v>2186958.41</v>
      </c>
      <c r="D16" s="53">
        <v>-1127465.3999999999</v>
      </c>
      <c r="E16" s="52">
        <v>1303</v>
      </c>
      <c r="F16" s="54">
        <v>44.0521872601688</v>
      </c>
      <c r="G16" s="55">
        <v>574</v>
      </c>
      <c r="H16" s="55">
        <v>729</v>
      </c>
      <c r="I16" s="53">
        <v>-871902.03</v>
      </c>
      <c r="J16" s="56">
        <v>0.110201124578827</v>
      </c>
      <c r="K16" s="56">
        <v>0.311939426306937</v>
      </c>
      <c r="L16" s="54">
        <f>-OPTI4_SORTINO_ALL_DATA[[#This Row],[Net Profit]]/OPTI4_SORTINO_ALL_DATA[[#This Row],[Max Intraday Drawdown]]</f>
        <v>1.2151514431042212</v>
      </c>
      <c r="M16" s="57">
        <v>1</v>
      </c>
      <c r="N16" s="54">
        <v>0.23</v>
      </c>
      <c r="O16" s="50">
        <v>0.24033095834894042</v>
      </c>
      <c r="P16" s="72">
        <f>(OPTI4_SORTINO_ALL_DATA[[#This Row],[Net Profit]]-B$74)/ABS(B$74)</f>
        <v>-0.21077782176444793</v>
      </c>
      <c r="Q16" s="72">
        <f>(OPTI4_SORTINO_ALL_DATA[[#This Row],[UPI]]-J$74)/ABS(J$74)</f>
        <v>-7.9879714407317975E-2</v>
      </c>
      <c r="R16" s="72">
        <f>(OPTI4_SORTINO_ALL_DATA[[#This Row],[SORTINO AJUSTADO]]-K$74)/ABS(K$74)</f>
        <v>-4.0078041663948939E-2</v>
      </c>
      <c r="S16" s="72">
        <f>(OPTI4_SORTINO_ALL_DATA[[#This Row],[RECOVERY]]-L$74)/ABS(L$74)</f>
        <v>-0.57848519477101723</v>
      </c>
      <c r="T16" s="72">
        <f>(OPTI4_SORTINO_ALL_DATA[[#This Row],[ROB]]-O$74)/ABS(O$74)</f>
        <v>-0.81365289785333494</v>
      </c>
      <c r="U16" s="72">
        <f>SUM(OPTI4_SORTINO_ALL_DATA[[#This Row],[VAR NET PROFIT]:[VAR ROB]])</f>
        <v>-1.7228736704600669</v>
      </c>
      <c r="V16" s="72">
        <f>OPTI4_SORTINO_ALL_DATA[[#This Row],[SUMA]]-OPTI4_SORTINO_ALL_DATA[[#This Row],[VAR ROB]]</f>
        <v>-0.90922077260673195</v>
      </c>
    </row>
    <row r="17" spans="1:22" x14ac:dyDescent="0.25">
      <c r="A17" s="72"/>
      <c r="B17" s="53">
        <v>975763.71</v>
      </c>
      <c r="C17" s="53">
        <v>2125420.79</v>
      </c>
      <c r="D17" s="53">
        <v>-1149657.08</v>
      </c>
      <c r="E17" s="52">
        <v>1918</v>
      </c>
      <c r="F17" s="54">
        <v>42.283628779979097</v>
      </c>
      <c r="G17" s="55">
        <v>811</v>
      </c>
      <c r="H17" s="55">
        <v>1107</v>
      </c>
      <c r="I17" s="53">
        <v>-645162.82999999903</v>
      </c>
      <c r="J17" s="56">
        <v>0.103110713171376</v>
      </c>
      <c r="K17" s="56">
        <v>0.29828720187522101</v>
      </c>
      <c r="L17" s="54">
        <f>-OPTI4_SORTINO_ALL_DATA[[#This Row],[Net Profit]]/OPTI4_SORTINO_ALL_DATA[[#This Row],[Max Intraday Drawdown]]</f>
        <v>1.5124301410854706</v>
      </c>
      <c r="M17" s="57">
        <v>0</v>
      </c>
      <c r="N17" s="54">
        <v>0.2</v>
      </c>
      <c r="O17" s="50">
        <v>0.31359229998299165</v>
      </c>
      <c r="P17" s="72">
        <f>(OPTI4_SORTINO_ALL_DATA[[#This Row],[Net Profit]]-B$74)/ABS(B$74)</f>
        <v>-0.2731482384679409</v>
      </c>
      <c r="Q17" s="72">
        <f>(OPTI4_SORTINO_ALL_DATA[[#This Row],[UPI]]-J$74)/ABS(J$74)</f>
        <v>-0.13908084682885485</v>
      </c>
      <c r="R17" s="72">
        <f>(OPTI4_SORTINO_ALL_DATA[[#This Row],[SORTINO AJUSTADO]]-K$74)/ABS(K$74)</f>
        <v>-8.2089627590381922E-2</v>
      </c>
      <c r="S17" s="72">
        <f>(OPTI4_SORTINO_ALL_DATA[[#This Row],[RECOVERY]]-L$74)/ABS(L$74)</f>
        <v>-0.47536440831317284</v>
      </c>
      <c r="T17" s="72">
        <f>(OPTI4_SORTINO_ALL_DATA[[#This Row],[ROB]]-O$74)/ABS(O$74)</f>
        <v>-0.75684773714215992</v>
      </c>
      <c r="U17" s="72">
        <f>SUM(OPTI4_SORTINO_ALL_DATA[[#This Row],[VAR NET PROFIT]:[VAR ROB]])</f>
        <v>-1.7265308583425103</v>
      </c>
      <c r="V17" s="72">
        <f>OPTI4_SORTINO_ALL_DATA[[#This Row],[SUMA]]-OPTI4_SORTINO_ALL_DATA[[#This Row],[VAR ROB]]</f>
        <v>-0.96968312120035038</v>
      </c>
    </row>
    <row r="18" spans="1:22" x14ac:dyDescent="0.25">
      <c r="A18" s="72"/>
      <c r="B18" s="53">
        <v>1068054.1399999999</v>
      </c>
      <c r="C18" s="53">
        <v>2216190.7999999998</v>
      </c>
      <c r="D18" s="53">
        <v>-1148136.6599999999</v>
      </c>
      <c r="E18" s="52">
        <v>1495</v>
      </c>
      <c r="F18" s="54">
        <v>42.675585284280899</v>
      </c>
      <c r="G18" s="55">
        <v>638</v>
      </c>
      <c r="H18" s="55">
        <v>857</v>
      </c>
      <c r="I18" s="53">
        <v>-823723.25000000198</v>
      </c>
      <c r="J18" s="56">
        <v>0.107914018950777</v>
      </c>
      <c r="K18" s="56">
        <v>0.29794374397509799</v>
      </c>
      <c r="L18" s="54">
        <f>-OPTI4_SORTINO_ALL_DATA[[#This Row],[Net Profit]]/OPTI4_SORTINO_ALL_DATA[[#This Row],[Max Intraday Drawdown]]</f>
        <v>1.2966176928962456</v>
      </c>
      <c r="M18" s="57">
        <v>0</v>
      </c>
      <c r="N18" s="54">
        <v>0.23</v>
      </c>
      <c r="O18" s="50">
        <v>0.24905645052055322</v>
      </c>
      <c r="P18" s="72">
        <f>(OPTI4_SORTINO_ALL_DATA[[#This Row],[Net Profit]]-B$74)/ABS(B$74)</f>
        <v>-0.20440058887759988</v>
      </c>
      <c r="Q18" s="72">
        <f>(OPTI4_SORTINO_ALL_DATA[[#This Row],[UPI]]-J$74)/ABS(J$74)</f>
        <v>-9.8975819748391022E-2</v>
      </c>
      <c r="R18" s="72">
        <f>(OPTI4_SORTINO_ALL_DATA[[#This Row],[SORTINO AJUSTADO]]-K$74)/ABS(K$74)</f>
        <v>-8.3146540414757233E-2</v>
      </c>
      <c r="S18" s="72">
        <f>(OPTI4_SORTINO_ALL_DATA[[#This Row],[RECOVERY]]-L$74)/ABS(L$74)</f>
        <v>-0.55022597604672563</v>
      </c>
      <c r="T18" s="72">
        <f>(OPTI4_SORTINO_ALL_DATA[[#This Row],[ROB]]-O$74)/ABS(O$74)</f>
        <v>-0.80688735174078341</v>
      </c>
      <c r="U18" s="72">
        <f>SUM(OPTI4_SORTINO_ALL_DATA[[#This Row],[VAR NET PROFIT]:[VAR ROB]])</f>
        <v>-1.7436362768282572</v>
      </c>
      <c r="V18" s="72">
        <f>OPTI4_SORTINO_ALL_DATA[[#This Row],[SUMA]]-OPTI4_SORTINO_ALL_DATA[[#This Row],[VAR ROB]]</f>
        <v>-0.93674892508747376</v>
      </c>
    </row>
    <row r="19" spans="1:22" x14ac:dyDescent="0.25">
      <c r="A19" s="72"/>
      <c r="B19" s="53">
        <v>797566.97</v>
      </c>
      <c r="C19" s="53">
        <v>1676707.34</v>
      </c>
      <c r="D19" s="53">
        <v>-879140.37</v>
      </c>
      <c r="E19" s="52">
        <v>1832</v>
      </c>
      <c r="F19" s="54">
        <v>43.122270742358097</v>
      </c>
      <c r="G19" s="55">
        <v>790</v>
      </c>
      <c r="H19" s="55">
        <v>1042</v>
      </c>
      <c r="I19" s="53">
        <v>-479920.06000000099</v>
      </c>
      <c r="J19" s="56">
        <v>0.102306126411598</v>
      </c>
      <c r="K19" s="56">
        <v>0.304201441190522</v>
      </c>
      <c r="L19" s="54">
        <f>-OPTI4_SORTINO_ALL_DATA[[#This Row],[Net Profit]]/OPTI4_SORTINO_ALL_DATA[[#This Row],[Max Intraday Drawdown]]</f>
        <v>1.661874625536591</v>
      </c>
      <c r="M19" s="57">
        <v>1</v>
      </c>
      <c r="N19" s="54">
        <v>0.19</v>
      </c>
      <c r="O19" s="50">
        <v>0.37070484272199039</v>
      </c>
      <c r="P19" s="72">
        <f>(OPTI4_SORTINO_ALL_DATA[[#This Row],[Net Profit]]-B$74)/ABS(B$74)</f>
        <v>-0.4058879715005112</v>
      </c>
      <c r="Q19" s="72">
        <f>(OPTI4_SORTINO_ALL_DATA[[#This Row],[UPI]]-J$74)/ABS(J$74)</f>
        <v>-0.14579871474554271</v>
      </c>
      <c r="R19" s="72">
        <f>(OPTI4_SORTINO_ALL_DATA[[#This Row],[SORTINO AJUSTADO]]-K$74)/ABS(K$74)</f>
        <v>-6.3889914098488682E-2</v>
      </c>
      <c r="S19" s="72">
        <f>(OPTI4_SORTINO_ALL_DATA[[#This Row],[RECOVERY]]-L$74)/ABS(L$74)</f>
        <v>-0.42352472765983967</v>
      </c>
      <c r="T19" s="72">
        <f>(OPTI4_SORTINO_ALL_DATA[[#This Row],[ROB]]-O$74)/ABS(O$74)</f>
        <v>-0.71256398398461795</v>
      </c>
      <c r="U19" s="72">
        <f>SUM(OPTI4_SORTINO_ALL_DATA[[#This Row],[VAR NET PROFIT]:[VAR ROB]])</f>
        <v>-1.751665311989</v>
      </c>
      <c r="V19" s="72">
        <f>OPTI4_SORTINO_ALL_DATA[[#This Row],[SUMA]]-OPTI4_SORTINO_ALL_DATA[[#This Row],[VAR ROB]]</f>
        <v>-1.0391013280043819</v>
      </c>
    </row>
    <row r="20" spans="1:22" x14ac:dyDescent="0.25">
      <c r="A20" s="72"/>
      <c r="B20" s="53">
        <v>331525.62</v>
      </c>
      <c r="C20" s="53">
        <v>622193.03</v>
      </c>
      <c r="D20" s="53">
        <v>-290667.40999999997</v>
      </c>
      <c r="E20" s="52">
        <v>993</v>
      </c>
      <c r="F20" s="54">
        <v>45.317220543806599</v>
      </c>
      <c r="G20" s="55">
        <v>450</v>
      </c>
      <c r="H20" s="55">
        <v>543</v>
      </c>
      <c r="I20" s="53">
        <v>-136670.60999999999</v>
      </c>
      <c r="J20" s="56">
        <v>0.113400083312371</v>
      </c>
      <c r="K20" s="56">
        <v>0.28378304065684401</v>
      </c>
      <c r="L20" s="54">
        <f>-OPTI4_SORTINO_ALL_DATA[[#This Row],[Net Profit]]/OPTI4_SORTINO_ALL_DATA[[#This Row],[Max Intraday Drawdown]]</f>
        <v>2.4257272284070441</v>
      </c>
      <c r="M20" s="57">
        <v>0.5</v>
      </c>
      <c r="N20" s="54">
        <v>0.16</v>
      </c>
      <c r="O20" s="50">
        <v>0.41740479519996254</v>
      </c>
      <c r="P20" s="72">
        <f>(OPTI4_SORTINO_ALL_DATA[[#This Row],[Net Profit]]-B$74)/ABS(B$74)</f>
        <v>-0.75304473980692721</v>
      </c>
      <c r="Q20" s="72">
        <f>(OPTI4_SORTINO_ALL_DATA[[#This Row],[UPI]]-J$74)/ABS(J$74)</f>
        <v>-5.3170124693446424E-2</v>
      </c>
      <c r="R20" s="72">
        <f>(OPTI4_SORTINO_ALL_DATA[[#This Row],[SORTINO AJUSTADO]]-K$74)/ABS(K$74)</f>
        <v>-0.12672285335988329</v>
      </c>
      <c r="S20" s="72">
        <f>(OPTI4_SORTINO_ALL_DATA[[#This Row],[RECOVERY]]-L$74)/ABS(L$74)</f>
        <v>-0.15855760529024104</v>
      </c>
      <c r="T20" s="72">
        <f>(OPTI4_SORTINO_ALL_DATA[[#This Row],[ROB]]-O$74)/ABS(O$74)</f>
        <v>-0.67635391402758005</v>
      </c>
      <c r="U20" s="72">
        <f>SUM(OPTI4_SORTINO_ALL_DATA[[#This Row],[VAR NET PROFIT]:[VAR ROB]])</f>
        <v>-1.7678492371780781</v>
      </c>
      <c r="V20" s="72">
        <f>OPTI4_SORTINO_ALL_DATA[[#This Row],[SUMA]]-OPTI4_SORTINO_ALL_DATA[[#This Row],[VAR ROB]]</f>
        <v>-1.091495323150498</v>
      </c>
    </row>
    <row r="21" spans="1:22" x14ac:dyDescent="0.25">
      <c r="A21" s="72"/>
      <c r="B21" s="53">
        <v>792324.18</v>
      </c>
      <c r="C21" s="53">
        <v>1775593.65</v>
      </c>
      <c r="D21" s="53">
        <v>-983269.47</v>
      </c>
      <c r="E21" s="52">
        <v>2023</v>
      </c>
      <c r="F21" s="54">
        <v>42.362827483934801</v>
      </c>
      <c r="G21" s="55">
        <v>857</v>
      </c>
      <c r="H21" s="55">
        <v>1166</v>
      </c>
      <c r="I21" s="53">
        <v>-481936.11</v>
      </c>
      <c r="J21" s="56">
        <v>0.103594884869184</v>
      </c>
      <c r="K21" s="56">
        <v>0.29314413199962103</v>
      </c>
      <c r="L21" s="54">
        <f>-OPTI4_SORTINO_ALL_DATA[[#This Row],[Net Profit]]/OPTI4_SORTINO_ALL_DATA[[#This Row],[Max Intraday Drawdown]]</f>
        <v>1.6440440206897966</v>
      </c>
      <c r="M21" s="57">
        <v>1.5</v>
      </c>
      <c r="N21" s="54">
        <v>0.19</v>
      </c>
      <c r="O21" s="50">
        <v>0.37555652091613867</v>
      </c>
      <c r="P21" s="72">
        <f>(OPTI4_SORTINO_ALL_DATA[[#This Row],[Net Profit]]-B$74)/ABS(B$74)</f>
        <v>-0.40979335464582473</v>
      </c>
      <c r="Q21" s="72">
        <f>(OPTI4_SORTINO_ALL_DATA[[#This Row],[UPI]]-J$74)/ABS(J$74)</f>
        <v>-0.13503827283003578</v>
      </c>
      <c r="R21" s="72">
        <f>(OPTI4_SORTINO_ALL_DATA[[#This Row],[SORTINO AJUSTADO]]-K$74)/ABS(K$74)</f>
        <v>-9.7916244204042394E-2</v>
      </c>
      <c r="S21" s="72">
        <f>(OPTI4_SORTINO_ALL_DATA[[#This Row],[RECOVERY]]-L$74)/ABS(L$74)</f>
        <v>-0.42970985295575465</v>
      </c>
      <c r="T21" s="72">
        <f>(OPTI4_SORTINO_ALL_DATA[[#This Row],[ROB]]-O$74)/ABS(O$74)</f>
        <v>-0.70880210420750234</v>
      </c>
      <c r="U21" s="72">
        <f>SUM(OPTI4_SORTINO_ALL_DATA[[#This Row],[VAR NET PROFIT]:[VAR ROB]])</f>
        <v>-1.7812598288431598</v>
      </c>
      <c r="V21" s="72">
        <f>OPTI4_SORTINO_ALL_DATA[[#This Row],[SUMA]]-OPTI4_SORTINO_ALL_DATA[[#This Row],[VAR ROB]]</f>
        <v>-1.0724577246356575</v>
      </c>
    </row>
    <row r="22" spans="1:22" x14ac:dyDescent="0.25">
      <c r="A22" s="72"/>
      <c r="B22" s="53">
        <v>718648.66</v>
      </c>
      <c r="C22" s="53">
        <v>1576684.28</v>
      </c>
      <c r="D22" s="53">
        <v>-858035.62</v>
      </c>
      <c r="E22" s="52">
        <v>2006</v>
      </c>
      <c r="F22" s="54">
        <v>42.671984047856398</v>
      </c>
      <c r="G22" s="55">
        <v>856</v>
      </c>
      <c r="H22" s="55">
        <v>1150</v>
      </c>
      <c r="I22" s="53">
        <v>-426236.5</v>
      </c>
      <c r="J22" s="56">
        <v>0.102306158338986</v>
      </c>
      <c r="K22" s="56">
        <v>0.30374879994848802</v>
      </c>
      <c r="L22" s="54">
        <f>-OPTI4_SORTINO_ALL_DATA[[#This Row],[Net Profit]]/OPTI4_SORTINO_ALL_DATA[[#This Row],[Max Intraday Drawdown]]</f>
        <v>1.6860326602719382</v>
      </c>
      <c r="M22" s="57">
        <v>1</v>
      </c>
      <c r="N22" s="54">
        <v>0.18</v>
      </c>
      <c r="O22" s="50">
        <v>0.37908058436943964</v>
      </c>
      <c r="P22" s="72">
        <f>(OPTI4_SORTINO_ALL_DATA[[#This Row],[Net Profit]]-B$74)/ABS(B$74)</f>
        <v>-0.46467465525679996</v>
      </c>
      <c r="Q22" s="72">
        <f>(OPTI4_SORTINO_ALL_DATA[[#This Row],[UPI]]-J$74)/ABS(J$74)</f>
        <v>-0.14579844816897669</v>
      </c>
      <c r="R22" s="72">
        <f>(OPTI4_SORTINO_ALL_DATA[[#This Row],[SORTINO AJUSTADO]]-K$74)/ABS(K$74)</f>
        <v>-6.5282813587408658E-2</v>
      </c>
      <c r="S22" s="72">
        <f>(OPTI4_SORTINO_ALL_DATA[[#This Row],[RECOVERY]]-L$74)/ABS(L$74)</f>
        <v>-0.41514472748457631</v>
      </c>
      <c r="T22" s="72">
        <f>(OPTI4_SORTINO_ALL_DATA[[#This Row],[ROB]]-O$74)/ABS(O$74)</f>
        <v>-0.70606962639101511</v>
      </c>
      <c r="U22" s="72">
        <f>SUM(OPTI4_SORTINO_ALL_DATA[[#This Row],[VAR NET PROFIT]:[VAR ROB]])</f>
        <v>-1.7969702708887767</v>
      </c>
      <c r="V22" s="72">
        <f>OPTI4_SORTINO_ALL_DATA[[#This Row],[SUMA]]-OPTI4_SORTINO_ALL_DATA[[#This Row],[VAR ROB]]</f>
        <v>-1.0909006444977616</v>
      </c>
    </row>
    <row r="23" spans="1:22" x14ac:dyDescent="0.25">
      <c r="A23" s="72"/>
      <c r="B23" s="53">
        <v>418786.04</v>
      </c>
      <c r="C23" s="53">
        <v>755560.82</v>
      </c>
      <c r="D23" s="53">
        <v>-336774.78</v>
      </c>
      <c r="E23" s="52">
        <v>891</v>
      </c>
      <c r="F23" s="54">
        <v>47.699214365880998</v>
      </c>
      <c r="G23" s="55">
        <v>425</v>
      </c>
      <c r="H23" s="55">
        <v>466</v>
      </c>
      <c r="I23" s="53">
        <v>-190217.58</v>
      </c>
      <c r="J23" s="56">
        <v>0.114597965280296</v>
      </c>
      <c r="K23" s="56">
        <v>0.28828986220272401</v>
      </c>
      <c r="L23" s="54">
        <f>-OPTI4_SORTINO_ALL_DATA[[#This Row],[Net Profit]]/OPTI4_SORTINO_ALL_DATA[[#This Row],[Max Intraday Drawdown]]</f>
        <v>2.2016158548542148</v>
      </c>
      <c r="M23" s="57">
        <v>0.5</v>
      </c>
      <c r="N23" s="54">
        <v>0.18</v>
      </c>
      <c r="O23" s="50">
        <v>0.33632118430705504</v>
      </c>
      <c r="P23" s="72">
        <f>(OPTI4_SORTINO_ALL_DATA[[#This Row],[Net Profit]]-B$74)/ABS(B$74)</f>
        <v>-0.68804397236802817</v>
      </c>
      <c r="Q23" s="72">
        <f>(OPTI4_SORTINO_ALL_DATA[[#This Row],[UPI]]-J$74)/ABS(J$74)</f>
        <v>-4.3168452726432376E-2</v>
      </c>
      <c r="R23" s="72">
        <f>(OPTI4_SORTINO_ALL_DATA[[#This Row],[SORTINO AJUSTADO]]-K$74)/ABS(K$74)</f>
        <v>-0.11285414488846544</v>
      </c>
      <c r="S23" s="72">
        <f>(OPTI4_SORTINO_ALL_DATA[[#This Row],[RECOVERY]]-L$74)/ABS(L$74)</f>
        <v>-0.23629792523867271</v>
      </c>
      <c r="T23" s="72">
        <f>(OPTI4_SORTINO_ALL_DATA[[#This Row],[ROB]]-O$74)/ABS(O$74)</f>
        <v>-0.73922428256138784</v>
      </c>
      <c r="U23" s="72">
        <f>SUM(OPTI4_SORTINO_ALL_DATA[[#This Row],[VAR NET PROFIT]:[VAR ROB]])</f>
        <v>-1.8195887777829864</v>
      </c>
      <c r="V23" s="72">
        <f>OPTI4_SORTINO_ALL_DATA[[#This Row],[SUMA]]-OPTI4_SORTINO_ALL_DATA[[#This Row],[VAR ROB]]</f>
        <v>-1.0803644952215987</v>
      </c>
    </row>
    <row r="24" spans="1:22" x14ac:dyDescent="0.25">
      <c r="A24" s="72"/>
      <c r="B24" s="53">
        <v>538160.18000000005</v>
      </c>
      <c r="C24" s="53">
        <v>932149.48</v>
      </c>
      <c r="D24" s="53">
        <v>-393989.3</v>
      </c>
      <c r="E24" s="52">
        <v>792</v>
      </c>
      <c r="F24" s="54">
        <v>48.989898989898997</v>
      </c>
      <c r="G24" s="55">
        <v>388</v>
      </c>
      <c r="H24" s="55">
        <v>404</v>
      </c>
      <c r="I24" s="53">
        <v>-265371.8</v>
      </c>
      <c r="J24" s="56">
        <v>0.117104820206568</v>
      </c>
      <c r="K24" s="56">
        <v>0.28313672568126103</v>
      </c>
      <c r="L24" s="54">
        <f>-OPTI4_SORTINO_ALL_DATA[[#This Row],[Net Profit]]/OPTI4_SORTINO_ALL_DATA[[#This Row],[Max Intraday Drawdown]]</f>
        <v>2.0279478829325499</v>
      </c>
      <c r="M24" s="57">
        <v>0.5</v>
      </c>
      <c r="N24" s="54">
        <v>0.2</v>
      </c>
      <c r="O24" s="50">
        <v>0.25683657993579889</v>
      </c>
      <c r="P24" s="72">
        <f>(OPTI4_SORTINO_ALL_DATA[[#This Row],[Net Profit]]-B$74)/ABS(B$74)</f>
        <v>-0.59912151803697433</v>
      </c>
      <c r="Q24" s="72">
        <f>(OPTI4_SORTINO_ALL_DATA[[#This Row],[UPI]]-J$74)/ABS(J$74)</f>
        <v>-2.2237558604286754E-2</v>
      </c>
      <c r="R24" s="72">
        <f>(OPTI4_SORTINO_ALL_DATA[[#This Row],[SORTINO AJUSTADO]]-K$74)/ABS(K$74)</f>
        <v>-0.12871173929331151</v>
      </c>
      <c r="S24" s="72">
        <f>(OPTI4_SORTINO_ALL_DATA[[#This Row],[RECOVERY]]-L$74)/ABS(L$74)</f>
        <v>-0.29654031047755897</v>
      </c>
      <c r="T24" s="72">
        <f>(OPTI4_SORTINO_ALL_DATA[[#This Row],[ROB]]-O$74)/ABS(O$74)</f>
        <v>-0.80085481818448601</v>
      </c>
      <c r="U24" s="72">
        <f>SUM(OPTI4_SORTINO_ALL_DATA[[#This Row],[VAR NET PROFIT]:[VAR ROB]])</f>
        <v>-1.8474659445966175</v>
      </c>
      <c r="V24" s="72">
        <f>OPTI4_SORTINO_ALL_DATA[[#This Row],[SUMA]]-OPTI4_SORTINO_ALL_DATA[[#This Row],[VAR ROB]]</f>
        <v>-1.0466111264121314</v>
      </c>
    </row>
    <row r="25" spans="1:22" x14ac:dyDescent="0.25">
      <c r="A25" s="72"/>
      <c r="B25" s="53">
        <v>685591.02</v>
      </c>
      <c r="C25" s="53">
        <v>1121468.28</v>
      </c>
      <c r="D25" s="53">
        <v>-435877.26</v>
      </c>
      <c r="E25" s="52">
        <v>664</v>
      </c>
      <c r="F25" s="54">
        <v>50.602409638554199</v>
      </c>
      <c r="G25" s="55">
        <v>336</v>
      </c>
      <c r="H25" s="55">
        <v>328</v>
      </c>
      <c r="I25" s="53">
        <v>-391727.30000000098</v>
      </c>
      <c r="J25" s="56">
        <v>0.11396939311995</v>
      </c>
      <c r="K25" s="56">
        <v>0.28490670743352098</v>
      </c>
      <c r="L25" s="54">
        <f>-OPTI4_SORTINO_ALL_DATA[[#This Row],[Net Profit]]/OPTI4_SORTINO_ALL_DATA[[#This Row],[Max Intraday Drawdown]]</f>
        <v>1.7501742155831321</v>
      </c>
      <c r="M25" s="57">
        <v>0.5</v>
      </c>
      <c r="N25" s="54">
        <v>0.23</v>
      </c>
      <c r="O25" s="50">
        <v>0.25532354092068982</v>
      </c>
      <c r="P25" s="72">
        <f>(OPTI4_SORTINO_ALL_DATA[[#This Row],[Net Profit]]-B$74)/ABS(B$74)</f>
        <v>-0.4892994733555307</v>
      </c>
      <c r="Q25" s="72">
        <f>(OPTI4_SORTINO_ALL_DATA[[#This Row],[UPI]]-J$74)/ABS(J$74)</f>
        <v>-4.8416693140526108E-2</v>
      </c>
      <c r="R25" s="72">
        <f>(OPTI4_SORTINO_ALL_DATA[[#This Row],[SORTINO AJUSTADO]]-K$74)/ABS(K$74)</f>
        <v>-0.12326502686595502</v>
      </c>
      <c r="S25" s="72">
        <f>(OPTI4_SORTINO_ALL_DATA[[#This Row],[RECOVERY]]-L$74)/ABS(L$74)</f>
        <v>-0.39289514258920372</v>
      </c>
      <c r="T25" s="72">
        <f>(OPTI4_SORTINO_ALL_DATA[[#This Row],[ROB]]-O$74)/ABS(O$74)</f>
        <v>-0.80202799386621026</v>
      </c>
      <c r="U25" s="72">
        <f>SUM(OPTI4_SORTINO_ALL_DATA[[#This Row],[VAR NET PROFIT]:[VAR ROB]])</f>
        <v>-1.8559043298174258</v>
      </c>
      <c r="V25" s="72">
        <f>OPTI4_SORTINO_ALL_DATA[[#This Row],[SUMA]]-OPTI4_SORTINO_ALL_DATA[[#This Row],[VAR ROB]]</f>
        <v>-1.0538763359512155</v>
      </c>
    </row>
    <row r="26" spans="1:22" x14ac:dyDescent="0.25">
      <c r="A26" s="72"/>
      <c r="B26" s="53">
        <v>462074.62</v>
      </c>
      <c r="C26" s="53">
        <v>815246.52</v>
      </c>
      <c r="D26" s="53">
        <v>-353171.9</v>
      </c>
      <c r="E26" s="52">
        <v>834</v>
      </c>
      <c r="F26" s="54">
        <v>49.040767386091098</v>
      </c>
      <c r="G26" s="55">
        <v>409</v>
      </c>
      <c r="H26" s="55">
        <v>425</v>
      </c>
      <c r="I26" s="53">
        <v>-214876.79999999999</v>
      </c>
      <c r="J26" s="56">
        <v>0.11374316690337601</v>
      </c>
      <c r="K26" s="56">
        <v>0.28137902821098099</v>
      </c>
      <c r="L26" s="54">
        <f>-OPTI4_SORTINO_ALL_DATA[[#This Row],[Net Profit]]/OPTI4_SORTINO_ALL_DATA[[#This Row],[Max Intraday Drawdown]]</f>
        <v>2.1504165177441212</v>
      </c>
      <c r="M26" s="57">
        <v>0.5</v>
      </c>
      <c r="N26" s="54">
        <v>0.19</v>
      </c>
      <c r="O26" s="50">
        <v>0.28646012112708824</v>
      </c>
      <c r="P26" s="72">
        <f>(OPTI4_SORTINO_ALL_DATA[[#This Row],[Net Profit]]-B$74)/ABS(B$74)</f>
        <v>-0.65579807071708285</v>
      </c>
      <c r="Q26" s="72">
        <f>(OPTI4_SORTINO_ALL_DATA[[#This Row],[UPI]]-J$74)/ABS(J$74)</f>
        <v>-5.0305560716044535E-2</v>
      </c>
      <c r="R26" s="72">
        <f>(OPTI4_SORTINO_ALL_DATA[[#This Row],[SORTINO AJUSTADO]]-K$74)/ABS(K$74)</f>
        <v>-0.13412064966353621</v>
      </c>
      <c r="S26" s="72">
        <f>(OPTI4_SORTINO_ALL_DATA[[#This Row],[RECOVERY]]-L$74)/ABS(L$74)</f>
        <v>-0.25405808075861575</v>
      </c>
      <c r="T26" s="72">
        <f>(OPTI4_SORTINO_ALL_DATA[[#This Row],[ROB]]-O$74)/ABS(O$74)</f>
        <v>-0.77788540511243331</v>
      </c>
      <c r="U26" s="72">
        <f>SUM(OPTI4_SORTINO_ALL_DATA[[#This Row],[VAR NET PROFIT]:[VAR ROB]])</f>
        <v>-1.8721677669677126</v>
      </c>
      <c r="V26" s="72">
        <f>OPTI4_SORTINO_ALL_DATA[[#This Row],[SUMA]]-OPTI4_SORTINO_ALL_DATA[[#This Row],[VAR ROB]]</f>
        <v>-1.0942823618552793</v>
      </c>
    </row>
    <row r="27" spans="1:22" x14ac:dyDescent="0.25">
      <c r="A27" s="72"/>
      <c r="B27" s="53">
        <v>359079.27</v>
      </c>
      <c r="C27" s="53">
        <v>667119.26</v>
      </c>
      <c r="D27" s="53">
        <v>-308039.99</v>
      </c>
      <c r="E27" s="52">
        <v>949</v>
      </c>
      <c r="F27" s="54">
        <v>45.943097997892501</v>
      </c>
      <c r="G27" s="55">
        <v>436</v>
      </c>
      <c r="H27" s="55">
        <v>513</v>
      </c>
      <c r="I27" s="53">
        <v>-159234.22</v>
      </c>
      <c r="J27" s="56">
        <v>0.11071182809693</v>
      </c>
      <c r="K27" s="56">
        <v>0.275916374090662</v>
      </c>
      <c r="L27" s="54">
        <f>-OPTI4_SORTINO_ALL_DATA[[#This Row],[Net Profit]]/OPTI4_SORTINO_ALL_DATA[[#This Row],[Max Intraday Drawdown]]</f>
        <v>2.2550383328407677</v>
      </c>
      <c r="M27" s="57">
        <v>0.5</v>
      </c>
      <c r="N27" s="54">
        <v>0.17</v>
      </c>
      <c r="O27" s="50">
        <v>0.38530675385244512</v>
      </c>
      <c r="P27" s="72">
        <f>(OPTI4_SORTINO_ALL_DATA[[#This Row],[Net Profit]]-B$74)/ABS(B$74)</f>
        <v>-0.73251987417205144</v>
      </c>
      <c r="Q27" s="72">
        <f>(OPTI4_SORTINO_ALL_DATA[[#This Row],[UPI]]-J$74)/ABS(J$74)</f>
        <v>-7.5615613938960227E-2</v>
      </c>
      <c r="R27" s="72">
        <f>(OPTI4_SORTINO_ALL_DATA[[#This Row],[SORTINO AJUSTADO]]-K$74)/ABS(K$74)</f>
        <v>-0.15093071340882719</v>
      </c>
      <c r="S27" s="72">
        <f>(OPTI4_SORTINO_ALL_DATA[[#This Row],[RECOVERY]]-L$74)/ABS(L$74)</f>
        <v>-0.21776660099004563</v>
      </c>
      <c r="T27" s="72">
        <f>(OPTI4_SORTINO_ALL_DATA[[#This Row],[ROB]]-O$74)/ABS(O$74)</f>
        <v>-0.7012419976551969</v>
      </c>
      <c r="U27" s="72">
        <f>SUM(OPTI4_SORTINO_ALL_DATA[[#This Row],[VAR NET PROFIT]:[VAR ROB]])</f>
        <v>-1.8780748001650813</v>
      </c>
      <c r="V27" s="72">
        <f>OPTI4_SORTINO_ALL_DATA[[#This Row],[SUMA]]-OPTI4_SORTINO_ALL_DATA[[#This Row],[VAR ROB]]</f>
        <v>-1.1768328025098844</v>
      </c>
    </row>
    <row r="28" spans="1:22" x14ac:dyDescent="0.25">
      <c r="A28" s="72"/>
      <c r="B28" s="53">
        <v>705499.59</v>
      </c>
      <c r="C28" s="53">
        <v>1647497.47</v>
      </c>
      <c r="D28" s="53">
        <v>-941997.88</v>
      </c>
      <c r="E28" s="52">
        <v>2306</v>
      </c>
      <c r="F28" s="54">
        <v>41.6305290546401</v>
      </c>
      <c r="G28" s="55">
        <v>960</v>
      </c>
      <c r="H28" s="55">
        <v>1346</v>
      </c>
      <c r="I28" s="53">
        <v>-416835.55</v>
      </c>
      <c r="J28" s="56">
        <v>9.5540165856787901E-2</v>
      </c>
      <c r="K28" s="56">
        <v>0.293160912629577</v>
      </c>
      <c r="L28" s="54">
        <f>-OPTI4_SORTINO_ALL_DATA[[#This Row],[Net Profit]]/OPTI4_SORTINO_ALL_DATA[[#This Row],[Max Intraday Drawdown]]</f>
        <v>1.6925130066281535</v>
      </c>
      <c r="M28" s="57">
        <v>0</v>
      </c>
      <c r="N28" s="54">
        <v>0.18</v>
      </c>
      <c r="O28" s="50">
        <v>0.38458222993174446</v>
      </c>
      <c r="P28" s="72">
        <f>(OPTI4_SORTINO_ALL_DATA[[#This Row],[Net Profit]]-B$74)/ABS(B$74)</f>
        <v>-0.4744694699174194</v>
      </c>
      <c r="Q28" s="72">
        <f>(OPTI4_SORTINO_ALL_DATA[[#This Row],[UPI]]-J$74)/ABS(J$74)</f>
        <v>-0.20229085656164175</v>
      </c>
      <c r="R28" s="72">
        <f>(OPTI4_SORTINO_ALL_DATA[[#This Row],[SORTINO AJUSTADO]]-K$74)/ABS(K$74)</f>
        <v>-9.7864605668445431E-2</v>
      </c>
      <c r="S28" s="72">
        <f>(OPTI4_SORTINO_ALL_DATA[[#This Row],[RECOVERY]]-L$74)/ABS(L$74)</f>
        <v>-0.41289680855425898</v>
      </c>
      <c r="T28" s="72">
        <f>(OPTI4_SORTINO_ALL_DATA[[#This Row],[ROB]]-O$74)/ABS(O$74)</f>
        <v>-0.70180377685329109</v>
      </c>
      <c r="U28" s="72">
        <f>SUM(OPTI4_SORTINO_ALL_DATA[[#This Row],[VAR NET PROFIT]:[VAR ROB]])</f>
        <v>-1.8893255175550565</v>
      </c>
      <c r="V28" s="72">
        <f>OPTI4_SORTINO_ALL_DATA[[#This Row],[SUMA]]-OPTI4_SORTINO_ALL_DATA[[#This Row],[VAR ROB]]</f>
        <v>-1.1875217407017655</v>
      </c>
    </row>
    <row r="29" spans="1:22" x14ac:dyDescent="0.25">
      <c r="A29" s="72"/>
      <c r="B29" s="53">
        <v>618375.81000000006</v>
      </c>
      <c r="C29" s="53">
        <v>1046926.27</v>
      </c>
      <c r="D29" s="53">
        <v>-428550.46</v>
      </c>
      <c r="E29" s="52">
        <v>703</v>
      </c>
      <c r="F29" s="54">
        <v>49.502133712659997</v>
      </c>
      <c r="G29" s="55">
        <v>348</v>
      </c>
      <c r="H29" s="55">
        <v>355</v>
      </c>
      <c r="I29" s="53">
        <v>-353522.16</v>
      </c>
      <c r="J29" s="56">
        <v>0.11307260672387801</v>
      </c>
      <c r="K29" s="56">
        <v>0.28753860302989998</v>
      </c>
      <c r="L29" s="54">
        <f>-OPTI4_SORTINO_ALL_DATA[[#This Row],[Net Profit]]/OPTI4_SORTINO_ALL_DATA[[#This Row],[Max Intraday Drawdown]]</f>
        <v>1.7491854258867396</v>
      </c>
      <c r="M29" s="57">
        <v>0.5</v>
      </c>
      <c r="N29" s="54">
        <v>0.22</v>
      </c>
      <c r="O29" s="50">
        <v>0.24489225603433848</v>
      </c>
      <c r="P29" s="72">
        <f>(OPTI4_SORTINO_ALL_DATA[[#This Row],[Net Profit]]-B$74)/ABS(B$74)</f>
        <v>-0.53936845346778273</v>
      </c>
      <c r="Q29" s="72">
        <f>(OPTI4_SORTINO_ALL_DATA[[#This Row],[UPI]]-J$74)/ABS(J$74)</f>
        <v>-5.5904378570443489E-2</v>
      </c>
      <c r="R29" s="72">
        <f>(OPTI4_SORTINO_ALL_DATA[[#This Row],[SORTINO AJUSTADO]]-K$74)/ABS(K$74)</f>
        <v>-0.11516597249208996</v>
      </c>
      <c r="S29" s="72">
        <f>(OPTI4_SORTINO_ALL_DATA[[#This Row],[RECOVERY]]-L$74)/ABS(L$74)</f>
        <v>-0.39323813645935257</v>
      </c>
      <c r="T29" s="72">
        <f>(OPTI4_SORTINO_ALL_DATA[[#This Row],[ROB]]-O$74)/ABS(O$74)</f>
        <v>-0.81011617244957679</v>
      </c>
      <c r="U29" s="72">
        <f>SUM(OPTI4_SORTINO_ALL_DATA[[#This Row],[VAR NET PROFIT]:[VAR ROB]])</f>
        <v>-1.9137931134392456</v>
      </c>
      <c r="V29" s="72">
        <f>OPTI4_SORTINO_ALL_DATA[[#This Row],[SUMA]]-OPTI4_SORTINO_ALL_DATA[[#This Row],[VAR ROB]]</f>
        <v>-1.103676940989669</v>
      </c>
    </row>
    <row r="30" spans="1:22" x14ac:dyDescent="0.25">
      <c r="A30" s="72"/>
      <c r="B30" s="53">
        <v>560716.30000000005</v>
      </c>
      <c r="C30" s="53">
        <v>973327.92</v>
      </c>
      <c r="D30" s="53">
        <v>-412611.62</v>
      </c>
      <c r="E30" s="52">
        <v>736</v>
      </c>
      <c r="F30" s="54">
        <v>49.184782608695599</v>
      </c>
      <c r="G30" s="55">
        <v>362</v>
      </c>
      <c r="H30" s="55">
        <v>374</v>
      </c>
      <c r="I30" s="53">
        <v>-300150.31</v>
      </c>
      <c r="J30" s="56">
        <v>0.11393880385074499</v>
      </c>
      <c r="K30" s="56">
        <v>0.284858861422846</v>
      </c>
      <c r="L30" s="54">
        <f>-OPTI4_SORTINO_ALL_DATA[[#This Row],[Net Profit]]/OPTI4_SORTINO_ALL_DATA[[#This Row],[Max Intraday Drawdown]]</f>
        <v>1.868118343772492</v>
      </c>
      <c r="M30" s="57">
        <v>0.5</v>
      </c>
      <c r="N30" s="54">
        <v>0.21</v>
      </c>
      <c r="O30" s="50">
        <v>0.22900400119830064</v>
      </c>
      <c r="P30" s="72">
        <f>(OPTI4_SORTINO_ALL_DATA[[#This Row],[Net Profit]]-B$74)/ABS(B$74)</f>
        <v>-0.58231934002265917</v>
      </c>
      <c r="Q30" s="72">
        <f>(OPTI4_SORTINO_ALL_DATA[[#This Row],[UPI]]-J$74)/ABS(J$74)</f>
        <v>-4.8672097132314289E-2</v>
      </c>
      <c r="R30" s="72">
        <f>(OPTI4_SORTINO_ALL_DATA[[#This Row],[SORTINO AJUSTADO]]-K$74)/ABS(K$74)</f>
        <v>-0.12341226197762217</v>
      </c>
      <c r="S30" s="72">
        <f>(OPTI4_SORTINO_ALL_DATA[[#This Row],[RECOVERY]]-L$74)/ABS(L$74)</f>
        <v>-0.35198238516808922</v>
      </c>
      <c r="T30" s="72">
        <f>(OPTI4_SORTINO_ALL_DATA[[#This Row],[ROB]]-O$74)/ABS(O$74)</f>
        <v>-0.82243556012731689</v>
      </c>
      <c r="U30" s="72">
        <f>SUM(OPTI4_SORTINO_ALL_DATA[[#This Row],[VAR NET PROFIT]:[VAR ROB]])</f>
        <v>-1.9288216444280017</v>
      </c>
      <c r="V30" s="72">
        <f>OPTI4_SORTINO_ALL_DATA[[#This Row],[SUMA]]-OPTI4_SORTINO_ALL_DATA[[#This Row],[VAR ROB]]</f>
        <v>-1.1063860843006847</v>
      </c>
    </row>
    <row r="31" spans="1:22" x14ac:dyDescent="0.25">
      <c r="A31" s="72"/>
      <c r="B31" s="53">
        <v>257799.04000000001</v>
      </c>
      <c r="C31" s="53">
        <v>517853.07</v>
      </c>
      <c r="D31" s="53">
        <v>-260054.03</v>
      </c>
      <c r="E31" s="52">
        <v>1056</v>
      </c>
      <c r="F31" s="54">
        <v>43.75</v>
      </c>
      <c r="G31" s="55">
        <v>462</v>
      </c>
      <c r="H31" s="55">
        <v>594</v>
      </c>
      <c r="I31" s="53">
        <v>-103890.34</v>
      </c>
      <c r="J31" s="56">
        <v>0.103013332109721</v>
      </c>
      <c r="K31" s="56">
        <v>0.26106034649540399</v>
      </c>
      <c r="L31" s="54">
        <f>-OPTI4_SORTINO_ALL_DATA[[#This Row],[Net Profit]]/OPTI4_SORTINO_ALL_DATA[[#This Row],[Max Intraday Drawdown]]</f>
        <v>2.4814534248323765</v>
      </c>
      <c r="M31" s="57">
        <v>0.5</v>
      </c>
      <c r="N31" s="54">
        <v>0.15</v>
      </c>
      <c r="O31" s="50">
        <v>0.42132735168193569</v>
      </c>
      <c r="P31" s="72">
        <f>(OPTI4_SORTINO_ALL_DATA[[#This Row],[Net Profit]]-B$74)/ABS(B$74)</f>
        <v>-0.80796407529311187</v>
      </c>
      <c r="Q31" s="72">
        <f>(OPTI4_SORTINO_ALL_DATA[[#This Row],[UPI]]-J$74)/ABS(J$74)</f>
        <v>-0.13989392646487284</v>
      </c>
      <c r="R31" s="72">
        <f>(OPTI4_SORTINO_ALL_DATA[[#This Row],[SORTINO AJUSTADO]]-K$74)/ABS(K$74)</f>
        <v>-0.19664672715921006</v>
      </c>
      <c r="S31" s="72">
        <f>(OPTI4_SORTINO_ALL_DATA[[#This Row],[RECOVERY]]-L$74)/ABS(L$74)</f>
        <v>-0.13922716136436292</v>
      </c>
      <c r="T31" s="72">
        <f>(OPTI4_SORTINO_ALL_DATA[[#This Row],[ROB]]-O$74)/ABS(O$74)</f>
        <v>-0.67331245387428174</v>
      </c>
      <c r="U31" s="72">
        <f>SUM(OPTI4_SORTINO_ALL_DATA[[#This Row],[VAR NET PROFIT]:[VAR ROB]])</f>
        <v>-1.9570443441558396</v>
      </c>
      <c r="V31" s="72">
        <f>OPTI4_SORTINO_ALL_DATA[[#This Row],[SUMA]]-OPTI4_SORTINO_ALL_DATA[[#This Row],[VAR ROB]]</f>
        <v>-1.2837318902815578</v>
      </c>
    </row>
    <row r="32" spans="1:22" x14ac:dyDescent="0.25">
      <c r="A32" s="72"/>
      <c r="B32" s="53">
        <v>767182.49</v>
      </c>
      <c r="C32" s="53">
        <v>1776267.19</v>
      </c>
      <c r="D32" s="53">
        <v>-1009084.7</v>
      </c>
      <c r="E32" s="52">
        <v>2104</v>
      </c>
      <c r="F32" s="54">
        <v>41.967680608365001</v>
      </c>
      <c r="G32" s="55">
        <v>883</v>
      </c>
      <c r="H32" s="55">
        <v>1221</v>
      </c>
      <c r="I32" s="53">
        <v>-476676.74999999901</v>
      </c>
      <c r="J32" s="56">
        <v>9.2574961692749702E-2</v>
      </c>
      <c r="K32" s="56">
        <v>0.281376226482976</v>
      </c>
      <c r="L32" s="54">
        <f>-OPTI4_SORTINO_ALL_DATA[[#This Row],[Net Profit]]/OPTI4_SORTINO_ALL_DATA[[#This Row],[Max Intraday Drawdown]]</f>
        <v>1.6094397094047519</v>
      </c>
      <c r="M32" s="57">
        <v>0</v>
      </c>
      <c r="N32" s="54">
        <v>0.19</v>
      </c>
      <c r="O32" s="50">
        <v>0.34712432739232207</v>
      </c>
      <c r="P32" s="72">
        <f>(OPTI4_SORTINO_ALL_DATA[[#This Row],[Net Profit]]-B$74)/ABS(B$74)</f>
        <v>-0.42852153799299286</v>
      </c>
      <c r="Q32" s="72">
        <f>(OPTI4_SORTINO_ALL_DATA[[#This Row],[UPI]]-J$74)/ABS(J$74)</f>
        <v>-0.22704872099072795</v>
      </c>
      <c r="R32" s="72">
        <f>(OPTI4_SORTINO_ALL_DATA[[#This Row],[SORTINO AJUSTADO]]-K$74)/ABS(K$74)</f>
        <v>-0.13412927133815142</v>
      </c>
      <c r="S32" s="72">
        <f>(OPTI4_SORTINO_ALL_DATA[[#This Row],[RECOVERY]]-L$74)/ABS(L$74)</f>
        <v>-0.44171348395514415</v>
      </c>
      <c r="T32" s="72">
        <f>(OPTI4_SORTINO_ALL_DATA[[#This Row],[ROB]]-O$74)/ABS(O$74)</f>
        <v>-0.73084777367611797</v>
      </c>
      <c r="U32" s="72">
        <f>SUM(OPTI4_SORTINO_ALL_DATA[[#This Row],[VAR NET PROFIT]:[VAR ROB]])</f>
        <v>-1.9622607879531344</v>
      </c>
      <c r="V32" s="72">
        <f>OPTI4_SORTINO_ALL_DATA[[#This Row],[SUMA]]-OPTI4_SORTINO_ALL_DATA[[#This Row],[VAR ROB]]</f>
        <v>-1.2314130142770163</v>
      </c>
    </row>
    <row r="33" spans="1:22" x14ac:dyDescent="0.25">
      <c r="A33" s="72"/>
      <c r="B33" s="53">
        <v>656661.5</v>
      </c>
      <c r="C33" s="53">
        <v>1586889.16</v>
      </c>
      <c r="D33" s="53">
        <v>-930227.66</v>
      </c>
      <c r="E33" s="52">
        <v>2419</v>
      </c>
      <c r="F33" s="54">
        <v>41.587432823480803</v>
      </c>
      <c r="G33" s="55">
        <v>1006</v>
      </c>
      <c r="H33" s="55">
        <v>1413</v>
      </c>
      <c r="I33" s="53">
        <v>-404146.2</v>
      </c>
      <c r="J33" s="56">
        <v>9.8342614380673404E-2</v>
      </c>
      <c r="K33" s="56">
        <v>0.29088608010891398</v>
      </c>
      <c r="L33" s="54">
        <f>-OPTI4_SORTINO_ALL_DATA[[#This Row],[Net Profit]]/OPTI4_SORTINO_ALL_DATA[[#This Row],[Max Intraday Drawdown]]</f>
        <v>1.6248117636637434</v>
      </c>
      <c r="M33" s="57">
        <v>1.5</v>
      </c>
      <c r="N33" s="54">
        <v>0.17</v>
      </c>
      <c r="O33" s="50">
        <v>0.34506410571863366</v>
      </c>
      <c r="P33" s="72">
        <f>(OPTI4_SORTINO_ALL_DATA[[#This Row],[Net Profit]]-B$74)/ABS(B$74)</f>
        <v>-0.51084923213091804</v>
      </c>
      <c r="Q33" s="72">
        <f>(OPTI4_SORTINO_ALL_DATA[[#This Row],[UPI]]-J$74)/ABS(J$74)</f>
        <v>-0.1788919144364019</v>
      </c>
      <c r="R33" s="72">
        <f>(OPTI4_SORTINO_ALL_DATA[[#This Row],[SORTINO AJUSTADO]]-K$74)/ABS(K$74)</f>
        <v>-0.10486488041400688</v>
      </c>
      <c r="S33" s="72">
        <f>(OPTI4_SORTINO_ALL_DATA[[#This Row],[RECOVERY]]-L$74)/ABS(L$74)</f>
        <v>-0.43638118690384364</v>
      </c>
      <c r="T33" s="72">
        <f>(OPTI4_SORTINO_ALL_DATA[[#This Row],[ROB]]-O$74)/ABS(O$74)</f>
        <v>-0.73244522221670172</v>
      </c>
      <c r="U33" s="72">
        <f>SUM(OPTI4_SORTINO_ALL_DATA[[#This Row],[VAR NET PROFIT]:[VAR ROB]])</f>
        <v>-1.9634324361018722</v>
      </c>
      <c r="V33" s="72">
        <f>OPTI4_SORTINO_ALL_DATA[[#This Row],[SUMA]]-OPTI4_SORTINO_ALL_DATA[[#This Row],[VAR ROB]]</f>
        <v>-1.2309872138851705</v>
      </c>
    </row>
    <row r="34" spans="1:22" x14ac:dyDescent="0.25">
      <c r="A34" s="72"/>
      <c r="B34" s="53">
        <v>433264.32</v>
      </c>
      <c r="C34" s="53">
        <v>1155212.55</v>
      </c>
      <c r="D34" s="53">
        <v>-721948.23</v>
      </c>
      <c r="E34" s="52">
        <v>3258</v>
      </c>
      <c r="F34" s="54">
        <v>39.840392879066897</v>
      </c>
      <c r="G34" s="55">
        <v>1298</v>
      </c>
      <c r="H34" s="55">
        <v>1960</v>
      </c>
      <c r="I34" s="53">
        <v>-217198.22</v>
      </c>
      <c r="J34" s="56">
        <v>8.1000440261035797E-2</v>
      </c>
      <c r="K34" s="56">
        <v>0.263209492523859</v>
      </c>
      <c r="L34" s="54">
        <f>-OPTI4_SORTINO_ALL_DATA[[#This Row],[Net Profit]]/OPTI4_SORTINO_ALL_DATA[[#This Row],[Max Intraday Drawdown]]</f>
        <v>1.994787618425234</v>
      </c>
      <c r="M34" s="57">
        <v>1.5</v>
      </c>
      <c r="N34" s="54">
        <v>0.14000000000000001</v>
      </c>
      <c r="O34" s="50">
        <v>0.67275629511985902</v>
      </c>
      <c r="P34" s="72">
        <f>(OPTI4_SORTINO_ALL_DATA[[#This Row],[Net Profit]]-B$74)/ABS(B$74)</f>
        <v>-0.67725902185787401</v>
      </c>
      <c r="Q34" s="72">
        <f>(OPTI4_SORTINO_ALL_DATA[[#This Row],[UPI]]-J$74)/ABS(J$74)</f>
        <v>-0.32368976713295033</v>
      </c>
      <c r="R34" s="72">
        <f>(OPTI4_SORTINO_ALL_DATA[[#This Row],[SORTINO AJUSTADO]]-K$74)/ABS(K$74)</f>
        <v>-0.19003322373385353</v>
      </c>
      <c r="S34" s="72">
        <f>(OPTI4_SORTINO_ALL_DATA[[#This Row],[RECOVERY]]-L$74)/ABS(L$74)</f>
        <v>-0.30804302687925766</v>
      </c>
      <c r="T34" s="72">
        <f>(OPTI4_SORTINO_ALL_DATA[[#This Row],[ROB]]-O$74)/ABS(O$74)</f>
        <v>-0.47836022912832094</v>
      </c>
      <c r="U34" s="72">
        <f>SUM(OPTI4_SORTINO_ALL_DATA[[#This Row],[VAR NET PROFIT]:[VAR ROB]])</f>
        <v>-1.9773852687322566</v>
      </c>
      <c r="V34" s="72">
        <f>OPTI4_SORTINO_ALL_DATA[[#This Row],[SUMA]]-OPTI4_SORTINO_ALL_DATA[[#This Row],[VAR ROB]]</f>
        <v>-1.4990250396039357</v>
      </c>
    </row>
    <row r="35" spans="1:22" x14ac:dyDescent="0.25">
      <c r="A35" s="72"/>
      <c r="B35" s="53">
        <v>370145.76</v>
      </c>
      <c r="C35" s="53">
        <v>963278.9</v>
      </c>
      <c r="D35" s="53">
        <v>-593133.14</v>
      </c>
      <c r="E35" s="52">
        <v>2905</v>
      </c>
      <c r="F35" s="54">
        <v>40.172117039586901</v>
      </c>
      <c r="G35" s="55">
        <v>1167</v>
      </c>
      <c r="H35" s="55">
        <v>1738</v>
      </c>
      <c r="I35" s="53">
        <v>-186552.95</v>
      </c>
      <c r="J35" s="56">
        <v>7.1171028633495406E-2</v>
      </c>
      <c r="K35" s="56">
        <v>0.24909514880069</v>
      </c>
      <c r="L35" s="54">
        <f>-OPTI4_SORTINO_ALL_DATA[[#This Row],[Net Profit]]/OPTI4_SORTINO_ALL_DATA[[#This Row],[Max Intraday Drawdown]]</f>
        <v>1.9841324406823906</v>
      </c>
      <c r="M35" s="57">
        <v>1</v>
      </c>
      <c r="N35" s="54">
        <v>0.14000000000000001</v>
      </c>
      <c r="O35" s="50">
        <v>0.88354582514896851</v>
      </c>
      <c r="P35" s="72">
        <f>(OPTI4_SORTINO_ALL_DATA[[#This Row],[Net Profit]]-B$74)/ABS(B$74)</f>
        <v>-0.72427638482310153</v>
      </c>
      <c r="Q35" s="72">
        <f>(OPTI4_SORTINO_ALL_DATA[[#This Row],[UPI]]-J$74)/ABS(J$74)</f>
        <v>-0.40576008237252975</v>
      </c>
      <c r="R35" s="72">
        <f>(OPTI4_SORTINO_ALL_DATA[[#This Row],[SORTINO AJUSTADO]]-K$74)/ABS(K$74)</f>
        <v>-0.23346687566998661</v>
      </c>
      <c r="S35" s="72">
        <f>(OPTI4_SORTINO_ALL_DATA[[#This Row],[RECOVERY]]-L$74)/ABS(L$74)</f>
        <v>-0.31173912187749209</v>
      </c>
      <c r="T35" s="72">
        <f>(OPTI4_SORTINO_ALL_DATA[[#This Row],[ROB]]-O$74)/ABS(O$74)</f>
        <v>-0.31491887162018539</v>
      </c>
      <c r="U35" s="72">
        <f>SUM(OPTI4_SORTINO_ALL_DATA[[#This Row],[VAR NET PROFIT]:[VAR ROB]])</f>
        <v>-1.9901613363632955</v>
      </c>
      <c r="V35" s="72">
        <f>OPTI4_SORTINO_ALL_DATA[[#This Row],[SUMA]]-OPTI4_SORTINO_ALL_DATA[[#This Row],[VAR ROB]]</f>
        <v>-1.6752424647431101</v>
      </c>
    </row>
    <row r="36" spans="1:22" x14ac:dyDescent="0.25">
      <c r="A36" s="72"/>
      <c r="B36" s="53">
        <v>556051</v>
      </c>
      <c r="C36" s="53">
        <v>1306133.42</v>
      </c>
      <c r="D36" s="53">
        <v>-750082.42</v>
      </c>
      <c r="E36" s="52">
        <v>2398</v>
      </c>
      <c r="F36" s="54">
        <v>40.909090909090899</v>
      </c>
      <c r="G36" s="55">
        <v>981</v>
      </c>
      <c r="H36" s="55">
        <v>1417</v>
      </c>
      <c r="I36" s="53">
        <v>-322127.3</v>
      </c>
      <c r="J36" s="56">
        <v>9.1553077342935593E-2</v>
      </c>
      <c r="K36" s="56">
        <v>0.28461201416903997</v>
      </c>
      <c r="L36" s="54">
        <f>-OPTI4_SORTINO_ALL_DATA[[#This Row],[Net Profit]]/OPTI4_SORTINO_ALL_DATA[[#This Row],[Max Intraday Drawdown]]</f>
        <v>1.7261840272463713</v>
      </c>
      <c r="M36" s="57">
        <v>1</v>
      </c>
      <c r="N36" s="54">
        <v>0.16</v>
      </c>
      <c r="O36" s="50">
        <v>0.45177659975126927</v>
      </c>
      <c r="P36" s="72">
        <f>(OPTI4_SORTINO_ALL_DATA[[#This Row],[Net Profit]]-B$74)/ABS(B$74)</f>
        <v>-0.58579454768648553</v>
      </c>
      <c r="Q36" s="72">
        <f>(OPTI4_SORTINO_ALL_DATA[[#This Row],[UPI]]-J$74)/ABS(J$74)</f>
        <v>-0.23558090724007139</v>
      </c>
      <c r="R36" s="72">
        <f>(OPTI4_SORTINO_ALL_DATA[[#This Row],[SORTINO AJUSTADO]]-K$74)/ABS(K$74)</f>
        <v>-0.12417187772125762</v>
      </c>
      <c r="S36" s="72">
        <f>(OPTI4_SORTINO_ALL_DATA[[#This Row],[RECOVERY]]-L$74)/ABS(L$74)</f>
        <v>-0.40121691978130719</v>
      </c>
      <c r="T36" s="72">
        <f>(OPTI4_SORTINO_ALL_DATA[[#This Row],[ROB]]-O$74)/ABS(O$74)</f>
        <v>-0.64970280666425861</v>
      </c>
      <c r="U36" s="72">
        <f>SUM(OPTI4_SORTINO_ALL_DATA[[#This Row],[VAR NET PROFIT]:[VAR ROB]])</f>
        <v>-1.9964670590933804</v>
      </c>
      <c r="V36" s="72">
        <f>OPTI4_SORTINO_ALL_DATA[[#This Row],[SUMA]]-OPTI4_SORTINO_ALL_DATA[[#This Row],[VAR ROB]]</f>
        <v>-1.3467642524291219</v>
      </c>
    </row>
    <row r="37" spans="1:22" x14ac:dyDescent="0.25">
      <c r="A37" s="72"/>
      <c r="B37" s="45">
        <v>151725.37</v>
      </c>
      <c r="C37" s="45">
        <v>349958.29</v>
      </c>
      <c r="D37" s="45">
        <v>-198232.92</v>
      </c>
      <c r="E37" s="18">
        <v>1227</v>
      </c>
      <c r="F37" s="46">
        <v>40.505297473512599</v>
      </c>
      <c r="G37" s="47">
        <v>497</v>
      </c>
      <c r="H37" s="47">
        <v>730</v>
      </c>
      <c r="I37" s="45">
        <v>-52630.880000000201</v>
      </c>
      <c r="J37" s="48">
        <v>9.03296984489418E-2</v>
      </c>
      <c r="K37" s="48">
        <v>0.2614737450929</v>
      </c>
      <c r="L37" s="46">
        <f>-OPTI4_SORTINO_ALL_DATA[[#This Row],[Net Profit]]/OPTI4_SORTINO_ALL_DATA[[#This Row],[Max Intraday Drawdown]]</f>
        <v>2.8828203138537569</v>
      </c>
      <c r="M37" s="49">
        <v>0.5</v>
      </c>
      <c r="N37" s="46">
        <v>0.12</v>
      </c>
      <c r="O37" s="60">
        <v>0.42182509701984766</v>
      </c>
      <c r="P37" s="72">
        <f>(OPTI4_SORTINO_ALL_DATA[[#This Row],[Net Profit]]-B$74)/ABS(B$74)</f>
        <v>-0.88697893626972091</v>
      </c>
      <c r="Q37" s="72">
        <f>(OPTI4_SORTINO_ALL_DATA[[#This Row],[UPI]]-J$74)/ABS(J$74)</f>
        <v>-0.24579546486488441</v>
      </c>
      <c r="R37" s="72">
        <f>(OPTI4_SORTINO_ALL_DATA[[#This Row],[SORTINO AJUSTADO]]-K$74)/ABS(K$74)</f>
        <v>-0.19537458789813672</v>
      </c>
      <c r="S37" s="72">
        <f>(OPTI4_SORTINO_ALL_DATA[[#This Row],[RECOVERY]]-L$74)/ABS(L$74)</f>
        <v>0</v>
      </c>
      <c r="T37" s="72">
        <f>(OPTI4_SORTINO_ALL_DATA[[#This Row],[ROB]]-O$74)/ABS(O$74)</f>
        <v>-0.67292651357776678</v>
      </c>
      <c r="U37" s="72">
        <f>SUM(OPTI4_SORTINO_ALL_DATA[[#This Row],[VAR NET PROFIT]:[VAR ROB]])</f>
        <v>-2.0010755026105089</v>
      </c>
      <c r="V37" s="72">
        <f>OPTI4_SORTINO_ALL_DATA[[#This Row],[SUMA]]-OPTI4_SORTINO_ALL_DATA[[#This Row],[VAR ROB]]</f>
        <v>-1.328148989032742</v>
      </c>
    </row>
    <row r="38" spans="1:22" x14ac:dyDescent="0.25">
      <c r="A38" s="72"/>
      <c r="B38" s="53">
        <v>186940.76</v>
      </c>
      <c r="C38" s="53">
        <v>406821.66</v>
      </c>
      <c r="D38" s="53">
        <v>-219880.9</v>
      </c>
      <c r="E38" s="52">
        <v>1164</v>
      </c>
      <c r="F38" s="54">
        <v>42.010309278350498</v>
      </c>
      <c r="G38" s="55">
        <v>489</v>
      </c>
      <c r="H38" s="55">
        <v>675</v>
      </c>
      <c r="I38" s="53">
        <v>-68742.61</v>
      </c>
      <c r="J38" s="56">
        <v>9.8281237771910196E-2</v>
      </c>
      <c r="K38" s="56">
        <v>0.26379151758000402</v>
      </c>
      <c r="L38" s="54">
        <f>-OPTI4_SORTINO_ALL_DATA[[#This Row],[Net Profit]]/OPTI4_SORTINO_ALL_DATA[[#This Row],[Max Intraday Drawdown]]</f>
        <v>2.7194306413445752</v>
      </c>
      <c r="M38" s="57">
        <v>0.5</v>
      </c>
      <c r="N38" s="54">
        <v>0.13</v>
      </c>
      <c r="O38" s="50">
        <v>0.35796246160903694</v>
      </c>
      <c r="P38" s="72">
        <f>(OPTI4_SORTINO_ALL_DATA[[#This Row],[Net Profit]]-B$74)/ABS(B$74)</f>
        <v>-0.86074679831232714</v>
      </c>
      <c r="Q38" s="72">
        <f>(OPTI4_SORTINO_ALL_DATA[[#This Row],[UPI]]-J$74)/ABS(J$74)</f>
        <v>-0.17940437620119559</v>
      </c>
      <c r="R38" s="72">
        <f>(OPTI4_SORTINO_ALL_DATA[[#This Row],[SORTINO AJUSTADO]]-K$74)/ABS(K$74)</f>
        <v>-0.18824217526553444</v>
      </c>
      <c r="S38" s="72">
        <f>(OPTI4_SORTINO_ALL_DATA[[#This Row],[RECOVERY]]-L$74)/ABS(L$74)</f>
        <v>-5.6677022748865748E-2</v>
      </c>
      <c r="T38" s="72">
        <f>(OPTI4_SORTINO_ALL_DATA[[#This Row],[ROB]]-O$74)/ABS(O$74)</f>
        <v>-0.72244413347164194</v>
      </c>
      <c r="U38" s="72">
        <f>SUM(OPTI4_SORTINO_ALL_DATA[[#This Row],[VAR NET PROFIT]:[VAR ROB]])</f>
        <v>-2.0075145059995649</v>
      </c>
      <c r="V38" s="72">
        <f>OPTI4_SORTINO_ALL_DATA[[#This Row],[SUMA]]-OPTI4_SORTINO_ALL_DATA[[#This Row],[VAR ROB]]</f>
        <v>-1.2850703725279229</v>
      </c>
    </row>
    <row r="39" spans="1:22" x14ac:dyDescent="0.25">
      <c r="A39" s="72"/>
      <c r="B39" s="53">
        <v>595946.79</v>
      </c>
      <c r="C39" s="53">
        <v>1376315.61</v>
      </c>
      <c r="D39" s="53">
        <v>-780368.82</v>
      </c>
      <c r="E39" s="52">
        <v>2192</v>
      </c>
      <c r="F39" s="54">
        <v>41.970802919707999</v>
      </c>
      <c r="G39" s="55">
        <v>920</v>
      </c>
      <c r="H39" s="55">
        <v>1272</v>
      </c>
      <c r="I39" s="53">
        <v>-365583.16</v>
      </c>
      <c r="J39" s="56">
        <v>9.4304430308238998E-2</v>
      </c>
      <c r="K39" s="56">
        <v>0.28590304341030598</v>
      </c>
      <c r="L39" s="54">
        <f>-OPTI4_SORTINO_ALL_DATA[[#This Row],[Net Profit]]/OPTI4_SORTINO_ALL_DATA[[#This Row],[Max Intraday Drawdown]]</f>
        <v>1.6301264806617461</v>
      </c>
      <c r="M39" s="57">
        <v>1</v>
      </c>
      <c r="N39" s="54">
        <v>0.17</v>
      </c>
      <c r="O39" s="50">
        <v>0.40329865981673219</v>
      </c>
      <c r="P39" s="72">
        <f>(OPTI4_SORTINO_ALL_DATA[[#This Row],[Net Profit]]-B$74)/ABS(B$74)</f>
        <v>-0.55607595399210308</v>
      </c>
      <c r="Q39" s="72">
        <f>(OPTI4_SORTINO_ALL_DATA[[#This Row],[UPI]]-J$74)/ABS(J$74)</f>
        <v>-0.21260858562469256</v>
      </c>
      <c r="R39" s="72">
        <f>(OPTI4_SORTINO_ALL_DATA[[#This Row],[SORTINO AJUSTADO]]-K$74)/ABS(K$74)</f>
        <v>-0.12019903167157053</v>
      </c>
      <c r="S39" s="72">
        <f>(OPTI4_SORTINO_ALL_DATA[[#This Row],[RECOVERY]]-L$74)/ABS(L$74)</f>
        <v>-0.43453760443272599</v>
      </c>
      <c r="T39" s="72">
        <f>(OPTI4_SORTINO_ALL_DATA[[#This Row],[ROB]]-O$74)/ABS(O$74)</f>
        <v>-0.68729148723584299</v>
      </c>
      <c r="U39" s="72">
        <f>SUM(OPTI4_SORTINO_ALL_DATA[[#This Row],[VAR NET PROFIT]:[VAR ROB]])</f>
        <v>-2.010712662956935</v>
      </c>
      <c r="V39" s="72">
        <f>OPTI4_SORTINO_ALL_DATA[[#This Row],[SUMA]]-OPTI4_SORTINO_ALL_DATA[[#This Row],[VAR ROB]]</f>
        <v>-1.3234211757210921</v>
      </c>
    </row>
    <row r="40" spans="1:22" x14ac:dyDescent="0.25">
      <c r="A40" s="72"/>
      <c r="B40" s="53">
        <v>194948.91</v>
      </c>
      <c r="C40" s="53">
        <v>680298.67</v>
      </c>
      <c r="D40" s="53">
        <v>-485349.76</v>
      </c>
      <c r="E40" s="52">
        <v>3983</v>
      </c>
      <c r="F40" s="54">
        <v>38.086869194074801</v>
      </c>
      <c r="G40" s="55">
        <v>1517</v>
      </c>
      <c r="H40" s="55">
        <v>2466</v>
      </c>
      <c r="I40" s="53">
        <v>-95745.789999999906</v>
      </c>
      <c r="J40" s="56">
        <v>5.24072782331646E-2</v>
      </c>
      <c r="K40" s="56">
        <v>0.22667192149902099</v>
      </c>
      <c r="L40" s="54">
        <f>-OPTI4_SORTINO_ALL_DATA[[#This Row],[Net Profit]]/OPTI4_SORTINO_ALL_DATA[[#This Row],[Max Intraday Drawdown]]</f>
        <v>2.0361094728029316</v>
      </c>
      <c r="M40" s="57">
        <v>1</v>
      </c>
      <c r="N40" s="54">
        <v>0.11</v>
      </c>
      <c r="O40" s="50">
        <v>1.2896951741153837</v>
      </c>
      <c r="P40" s="72">
        <f>(OPTI4_SORTINO_ALL_DATA[[#This Row],[Net Profit]]-B$74)/ABS(B$74)</f>
        <v>-0.85478148327297931</v>
      </c>
      <c r="Q40" s="72">
        <f>(OPTI4_SORTINO_ALL_DATA[[#This Row],[UPI]]-J$74)/ABS(J$74)</f>
        <v>-0.56242733457277905</v>
      </c>
      <c r="R40" s="72">
        <f>(OPTI4_SORTINO_ALL_DATA[[#This Row],[SORTINO AJUSTADO]]-K$74)/ABS(K$74)</f>
        <v>-0.3024692089705972</v>
      </c>
      <c r="S40" s="72">
        <f>(OPTI4_SORTINO_ALL_DATA[[#This Row],[RECOVERY]]-L$74)/ABS(L$74)</f>
        <v>-0.29370919754583713</v>
      </c>
      <c r="T40" s="72">
        <f>(OPTI4_SORTINO_ALL_DATA[[#This Row],[ROB]]-O$74)/ABS(O$74)</f>
        <v>0</v>
      </c>
      <c r="U40" s="72">
        <f>SUM(OPTI4_SORTINO_ALL_DATA[[#This Row],[VAR NET PROFIT]:[VAR ROB]])</f>
        <v>-2.0133872243621926</v>
      </c>
      <c r="V40" s="72">
        <f>OPTI4_SORTINO_ALL_DATA[[#This Row],[SUMA]]-OPTI4_SORTINO_ALL_DATA[[#This Row],[VAR ROB]]</f>
        <v>-2.0133872243621926</v>
      </c>
    </row>
    <row r="41" spans="1:22" x14ac:dyDescent="0.25">
      <c r="A41" s="72"/>
      <c r="B41" s="53">
        <v>443438.29</v>
      </c>
      <c r="C41" s="53">
        <v>1100662.1399999999</v>
      </c>
      <c r="D41" s="53">
        <v>-657223.85</v>
      </c>
      <c r="E41" s="52">
        <v>2643</v>
      </c>
      <c r="F41" s="54">
        <v>39.992432841468002</v>
      </c>
      <c r="G41" s="55">
        <v>1057</v>
      </c>
      <c r="H41" s="55">
        <v>1586</v>
      </c>
      <c r="I41" s="53">
        <v>-244859.34</v>
      </c>
      <c r="J41" s="56">
        <v>7.9850976917395095E-2</v>
      </c>
      <c r="K41" s="56">
        <v>0.26158951043565798</v>
      </c>
      <c r="L41" s="54">
        <f>-OPTI4_SORTINO_ALL_DATA[[#This Row],[Net Profit]]/OPTI4_SORTINO_ALL_DATA[[#This Row],[Max Intraday Drawdown]]</f>
        <v>1.8109919352065558</v>
      </c>
      <c r="M41" s="57">
        <v>1</v>
      </c>
      <c r="N41" s="54">
        <v>0.15</v>
      </c>
      <c r="O41" s="50">
        <v>0.71209629629006133</v>
      </c>
      <c r="P41" s="72">
        <f>(OPTI4_SORTINO_ALL_DATA[[#This Row],[Net Profit]]-B$74)/ABS(B$74)</f>
        <v>-0.66968037557241789</v>
      </c>
      <c r="Q41" s="72">
        <f>(OPTI4_SORTINO_ALL_DATA[[#This Row],[UPI]]-J$74)/ABS(J$74)</f>
        <v>-0.33328716955575838</v>
      </c>
      <c r="R41" s="72">
        <f>(OPTI4_SORTINO_ALL_DATA[[#This Row],[SORTINO AJUSTADO]]-K$74)/ABS(K$74)</f>
        <v>-0.19501834663731471</v>
      </c>
      <c r="S41" s="72">
        <f>(OPTI4_SORTINO_ALL_DATA[[#This Row],[RECOVERY]]-L$74)/ABS(L$74)</f>
        <v>-0.37179853822189146</v>
      </c>
      <c r="T41" s="72">
        <f>(OPTI4_SORTINO_ALL_DATA[[#This Row],[ROB]]-O$74)/ABS(O$74)</f>
        <v>-0.44785689627900166</v>
      </c>
      <c r="U41" s="72">
        <f>SUM(OPTI4_SORTINO_ALL_DATA[[#This Row],[VAR NET PROFIT]:[VAR ROB]])</f>
        <v>-2.0176413262663839</v>
      </c>
      <c r="V41" s="72">
        <f>OPTI4_SORTINO_ALL_DATA[[#This Row],[SUMA]]-OPTI4_SORTINO_ALL_DATA[[#This Row],[VAR ROB]]</f>
        <v>-1.5697844299873822</v>
      </c>
    </row>
    <row r="42" spans="1:22" x14ac:dyDescent="0.25">
      <c r="A42" s="72"/>
      <c r="B42" s="53">
        <v>388378.94</v>
      </c>
      <c r="C42" s="53">
        <v>1105458.68</v>
      </c>
      <c r="D42" s="53">
        <v>-717079.74</v>
      </c>
      <c r="E42" s="52">
        <v>3599</v>
      </c>
      <c r="F42" s="54">
        <v>39.2886913031398</v>
      </c>
      <c r="G42" s="55">
        <v>1414</v>
      </c>
      <c r="H42" s="55">
        <v>2184</v>
      </c>
      <c r="I42" s="53">
        <v>-184056.41</v>
      </c>
      <c r="J42" s="56">
        <v>7.8715894111726803E-2</v>
      </c>
      <c r="K42" s="56">
        <v>0.265520201993454</v>
      </c>
      <c r="L42" s="54">
        <f>-OPTI4_SORTINO_ALL_DATA[[#This Row],[Net Profit]]/OPTI4_SORTINO_ALL_DATA[[#This Row],[Max Intraday Drawdown]]</f>
        <v>2.110108199980647</v>
      </c>
      <c r="M42" s="57">
        <v>1.5</v>
      </c>
      <c r="N42" s="54">
        <v>0.13</v>
      </c>
      <c r="O42" s="50">
        <v>0.62293506125107645</v>
      </c>
      <c r="P42" s="72">
        <f>(OPTI4_SORTINO_ALL_DATA[[#This Row],[Net Profit]]-B$74)/ABS(B$74)</f>
        <v>-0.71069438862308798</v>
      </c>
      <c r="Q42" s="72">
        <f>(OPTI4_SORTINO_ALL_DATA[[#This Row],[UPI]]-J$74)/ABS(J$74)</f>
        <v>-0.34276450219927218</v>
      </c>
      <c r="R42" s="72">
        <f>(OPTI4_SORTINO_ALL_DATA[[#This Row],[SORTINO AJUSTADO]]-K$74)/ABS(K$74)</f>
        <v>-0.18292254591585705</v>
      </c>
      <c r="S42" s="72">
        <f>(OPTI4_SORTINO_ALL_DATA[[#This Row],[RECOVERY]]-L$74)/ABS(L$74)</f>
        <v>-0.26804033194845489</v>
      </c>
      <c r="T42" s="72">
        <f>(OPTI4_SORTINO_ALL_DATA[[#This Row],[ROB]]-O$74)/ABS(O$74)</f>
        <v>-0.5169904689467768</v>
      </c>
      <c r="U42" s="72">
        <f>SUM(OPTI4_SORTINO_ALL_DATA[[#This Row],[VAR NET PROFIT]:[VAR ROB]])</f>
        <v>-2.0214122376334487</v>
      </c>
      <c r="V42" s="72">
        <f>OPTI4_SORTINO_ALL_DATA[[#This Row],[SUMA]]-OPTI4_SORTINO_ALL_DATA[[#This Row],[VAR ROB]]</f>
        <v>-1.5044217686866719</v>
      </c>
    </row>
    <row r="43" spans="1:22" x14ac:dyDescent="0.25">
      <c r="A43" s="72"/>
      <c r="B43" s="53">
        <v>334514.32</v>
      </c>
      <c r="C43" s="53">
        <v>1043397.49</v>
      </c>
      <c r="D43" s="53">
        <v>-708883.17</v>
      </c>
      <c r="E43" s="52">
        <v>3804</v>
      </c>
      <c r="F43" s="54">
        <v>39.379600420609897</v>
      </c>
      <c r="G43" s="55">
        <v>1498</v>
      </c>
      <c r="H43" s="55">
        <v>2304</v>
      </c>
      <c r="I43" s="53">
        <v>-128340.12</v>
      </c>
      <c r="J43" s="56">
        <v>6.8167968867912695E-2</v>
      </c>
      <c r="K43" s="56">
        <v>0.25581119901607502</v>
      </c>
      <c r="L43" s="54">
        <f>-OPTI4_SORTINO_ALL_DATA[[#This Row],[Net Profit]]/OPTI4_SORTINO_ALL_DATA[[#This Row],[Max Intraday Drawdown]]</f>
        <v>2.6064672527967092</v>
      </c>
      <c r="M43" s="57">
        <v>0</v>
      </c>
      <c r="N43" s="54">
        <v>0.13</v>
      </c>
      <c r="O43" s="50">
        <v>0.59580394913004386</v>
      </c>
      <c r="P43" s="72">
        <f>(OPTI4_SORTINO_ALL_DATA[[#This Row],[Net Profit]]-B$74)/ABS(B$74)</f>
        <v>-0.75081844071686277</v>
      </c>
      <c r="Q43" s="72">
        <f>(OPTI4_SORTINO_ALL_DATA[[#This Row],[UPI]]-J$74)/ABS(J$74)</f>
        <v>-0.43083402077125593</v>
      </c>
      <c r="R43" s="72">
        <f>(OPTI4_SORTINO_ALL_DATA[[#This Row],[SORTINO AJUSTADO]]-K$74)/ABS(K$74)</f>
        <v>-0.21279977324128577</v>
      </c>
      <c r="S43" s="72">
        <f>(OPTI4_SORTINO_ALL_DATA[[#This Row],[RECOVERY]]-L$74)/ABS(L$74)</f>
        <v>-9.5862048608787095E-2</v>
      </c>
      <c r="T43" s="72">
        <f>(OPTI4_SORTINO_ALL_DATA[[#This Row],[ROB]]-O$74)/ABS(O$74)</f>
        <v>-0.53802730979534563</v>
      </c>
      <c r="U43" s="72">
        <f>SUM(OPTI4_SORTINO_ALL_DATA[[#This Row],[VAR NET PROFIT]:[VAR ROB]])</f>
        <v>-2.0283415931335371</v>
      </c>
      <c r="V43" s="72">
        <f>OPTI4_SORTINO_ALL_DATA[[#This Row],[SUMA]]-OPTI4_SORTINO_ALL_DATA[[#This Row],[VAR ROB]]</f>
        <v>-1.4903142833381915</v>
      </c>
    </row>
    <row r="44" spans="1:22" x14ac:dyDescent="0.25">
      <c r="A44" s="72"/>
      <c r="B44" s="53">
        <v>204669.92</v>
      </c>
      <c r="C44" s="53">
        <v>762154.7</v>
      </c>
      <c r="D44" s="53">
        <v>-557484.78</v>
      </c>
      <c r="E44" s="52">
        <v>4520</v>
      </c>
      <c r="F44" s="54">
        <v>37.632743362831903</v>
      </c>
      <c r="G44" s="55">
        <v>1701</v>
      </c>
      <c r="H44" s="55">
        <v>2819</v>
      </c>
      <c r="I44" s="53">
        <v>-101982.63</v>
      </c>
      <c r="J44" s="56">
        <v>5.5034586917038199E-2</v>
      </c>
      <c r="K44" s="56">
        <v>0.22464908873310599</v>
      </c>
      <c r="L44" s="54">
        <f>-OPTI4_SORTINO_ALL_DATA[[#This Row],[Net Profit]]/OPTI4_SORTINO_ALL_DATA[[#This Row],[Max Intraday Drawdown]]</f>
        <v>2.006909608038153</v>
      </c>
      <c r="M44" s="57">
        <v>1.5</v>
      </c>
      <c r="N44" s="54">
        <v>0.11</v>
      </c>
      <c r="O44" s="50">
        <v>1.2415066513121078</v>
      </c>
      <c r="P44" s="72">
        <f>(OPTI4_SORTINO_ALL_DATA[[#This Row],[Net Profit]]-B$74)/ABS(B$74)</f>
        <v>-0.84754024938617001</v>
      </c>
      <c r="Q44" s="72">
        <f>(OPTI4_SORTINO_ALL_DATA[[#This Row],[UPI]]-J$74)/ABS(J$74)</f>
        <v>-0.54049071617813904</v>
      </c>
      <c r="R44" s="72">
        <f>(OPTI4_SORTINO_ALL_DATA[[#This Row],[SORTINO AJUSTADO]]-K$74)/ABS(K$74)</f>
        <v>-0.30869401233396826</v>
      </c>
      <c r="S44" s="72">
        <f>(OPTI4_SORTINO_ALL_DATA[[#This Row],[RECOVERY]]-L$74)/ABS(L$74)</f>
        <v>-0.30383812047053521</v>
      </c>
      <c r="T44" s="72">
        <f>(OPTI4_SORTINO_ALL_DATA[[#This Row],[ROB]]-O$74)/ABS(O$74)</f>
        <v>-3.7364273178992817E-2</v>
      </c>
      <c r="U44" s="72">
        <f>SUM(OPTI4_SORTINO_ALL_DATA[[#This Row],[VAR NET PROFIT]:[VAR ROB]])</f>
        <v>-2.0379273715478057</v>
      </c>
      <c r="V44" s="72">
        <f>OPTI4_SORTINO_ALL_DATA[[#This Row],[SUMA]]-OPTI4_SORTINO_ALL_DATA[[#This Row],[VAR ROB]]</f>
        <v>-2.0005630983688127</v>
      </c>
    </row>
    <row r="45" spans="1:22" x14ac:dyDescent="0.25">
      <c r="A45" s="72"/>
      <c r="B45" s="53">
        <v>573732.81999999995</v>
      </c>
      <c r="C45" s="53">
        <v>1426062.72</v>
      </c>
      <c r="D45" s="53">
        <v>-852329.9</v>
      </c>
      <c r="E45" s="52">
        <v>2656</v>
      </c>
      <c r="F45" s="54">
        <v>40.587349397590401</v>
      </c>
      <c r="G45" s="55">
        <v>1078</v>
      </c>
      <c r="H45" s="55">
        <v>1578</v>
      </c>
      <c r="I45" s="53">
        <v>-339023.21</v>
      </c>
      <c r="J45" s="56">
        <v>9.2307921601635395E-2</v>
      </c>
      <c r="K45" s="56">
        <v>0.27456783683738001</v>
      </c>
      <c r="L45" s="54">
        <f>-OPTI4_SORTINO_ALL_DATA[[#This Row],[Net Profit]]/OPTI4_SORTINO_ALL_DATA[[#This Row],[Max Intraday Drawdown]]</f>
        <v>1.6923113317226863</v>
      </c>
      <c r="M45" s="57">
        <v>1.5</v>
      </c>
      <c r="N45" s="54">
        <v>0.16</v>
      </c>
      <c r="O45" s="50">
        <v>0.41246374552070841</v>
      </c>
      <c r="P45" s="72">
        <f>(OPTI4_SORTINO_ALL_DATA[[#This Row],[Net Profit]]-B$74)/ABS(B$74)</f>
        <v>-0.5726232625870501</v>
      </c>
      <c r="Q45" s="72">
        <f>(OPTI4_SORTINO_ALL_DATA[[#This Row],[UPI]]-J$74)/ABS(J$74)</f>
        <v>-0.22927836252877809</v>
      </c>
      <c r="R45" s="72">
        <f>(OPTI4_SORTINO_ALL_DATA[[#This Row],[SORTINO AJUSTADO]]-K$74)/ABS(K$74)</f>
        <v>-0.1550805271607632</v>
      </c>
      <c r="S45" s="72">
        <f>(OPTI4_SORTINO_ALL_DATA[[#This Row],[RECOVERY]]-L$74)/ABS(L$74)</f>
        <v>-0.41296676605542476</v>
      </c>
      <c r="T45" s="72">
        <f>(OPTI4_SORTINO_ALL_DATA[[#This Row],[ROB]]-O$74)/ABS(O$74)</f>
        <v>-0.68018509040043362</v>
      </c>
      <c r="U45" s="72">
        <f>SUM(OPTI4_SORTINO_ALL_DATA[[#This Row],[VAR NET PROFIT]:[VAR ROB]])</f>
        <v>-2.0501340087324498</v>
      </c>
      <c r="V45" s="72">
        <f>OPTI4_SORTINO_ALL_DATA[[#This Row],[SUMA]]-OPTI4_SORTINO_ALL_DATA[[#This Row],[VAR ROB]]</f>
        <v>-1.3699489183320162</v>
      </c>
    </row>
    <row r="46" spans="1:22" x14ac:dyDescent="0.25">
      <c r="A46" s="72"/>
      <c r="B46" s="53">
        <v>459623.91</v>
      </c>
      <c r="C46" s="53">
        <v>1207990.18</v>
      </c>
      <c r="D46" s="53">
        <v>-748366.27</v>
      </c>
      <c r="E46" s="52">
        <v>2949</v>
      </c>
      <c r="F46" s="54">
        <v>39.640556120718898</v>
      </c>
      <c r="G46" s="55">
        <v>1169</v>
      </c>
      <c r="H46" s="55">
        <v>1780</v>
      </c>
      <c r="I46" s="53">
        <v>-253130.19</v>
      </c>
      <c r="J46" s="56">
        <v>8.0481727168421099E-2</v>
      </c>
      <c r="K46" s="56">
        <v>0.26244281935170999</v>
      </c>
      <c r="L46" s="54">
        <f>-OPTI4_SORTINO_ALL_DATA[[#This Row],[Net Profit]]/OPTI4_SORTINO_ALL_DATA[[#This Row],[Max Intraday Drawdown]]</f>
        <v>1.8157609331387929</v>
      </c>
      <c r="M46" s="57">
        <v>1.5</v>
      </c>
      <c r="N46" s="54">
        <v>0.15</v>
      </c>
      <c r="O46" s="50">
        <v>0.63389793811548534</v>
      </c>
      <c r="P46" s="72">
        <f>(OPTI4_SORTINO_ALL_DATA[[#This Row],[Net Profit]]-B$74)/ABS(B$74)</f>
        <v>-0.65762361809320358</v>
      </c>
      <c r="Q46" s="72">
        <f>(OPTI4_SORTINO_ALL_DATA[[#This Row],[UPI]]-J$74)/ABS(J$74)</f>
        <v>-0.32802074325267133</v>
      </c>
      <c r="R46" s="72">
        <f>(OPTI4_SORTINO_ALL_DATA[[#This Row],[SORTINO AJUSTADO]]-K$74)/ABS(K$74)</f>
        <v>-0.19239248438110768</v>
      </c>
      <c r="S46" s="72">
        <f>(OPTI4_SORTINO_ALL_DATA[[#This Row],[RECOVERY]]-L$74)/ABS(L$74)</f>
        <v>-0.37014425616021762</v>
      </c>
      <c r="T46" s="72">
        <f>(OPTI4_SORTINO_ALL_DATA[[#This Row],[ROB]]-O$74)/ABS(O$74)</f>
        <v>-0.50849010615994361</v>
      </c>
      <c r="U46" s="72">
        <f>SUM(OPTI4_SORTINO_ALL_DATA[[#This Row],[VAR NET PROFIT]:[VAR ROB]])</f>
        <v>-2.0566712080471441</v>
      </c>
      <c r="V46" s="72">
        <f>OPTI4_SORTINO_ALL_DATA[[#This Row],[SUMA]]-OPTI4_SORTINO_ALL_DATA[[#This Row],[VAR ROB]]</f>
        <v>-1.5481811018872005</v>
      </c>
    </row>
    <row r="47" spans="1:22" x14ac:dyDescent="0.25">
      <c r="A47" s="72"/>
      <c r="B47" s="53">
        <v>328889.67</v>
      </c>
      <c r="C47" s="53">
        <v>920480.48</v>
      </c>
      <c r="D47" s="53">
        <v>-591590.81000000006</v>
      </c>
      <c r="E47" s="52">
        <v>3173</v>
      </c>
      <c r="F47" s="54">
        <v>39.678537661519101</v>
      </c>
      <c r="G47" s="55">
        <v>1259</v>
      </c>
      <c r="H47" s="55">
        <v>1912</v>
      </c>
      <c r="I47" s="53">
        <v>-160128.32999999999</v>
      </c>
      <c r="J47" s="56">
        <v>7.3618861347765602E-2</v>
      </c>
      <c r="K47" s="56">
        <v>0.25341440840039697</v>
      </c>
      <c r="L47" s="54">
        <f>-OPTI4_SORTINO_ALL_DATA[[#This Row],[Net Profit]]/OPTI4_SORTINO_ALL_DATA[[#This Row],[Max Intraday Drawdown]]</f>
        <v>2.0539130708476132</v>
      </c>
      <c r="M47" s="57">
        <v>1</v>
      </c>
      <c r="N47" s="54">
        <v>0.13</v>
      </c>
      <c r="O47" s="50">
        <v>0.7506348780191211</v>
      </c>
      <c r="P47" s="72">
        <f>(OPTI4_SORTINO_ALL_DATA[[#This Row],[Net Profit]]-B$74)/ABS(B$74)</f>
        <v>-0.75500827347924471</v>
      </c>
      <c r="Q47" s="72">
        <f>(OPTI4_SORTINO_ALL_DATA[[#This Row],[UPI]]-J$74)/ABS(J$74)</f>
        <v>-0.3853219920649637</v>
      </c>
      <c r="R47" s="72">
        <f>(OPTI4_SORTINO_ALL_DATA[[#This Row],[SORTINO AJUSTADO]]-K$74)/ABS(K$74)</f>
        <v>-0.2201753460207885</v>
      </c>
      <c r="S47" s="72">
        <f>(OPTI4_SORTINO_ALL_DATA[[#This Row],[RECOVERY]]-L$74)/ABS(L$74)</f>
        <v>-0.28753344043772877</v>
      </c>
      <c r="T47" s="72">
        <f>(OPTI4_SORTINO_ALL_DATA[[#This Row],[ROB]]-O$74)/ABS(O$74)</f>
        <v>-0.41797496564721975</v>
      </c>
      <c r="U47" s="72">
        <f>SUM(OPTI4_SORTINO_ALL_DATA[[#This Row],[VAR NET PROFIT]:[VAR ROB]])</f>
        <v>-2.0660140176499455</v>
      </c>
      <c r="V47" s="72">
        <f>OPTI4_SORTINO_ALL_DATA[[#This Row],[SUMA]]-OPTI4_SORTINO_ALL_DATA[[#This Row],[VAR ROB]]</f>
        <v>-1.6480390520027257</v>
      </c>
    </row>
    <row r="48" spans="1:22" x14ac:dyDescent="0.25">
      <c r="A48" s="72"/>
      <c r="B48" s="53">
        <v>255025.02</v>
      </c>
      <c r="C48" s="53">
        <v>791051.52</v>
      </c>
      <c r="D48" s="53">
        <v>-536026.5</v>
      </c>
      <c r="E48" s="52">
        <v>3550</v>
      </c>
      <c r="F48" s="54">
        <v>38.647887323943699</v>
      </c>
      <c r="G48" s="55">
        <v>1372</v>
      </c>
      <c r="H48" s="55">
        <v>2178</v>
      </c>
      <c r="I48" s="53">
        <v>-126118.21</v>
      </c>
      <c r="J48" s="56">
        <v>6.14313554683815E-2</v>
      </c>
      <c r="K48" s="56">
        <v>0.23721780682613799</v>
      </c>
      <c r="L48" s="54">
        <f>-OPTI4_SORTINO_ALL_DATA[[#This Row],[Net Profit]]/OPTI4_SORTINO_ALL_DATA[[#This Row],[Max Intraday Drawdown]]</f>
        <v>2.0221110020511706</v>
      </c>
      <c r="M48" s="57">
        <v>1</v>
      </c>
      <c r="N48" s="54">
        <v>0.12</v>
      </c>
      <c r="O48" s="50">
        <v>0.98848721035166731</v>
      </c>
      <c r="P48" s="72">
        <f>(OPTI4_SORTINO_ALL_DATA[[#This Row],[Net Profit]]-B$74)/ABS(B$74)</f>
        <v>-0.81003045806884066</v>
      </c>
      <c r="Q48" s="72">
        <f>(OPTI4_SORTINO_ALL_DATA[[#This Row],[UPI]]-J$74)/ABS(J$74)</f>
        <v>-0.48708112958066141</v>
      </c>
      <c r="R48" s="72">
        <f>(OPTI4_SORTINO_ALL_DATA[[#This Row],[SORTINO AJUSTADO]]-K$74)/ABS(K$74)</f>
        <v>-0.27001666837499871</v>
      </c>
      <c r="S48" s="72">
        <f>(OPTI4_SORTINO_ALL_DATA[[#This Row],[RECOVERY]]-L$74)/ABS(L$74)</f>
        <v>-0.29856502247689148</v>
      </c>
      <c r="T48" s="72">
        <f>(OPTI4_SORTINO_ALL_DATA[[#This Row],[ROB]]-O$74)/ABS(O$74)</f>
        <v>-0.23354973315327654</v>
      </c>
      <c r="U48" s="72">
        <f>SUM(OPTI4_SORTINO_ALL_DATA[[#This Row],[VAR NET PROFIT]:[VAR ROB]])</f>
        <v>-2.0992430116546688</v>
      </c>
      <c r="V48" s="72">
        <f>OPTI4_SORTINO_ALL_DATA[[#This Row],[SUMA]]-OPTI4_SORTINO_ALL_DATA[[#This Row],[VAR ROB]]</f>
        <v>-1.8656932785013922</v>
      </c>
    </row>
    <row r="49" spans="1:22" x14ac:dyDescent="0.25">
      <c r="A49" s="72"/>
      <c r="B49" s="53">
        <v>205129.06</v>
      </c>
      <c r="C49" s="53">
        <v>435813.77</v>
      </c>
      <c r="D49" s="53">
        <v>-230684.71</v>
      </c>
      <c r="E49" s="52">
        <v>1110</v>
      </c>
      <c r="F49" s="54">
        <v>42.252252252252298</v>
      </c>
      <c r="G49" s="55">
        <v>469</v>
      </c>
      <c r="H49" s="55">
        <v>641</v>
      </c>
      <c r="I49" s="53">
        <v>-82941.749999999796</v>
      </c>
      <c r="J49" s="56">
        <v>9.2247269562010695E-2</v>
      </c>
      <c r="K49" s="56">
        <v>0.24989497422969301</v>
      </c>
      <c r="L49" s="54">
        <f>-OPTI4_SORTINO_ALL_DATA[[#This Row],[Net Profit]]/OPTI4_SORTINO_ALL_DATA[[#This Row],[Max Intraday Drawdown]]</f>
        <v>2.4731701465184965</v>
      </c>
      <c r="M49" s="57">
        <v>0.5</v>
      </c>
      <c r="N49" s="54">
        <v>0.14000000000000001</v>
      </c>
      <c r="O49" s="50">
        <v>0.43972270380878592</v>
      </c>
      <c r="P49" s="72">
        <f>(OPTI4_SORTINO_ALL_DATA[[#This Row],[Net Profit]]-B$74)/ABS(B$74)</f>
        <v>-0.84719823347148715</v>
      </c>
      <c r="Q49" s="72">
        <f>(OPTI4_SORTINO_ALL_DATA[[#This Row],[UPI]]-J$74)/ABS(J$74)</f>
        <v>-0.2297847745298765</v>
      </c>
      <c r="R49" s="72">
        <f>(OPTI4_SORTINO_ALL_DATA[[#This Row],[SORTINO AJUSTADO]]-K$74)/ABS(K$74)</f>
        <v>-0.23100559656453593</v>
      </c>
      <c r="S49" s="72">
        <f>(OPTI4_SORTINO_ALL_DATA[[#This Row],[RECOVERY]]-L$74)/ABS(L$74)</f>
        <v>-0.14210048589106813</v>
      </c>
      <c r="T49" s="72">
        <f>(OPTI4_SORTINO_ALL_DATA[[#This Row],[ROB]]-O$74)/ABS(O$74)</f>
        <v>-0.65904912057192389</v>
      </c>
      <c r="U49" s="72">
        <f>SUM(OPTI4_SORTINO_ALL_DATA[[#This Row],[VAR NET PROFIT]:[VAR ROB]])</f>
        <v>-2.1091382110288914</v>
      </c>
      <c r="V49" s="72">
        <f>OPTI4_SORTINO_ALL_DATA[[#This Row],[SUMA]]-OPTI4_SORTINO_ALL_DATA[[#This Row],[VAR ROB]]</f>
        <v>-1.4500890904569674</v>
      </c>
    </row>
    <row r="50" spans="1:22" x14ac:dyDescent="0.25">
      <c r="A50" s="72"/>
      <c r="B50" s="53">
        <v>295721.45</v>
      </c>
      <c r="C50" s="53">
        <v>943533.21</v>
      </c>
      <c r="D50" s="53">
        <v>-647811.76</v>
      </c>
      <c r="E50" s="52">
        <v>4013</v>
      </c>
      <c r="F50" s="54">
        <v>37.9018190879641</v>
      </c>
      <c r="G50" s="55">
        <v>1521</v>
      </c>
      <c r="H50" s="55">
        <v>2492</v>
      </c>
      <c r="I50" s="53">
        <v>-147926.79</v>
      </c>
      <c r="J50" s="56">
        <v>6.69174928071498E-2</v>
      </c>
      <c r="K50" s="56">
        <v>0.246374977080031</v>
      </c>
      <c r="L50" s="54">
        <f>-OPTI4_SORTINO_ALL_DATA[[#This Row],[Net Profit]]/OPTI4_SORTINO_ALL_DATA[[#This Row],[Max Intraday Drawdown]]</f>
        <v>1.9991067878914968</v>
      </c>
      <c r="M50" s="57">
        <v>1.5</v>
      </c>
      <c r="N50" s="54">
        <v>0.12</v>
      </c>
      <c r="O50" s="50">
        <v>0.74086605127287886</v>
      </c>
      <c r="P50" s="72">
        <f>(OPTI4_SORTINO_ALL_DATA[[#This Row],[Net Profit]]-B$74)/ABS(B$74)</f>
        <v>-0.77971546322898733</v>
      </c>
      <c r="Q50" s="72">
        <f>(OPTI4_SORTINO_ALL_DATA[[#This Row],[UPI]]-J$74)/ABS(J$74)</f>
        <v>-0.44127482520545158</v>
      </c>
      <c r="R50" s="72">
        <f>(OPTI4_SORTINO_ALL_DATA[[#This Row],[SORTINO AJUSTADO]]-K$74)/ABS(K$74)</f>
        <v>-0.24183757954675802</v>
      </c>
      <c r="S50" s="72">
        <f>(OPTI4_SORTINO_ALL_DATA[[#This Row],[RECOVERY]]-L$74)/ABS(L$74)</f>
        <v>-0.30654478245330213</v>
      </c>
      <c r="T50" s="72">
        <f>(OPTI4_SORTINO_ALL_DATA[[#This Row],[ROB]]-O$74)/ABS(O$74)</f>
        <v>-0.42554948941245196</v>
      </c>
      <c r="U50" s="72">
        <f>SUM(OPTI4_SORTINO_ALL_DATA[[#This Row],[VAR NET PROFIT]:[VAR ROB]])</f>
        <v>-2.1949221398469509</v>
      </c>
      <c r="V50" s="72">
        <f>OPTI4_SORTINO_ALL_DATA[[#This Row],[SUMA]]-OPTI4_SORTINO_ALL_DATA[[#This Row],[VAR ROB]]</f>
        <v>-1.7693726504344989</v>
      </c>
    </row>
    <row r="51" spans="1:22" x14ac:dyDescent="0.25">
      <c r="A51" s="72"/>
      <c r="B51" s="53">
        <v>370262.58</v>
      </c>
      <c r="C51" s="53">
        <v>1055971.6200000001</v>
      </c>
      <c r="D51" s="53">
        <v>-685709.04</v>
      </c>
      <c r="E51" s="52">
        <v>3434</v>
      </c>
      <c r="F51" s="54">
        <v>39.807804309842801</v>
      </c>
      <c r="G51" s="55">
        <v>1367</v>
      </c>
      <c r="H51" s="55">
        <v>2067</v>
      </c>
      <c r="I51" s="53">
        <v>-207305.320000001</v>
      </c>
      <c r="J51" s="56">
        <v>6.7196540568433993E-2</v>
      </c>
      <c r="K51" s="56">
        <v>0.247591890356337</v>
      </c>
      <c r="L51" s="54">
        <f>-OPTI4_SORTINO_ALL_DATA[[#This Row],[Net Profit]]/OPTI4_SORTINO_ALL_DATA[[#This Row],[Max Intraday Drawdown]]</f>
        <v>1.7860737003758429</v>
      </c>
      <c r="M51" s="57">
        <v>0</v>
      </c>
      <c r="N51" s="54">
        <v>0.14000000000000001</v>
      </c>
      <c r="O51" s="50">
        <v>0.74723786088563815</v>
      </c>
      <c r="P51" s="72">
        <f>(OPTI4_SORTINO_ALL_DATA[[#This Row],[Net Profit]]-B$74)/ABS(B$74)</f>
        <v>-0.72418936496172315</v>
      </c>
      <c r="Q51" s="72">
        <f>(OPTI4_SORTINO_ALL_DATA[[#This Row],[UPI]]-J$74)/ABS(J$74)</f>
        <v>-0.43894492606160801</v>
      </c>
      <c r="R51" s="72">
        <f>(OPTI4_SORTINO_ALL_DATA[[#This Row],[SORTINO AJUSTADO]]-K$74)/ABS(K$74)</f>
        <v>-0.23809280836106192</v>
      </c>
      <c r="S51" s="72">
        <f>(OPTI4_SORTINO_ALL_DATA[[#This Row],[RECOVERY]]-L$74)/ABS(L$74)</f>
        <v>-0.38044223852848535</v>
      </c>
      <c r="T51" s="72">
        <f>(OPTI4_SORTINO_ALL_DATA[[#This Row],[ROB]]-O$74)/ABS(O$74)</f>
        <v>-0.42060893466692473</v>
      </c>
      <c r="U51" s="72">
        <f>SUM(OPTI4_SORTINO_ALL_DATA[[#This Row],[VAR NET PROFIT]:[VAR ROB]])</f>
        <v>-2.2022782725798029</v>
      </c>
      <c r="V51" s="72">
        <f>OPTI4_SORTINO_ALL_DATA[[#This Row],[SUMA]]-OPTI4_SORTINO_ALL_DATA[[#This Row],[VAR ROB]]</f>
        <v>-1.7816693379128781</v>
      </c>
    </row>
    <row r="52" spans="1:22" x14ac:dyDescent="0.25">
      <c r="A52" s="72"/>
      <c r="B52" s="53">
        <v>528900.29</v>
      </c>
      <c r="C52" s="53">
        <v>1356312.05</v>
      </c>
      <c r="D52" s="53">
        <v>-827411.76</v>
      </c>
      <c r="E52" s="52">
        <v>2539</v>
      </c>
      <c r="F52" s="54">
        <v>41.039779440724701</v>
      </c>
      <c r="G52" s="55">
        <v>1042</v>
      </c>
      <c r="H52" s="55">
        <v>1497</v>
      </c>
      <c r="I52" s="53">
        <v>-330136.68</v>
      </c>
      <c r="J52" s="56">
        <v>8.3288115327235596E-2</v>
      </c>
      <c r="K52" s="56">
        <v>0.26466281087354299</v>
      </c>
      <c r="L52" s="54">
        <f>-OPTI4_SORTINO_ALL_DATA[[#This Row],[Net Profit]]/OPTI4_SORTINO_ALL_DATA[[#This Row],[Max Intraday Drawdown]]</f>
        <v>1.6020646054840075</v>
      </c>
      <c r="M52" s="57">
        <v>0</v>
      </c>
      <c r="N52" s="54">
        <v>0.17</v>
      </c>
      <c r="O52" s="50">
        <v>0.4094195290822924</v>
      </c>
      <c r="P52" s="72">
        <f>(OPTI4_SORTINO_ALL_DATA[[#This Row],[Net Profit]]-B$74)/ABS(B$74)</f>
        <v>-0.60601926109619619</v>
      </c>
      <c r="Q52" s="72">
        <f>(OPTI4_SORTINO_ALL_DATA[[#This Row],[UPI]]-J$74)/ABS(J$74)</f>
        <v>-0.30458890728873567</v>
      </c>
      <c r="R52" s="72">
        <f>(OPTI4_SORTINO_ALL_DATA[[#This Row],[SORTINO AJUSTADO]]-K$74)/ABS(K$74)</f>
        <v>-0.18556097021710291</v>
      </c>
      <c r="S52" s="72">
        <f>(OPTI4_SORTINO_ALL_DATA[[#This Row],[RECOVERY]]-L$74)/ABS(L$74)</f>
        <v>-0.4442717786519389</v>
      </c>
      <c r="T52" s="72">
        <f>(OPTI4_SORTINO_ALL_DATA[[#This Row],[ROB]]-O$74)/ABS(O$74)</f>
        <v>-0.68254550586876639</v>
      </c>
      <c r="U52" s="72">
        <f>SUM(OPTI4_SORTINO_ALL_DATA[[#This Row],[VAR NET PROFIT]:[VAR ROB]])</f>
        <v>-2.2229864231227401</v>
      </c>
      <c r="V52" s="72">
        <f>OPTI4_SORTINO_ALL_DATA[[#This Row],[SUMA]]-OPTI4_SORTINO_ALL_DATA[[#This Row],[VAR ROB]]</f>
        <v>-1.5404409172539737</v>
      </c>
    </row>
    <row r="53" spans="1:22" x14ac:dyDescent="0.25">
      <c r="A53" s="72"/>
      <c r="B53" s="53">
        <v>380322.38</v>
      </c>
      <c r="C53" s="53">
        <v>1068107.49</v>
      </c>
      <c r="D53" s="53">
        <v>-687785.11</v>
      </c>
      <c r="E53" s="52">
        <v>3101</v>
      </c>
      <c r="F53" s="54">
        <v>39.4388906804257</v>
      </c>
      <c r="G53" s="55">
        <v>1223</v>
      </c>
      <c r="H53" s="55">
        <v>1878</v>
      </c>
      <c r="I53" s="53">
        <v>-213763.21</v>
      </c>
      <c r="J53" s="56">
        <v>7.0305316120307201E-2</v>
      </c>
      <c r="K53" s="56">
        <v>0.242948227389362</v>
      </c>
      <c r="L53" s="54">
        <f>-OPTI4_SORTINO_ALL_DATA[[#This Row],[Net Profit]]/OPTI4_SORTINO_ALL_DATA[[#This Row],[Max Intraday Drawdown]]</f>
        <v>1.7791760331443376</v>
      </c>
      <c r="M53" s="57">
        <v>0</v>
      </c>
      <c r="N53" s="54">
        <v>0.15</v>
      </c>
      <c r="O53" s="50">
        <v>0.68094608099665477</v>
      </c>
      <c r="P53" s="72">
        <f>(OPTI4_SORTINO_ALL_DATA[[#This Row],[Net Profit]]-B$74)/ABS(B$74)</f>
        <v>-0.71669576453805073</v>
      </c>
      <c r="Q53" s="72">
        <f>(OPTI4_SORTINO_ALL_DATA[[#This Row],[UPI]]-J$74)/ABS(J$74)</f>
        <v>-0.41298831754635601</v>
      </c>
      <c r="R53" s="72">
        <f>(OPTI4_SORTINO_ALL_DATA[[#This Row],[SORTINO AJUSTADO]]-K$74)/ABS(K$74)</f>
        <v>-0.25238261488498998</v>
      </c>
      <c r="S53" s="72">
        <f>(OPTI4_SORTINO_ALL_DATA[[#This Row],[RECOVERY]]-L$74)/ABS(L$74)</f>
        <v>-0.38283491877926534</v>
      </c>
      <c r="T53" s="72">
        <f>(OPTI4_SORTINO_ALL_DATA[[#This Row],[ROB]]-O$74)/ABS(O$74)</f>
        <v>-0.47201005736590179</v>
      </c>
      <c r="U53" s="72">
        <f>SUM(OPTI4_SORTINO_ALL_DATA[[#This Row],[VAR NET PROFIT]:[VAR ROB]])</f>
        <v>-2.2369116731145637</v>
      </c>
      <c r="V53" s="72">
        <f>OPTI4_SORTINO_ALL_DATA[[#This Row],[SUMA]]-OPTI4_SORTINO_ALL_DATA[[#This Row],[VAR ROB]]</f>
        <v>-1.7649016157486619</v>
      </c>
    </row>
    <row r="54" spans="1:22" x14ac:dyDescent="0.25">
      <c r="A54" s="72"/>
      <c r="B54" s="53">
        <v>482933.52</v>
      </c>
      <c r="C54" s="53">
        <v>1292986.31</v>
      </c>
      <c r="D54" s="53">
        <v>-810052.79</v>
      </c>
      <c r="E54" s="52">
        <v>2786</v>
      </c>
      <c r="F54" s="54">
        <v>40.308686288585797</v>
      </c>
      <c r="G54" s="55">
        <v>1123</v>
      </c>
      <c r="H54" s="55">
        <v>1663</v>
      </c>
      <c r="I54" s="53">
        <v>-297484.96000000002</v>
      </c>
      <c r="J54" s="56">
        <v>8.01124589364373E-2</v>
      </c>
      <c r="K54" s="56">
        <v>0.264415691073277</v>
      </c>
      <c r="L54" s="54">
        <f>-OPTI4_SORTINO_ALL_DATA[[#This Row],[Net Profit]]/OPTI4_SORTINO_ALL_DATA[[#This Row],[Max Intraday Drawdown]]</f>
        <v>1.6233880193472638</v>
      </c>
      <c r="M54" s="57">
        <v>0</v>
      </c>
      <c r="N54" s="54">
        <v>0.16</v>
      </c>
      <c r="O54" s="50">
        <v>0.40587391443805165</v>
      </c>
      <c r="P54" s="72">
        <f>(OPTI4_SORTINO_ALL_DATA[[#This Row],[Net Profit]]-B$74)/ABS(B$74)</f>
        <v>-0.64026016122809293</v>
      </c>
      <c r="Q54" s="72">
        <f>(OPTI4_SORTINO_ALL_DATA[[#This Row],[UPI]]-J$74)/ABS(J$74)</f>
        <v>-0.33110393493852569</v>
      </c>
      <c r="R54" s="72">
        <f>(OPTI4_SORTINO_ALL_DATA[[#This Row],[SORTINO AJUSTADO]]-K$74)/ABS(K$74)</f>
        <v>-0.18632142465988799</v>
      </c>
      <c r="S54" s="72">
        <f>(OPTI4_SORTINO_ALL_DATA[[#This Row],[RECOVERY]]-L$74)/ABS(L$74)</f>
        <v>-0.43687505893243928</v>
      </c>
      <c r="T54" s="72">
        <f>(OPTI4_SORTINO_ALL_DATA[[#This Row],[ROB]]-O$74)/ABS(O$74)</f>
        <v>-0.68529469398344833</v>
      </c>
      <c r="U54" s="72">
        <f>SUM(OPTI4_SORTINO_ALL_DATA[[#This Row],[VAR NET PROFIT]:[VAR ROB]])</f>
        <v>-2.2798552737423945</v>
      </c>
      <c r="V54" s="72">
        <f>OPTI4_SORTINO_ALL_DATA[[#This Row],[SUMA]]-OPTI4_SORTINO_ALL_DATA[[#This Row],[VAR ROB]]</f>
        <v>-1.5945605797589462</v>
      </c>
    </row>
    <row r="55" spans="1:22" x14ac:dyDescent="0.25">
      <c r="A55" s="72"/>
      <c r="B55" s="53">
        <v>91830.04</v>
      </c>
      <c r="C55" s="53">
        <v>254536.09</v>
      </c>
      <c r="D55" s="53">
        <v>-162706.04999999999</v>
      </c>
      <c r="E55" s="52">
        <v>1309</v>
      </c>
      <c r="F55" s="54">
        <v>39.877769289534001</v>
      </c>
      <c r="G55" s="55">
        <v>522</v>
      </c>
      <c r="H55" s="55">
        <v>787</v>
      </c>
      <c r="I55" s="53">
        <v>-36892.44</v>
      </c>
      <c r="J55" s="56">
        <v>7.4201630104068994E-2</v>
      </c>
      <c r="K55" s="56">
        <v>0.223618746605003</v>
      </c>
      <c r="L55" s="54">
        <f>-OPTI4_SORTINO_ALL_DATA[[#This Row],[Net Profit]]/OPTI4_SORTINO_ALL_DATA[[#This Row],[Max Intraday Drawdown]]</f>
        <v>2.4891289380696962</v>
      </c>
      <c r="M55" s="57">
        <v>0.5</v>
      </c>
      <c r="N55" s="54">
        <v>0.11</v>
      </c>
      <c r="O55" s="50">
        <v>0.58707987095507985</v>
      </c>
      <c r="P55" s="72">
        <f>(OPTI4_SORTINO_ALL_DATA[[#This Row],[Net Profit]]-B$74)/ABS(B$74)</f>
        <v>-0.93159529745622582</v>
      </c>
      <c r="Q55" s="72">
        <f>(OPTI4_SORTINO_ALL_DATA[[#This Row],[UPI]]-J$74)/ABS(J$74)</f>
        <v>-0.3804561855086902</v>
      </c>
      <c r="R55" s="72">
        <f>(OPTI4_SORTINO_ALL_DATA[[#This Row],[SORTINO AJUSTADO]]-K$74)/ABS(K$74)</f>
        <v>-0.31186465365069482</v>
      </c>
      <c r="S55" s="72">
        <f>(OPTI4_SORTINO_ALL_DATA[[#This Row],[RECOVERY]]-L$74)/ABS(L$74)</f>
        <v>-0.13656465992421629</v>
      </c>
      <c r="T55" s="72">
        <f>(OPTI4_SORTINO_ALL_DATA[[#This Row],[ROB]]-O$74)/ABS(O$74)</f>
        <v>-0.54479175952739023</v>
      </c>
      <c r="U55" s="72">
        <f>SUM(OPTI4_SORTINO_ALL_DATA[[#This Row],[VAR NET PROFIT]:[VAR ROB]])</f>
        <v>-2.3052725560672171</v>
      </c>
      <c r="V55" s="72">
        <f>OPTI4_SORTINO_ALL_DATA[[#This Row],[SUMA]]-OPTI4_SORTINO_ALL_DATA[[#This Row],[VAR ROB]]</f>
        <v>-1.7604807965398268</v>
      </c>
    </row>
    <row r="56" spans="1:22" x14ac:dyDescent="0.25">
      <c r="A56" s="72"/>
      <c r="B56" s="53">
        <v>131483.04</v>
      </c>
      <c r="C56" s="53">
        <v>575131.61</v>
      </c>
      <c r="D56" s="53">
        <v>-443648.57</v>
      </c>
      <c r="E56" s="52">
        <v>4439</v>
      </c>
      <c r="F56" s="54">
        <v>37.666141022752903</v>
      </c>
      <c r="G56" s="55">
        <v>1672</v>
      </c>
      <c r="H56" s="55">
        <v>2767</v>
      </c>
      <c r="I56" s="53">
        <v>-69265.6700000001</v>
      </c>
      <c r="J56" s="56">
        <v>4.0312519558305997E-2</v>
      </c>
      <c r="K56" s="56">
        <v>0.20796285102217699</v>
      </c>
      <c r="L56" s="54">
        <f>-OPTI4_SORTINO_ALL_DATA[[#This Row],[Net Profit]]/OPTI4_SORTINO_ALL_DATA[[#This Row],[Max Intraday Drawdown]]</f>
        <v>1.8982425204289486</v>
      </c>
      <c r="M56" s="57">
        <v>1</v>
      </c>
      <c r="N56" s="54">
        <v>0.1</v>
      </c>
      <c r="O56" s="50">
        <v>1.0548351301119496</v>
      </c>
      <c r="P56" s="72">
        <f>(OPTI4_SORTINO_ALL_DATA[[#This Row],[Net Profit]]-B$74)/ABS(B$74)</f>
        <v>-0.9020575593699931</v>
      </c>
      <c r="Q56" s="72">
        <f>(OPTI4_SORTINO_ALL_DATA[[#This Row],[UPI]]-J$74)/ABS(J$74)</f>
        <v>-0.66341208267419383</v>
      </c>
      <c r="R56" s="72">
        <f>(OPTI4_SORTINO_ALL_DATA[[#This Row],[SORTINO AJUSTADO]]-K$74)/ABS(K$74)</f>
        <v>-0.36004207747074007</v>
      </c>
      <c r="S56" s="72">
        <f>(OPTI4_SORTINO_ALL_DATA[[#This Row],[RECOVERY]]-L$74)/ABS(L$74)</f>
        <v>-0.34153283459718092</v>
      </c>
      <c r="T56" s="72">
        <f>(OPTI4_SORTINO_ALL_DATA[[#This Row],[ROB]]-O$74)/ABS(O$74)</f>
        <v>-0.182105080888224</v>
      </c>
      <c r="U56" s="72">
        <f>SUM(OPTI4_SORTINO_ALL_DATA[[#This Row],[VAR NET PROFIT]:[VAR ROB]])</f>
        <v>-2.4491496350003321</v>
      </c>
      <c r="V56" s="72">
        <f>OPTI4_SORTINO_ALL_DATA[[#This Row],[SUMA]]-OPTI4_SORTINO_ALL_DATA[[#This Row],[VAR ROB]]</f>
        <v>-2.267044554112108</v>
      </c>
    </row>
    <row r="57" spans="1:22" x14ac:dyDescent="0.25">
      <c r="A57" s="72"/>
      <c r="B57" s="53">
        <v>177670.88</v>
      </c>
      <c r="C57" s="53">
        <v>750928.94</v>
      </c>
      <c r="D57" s="53">
        <v>-573258.06000000006</v>
      </c>
      <c r="E57" s="52">
        <v>4832</v>
      </c>
      <c r="F57" s="54">
        <v>37.148178807946998</v>
      </c>
      <c r="G57" s="55">
        <v>1795</v>
      </c>
      <c r="H57" s="55">
        <v>3037</v>
      </c>
      <c r="I57" s="53">
        <v>-103244.98</v>
      </c>
      <c r="J57" s="56">
        <v>4.2137903601496399E-2</v>
      </c>
      <c r="K57" s="56">
        <v>0.20486792210520799</v>
      </c>
      <c r="L57" s="54">
        <f>-OPTI4_SORTINO_ALL_DATA[[#This Row],[Net Profit]]/OPTI4_SORTINO_ALL_DATA[[#This Row],[Max Intraday Drawdown]]</f>
        <v>1.7208670097083656</v>
      </c>
      <c r="M57" s="57">
        <v>0</v>
      </c>
      <c r="N57" s="54">
        <v>0.11</v>
      </c>
      <c r="O57" s="50">
        <v>0.99171845274860093</v>
      </c>
      <c r="P57" s="72">
        <f>(OPTI4_SORTINO_ALL_DATA[[#This Row],[Net Profit]]-B$74)/ABS(B$74)</f>
        <v>-0.8676519829775684</v>
      </c>
      <c r="Q57" s="72">
        <f>(OPTI4_SORTINO_ALL_DATA[[#This Row],[UPI]]-J$74)/ABS(J$74)</f>
        <v>-0.64817110492958574</v>
      </c>
      <c r="R57" s="72">
        <f>(OPTI4_SORTINO_ALL_DATA[[#This Row],[SORTINO AJUSTADO]]-K$74)/ABS(K$74)</f>
        <v>-0.36956601056909905</v>
      </c>
      <c r="S57" s="72">
        <f>(OPTI4_SORTINO_ALL_DATA[[#This Row],[RECOVERY]]-L$74)/ABS(L$74)</f>
        <v>-0.40306130026955828</v>
      </c>
      <c r="T57" s="72">
        <f>(OPTI4_SORTINO_ALL_DATA[[#This Row],[ROB]]-O$74)/ABS(O$74)</f>
        <v>-0.23104430205468382</v>
      </c>
      <c r="U57" s="72">
        <f>SUM(OPTI4_SORTINO_ALL_DATA[[#This Row],[VAR NET PROFIT]:[VAR ROB]])</f>
        <v>-2.5194947008004953</v>
      </c>
      <c r="V57" s="72">
        <f>OPTI4_SORTINO_ALL_DATA[[#This Row],[SUMA]]-OPTI4_SORTINO_ALL_DATA[[#This Row],[VAR ROB]]</f>
        <v>-2.2884503987458116</v>
      </c>
    </row>
    <row r="58" spans="1:22" x14ac:dyDescent="0.25">
      <c r="A58" s="72"/>
      <c r="B58" s="53">
        <v>137908.76</v>
      </c>
      <c r="C58" s="53">
        <v>642953.03</v>
      </c>
      <c r="D58" s="53">
        <v>-505044.27</v>
      </c>
      <c r="E58" s="52">
        <v>5078</v>
      </c>
      <c r="F58" s="54">
        <v>36.904293028751503</v>
      </c>
      <c r="G58" s="55">
        <v>1874</v>
      </c>
      <c r="H58" s="55">
        <v>3203</v>
      </c>
      <c r="I58" s="53">
        <v>-72960.490000000107</v>
      </c>
      <c r="J58" s="56">
        <v>3.9569085089831701E-2</v>
      </c>
      <c r="K58" s="56">
        <v>0.19784971273510299</v>
      </c>
      <c r="L58" s="54">
        <f>-OPTI4_SORTINO_ALL_DATA[[#This Row],[Net Profit]]/OPTI4_SORTINO_ALL_DATA[[#This Row],[Max Intraday Drawdown]]</f>
        <v>1.8901841256822673</v>
      </c>
      <c r="M58" s="57">
        <v>1.5</v>
      </c>
      <c r="N58" s="54">
        <v>0.1</v>
      </c>
      <c r="O58" s="50">
        <v>1.0085783771605488</v>
      </c>
      <c r="P58" s="72">
        <f>(OPTI4_SORTINO_ALL_DATA[[#This Row],[Net Profit]]-B$74)/ABS(B$74)</f>
        <v>-0.89727100515277214</v>
      </c>
      <c r="Q58" s="72">
        <f>(OPTI4_SORTINO_ALL_DATA[[#This Row],[UPI]]-J$74)/ABS(J$74)</f>
        <v>-0.66961936175656567</v>
      </c>
      <c r="R58" s="72">
        <f>(OPTI4_SORTINO_ALL_DATA[[#This Row],[SORTINO AJUSTADO]]-K$74)/ABS(K$74)</f>
        <v>-0.39116293841602895</v>
      </c>
      <c r="S58" s="72">
        <f>(OPTI4_SORTINO_ALL_DATA[[#This Row],[RECOVERY]]-L$74)/ABS(L$74)</f>
        <v>-0.3443281509434532</v>
      </c>
      <c r="T58" s="72">
        <f>(OPTI4_SORTINO_ALL_DATA[[#This Row],[ROB]]-O$74)/ABS(O$74)</f>
        <v>-0.2179715041173633</v>
      </c>
      <c r="U58" s="72">
        <f>SUM(OPTI4_SORTINO_ALL_DATA[[#This Row],[VAR NET PROFIT]:[VAR ROB]])</f>
        <v>-2.5203529603861834</v>
      </c>
      <c r="V58" s="72">
        <f>OPTI4_SORTINO_ALL_DATA[[#This Row],[SUMA]]-OPTI4_SORTINO_ALL_DATA[[#This Row],[VAR ROB]]</f>
        <v>-2.3023814562688201</v>
      </c>
    </row>
    <row r="59" spans="1:22" x14ac:dyDescent="0.25">
      <c r="A59" s="72"/>
      <c r="B59" s="53">
        <v>248839.11</v>
      </c>
      <c r="C59" s="53">
        <v>879629.29</v>
      </c>
      <c r="D59" s="53">
        <v>-630790.18000000005</v>
      </c>
      <c r="E59" s="52">
        <v>4249</v>
      </c>
      <c r="F59" s="54">
        <v>37.773593786773397</v>
      </c>
      <c r="G59" s="55">
        <v>1605</v>
      </c>
      <c r="H59" s="55">
        <v>2644</v>
      </c>
      <c r="I59" s="53">
        <v>-135592.68</v>
      </c>
      <c r="J59" s="56">
        <v>5.3604281231129501E-2</v>
      </c>
      <c r="K59" s="56">
        <v>0.22790531543505099</v>
      </c>
      <c r="L59" s="54">
        <f>-OPTI4_SORTINO_ALL_DATA[[#This Row],[Net Profit]]/OPTI4_SORTINO_ALL_DATA[[#This Row],[Max Intraday Drawdown]]</f>
        <v>1.8351957495050617</v>
      </c>
      <c r="M59" s="57">
        <v>0</v>
      </c>
      <c r="N59" s="54">
        <v>0.12</v>
      </c>
      <c r="O59" s="50">
        <v>0.6457498283381452</v>
      </c>
      <c r="P59" s="72">
        <f>(OPTI4_SORTINO_ALL_DATA[[#This Row],[Net Profit]]-B$74)/ABS(B$74)</f>
        <v>-0.81463837649632431</v>
      </c>
      <c r="Q59" s="72">
        <f>(OPTI4_SORTINO_ALL_DATA[[#This Row],[UPI]]-J$74)/ABS(J$74)</f>
        <v>-0.55243300153351016</v>
      </c>
      <c r="R59" s="72">
        <f>(OPTI4_SORTINO_ALL_DATA[[#This Row],[SORTINO AJUSTADO]]-K$74)/ABS(K$74)</f>
        <v>-0.29867372233881517</v>
      </c>
      <c r="S59" s="72">
        <f>(OPTI4_SORTINO_ALL_DATA[[#This Row],[RECOVERY]]-L$74)/ABS(L$74)</f>
        <v>-0.3634026579160009</v>
      </c>
      <c r="T59" s="72">
        <f>(OPTI4_SORTINO_ALL_DATA[[#This Row],[ROB]]-O$74)/ABS(O$74)</f>
        <v>-0.49930042284521053</v>
      </c>
      <c r="U59" s="72">
        <f>SUM(OPTI4_SORTINO_ALL_DATA[[#This Row],[VAR NET PROFIT]:[VAR ROB]])</f>
        <v>-2.5284481811298614</v>
      </c>
      <c r="V59" s="72">
        <f>OPTI4_SORTINO_ALL_DATA[[#This Row],[SUMA]]-OPTI4_SORTINO_ALL_DATA[[#This Row],[VAR ROB]]</f>
        <v>-2.0291477582846507</v>
      </c>
    </row>
    <row r="60" spans="1:22" x14ac:dyDescent="0.25">
      <c r="A60" s="72"/>
      <c r="B60" s="53">
        <v>133521</v>
      </c>
      <c r="C60" s="53">
        <v>661174.97</v>
      </c>
      <c r="D60" s="53">
        <v>-527653.97</v>
      </c>
      <c r="E60" s="52">
        <v>5412</v>
      </c>
      <c r="F60" s="54">
        <v>37.084257206208399</v>
      </c>
      <c r="G60" s="55">
        <v>2007</v>
      </c>
      <c r="H60" s="55">
        <v>3404</v>
      </c>
      <c r="I60" s="53">
        <v>-76662</v>
      </c>
      <c r="J60" s="56">
        <v>3.2399060137810999E-2</v>
      </c>
      <c r="K60" s="56">
        <v>0.188318599732301</v>
      </c>
      <c r="L60" s="54">
        <f>-OPTI4_SORTINO_ALL_DATA[[#This Row],[Net Profit]]/OPTI4_SORTINO_ALL_DATA[[#This Row],[Max Intraday Drawdown]]</f>
        <v>1.7416842764342177</v>
      </c>
      <c r="M60" s="57">
        <v>0</v>
      </c>
      <c r="N60" s="54">
        <v>0.1</v>
      </c>
      <c r="O60" s="50">
        <v>0.98018243823664053</v>
      </c>
      <c r="P60" s="72">
        <f>(OPTI4_SORTINO_ALL_DATA[[#This Row],[Net Profit]]-B$74)/ABS(B$74)</f>
        <v>-0.90053947174206539</v>
      </c>
      <c r="Q60" s="72">
        <f>(OPTI4_SORTINO_ALL_DATA[[#This Row],[UPI]]-J$74)/ABS(J$74)</f>
        <v>-0.72948522457578668</v>
      </c>
      <c r="R60" s="72">
        <f>(OPTI4_SORTINO_ALL_DATA[[#This Row],[SORTINO AJUSTADO]]-K$74)/ABS(K$74)</f>
        <v>-0.42049275019099025</v>
      </c>
      <c r="S60" s="72">
        <f>(OPTI4_SORTINO_ALL_DATA[[#This Row],[RECOVERY]]-L$74)/ABS(L$74)</f>
        <v>-0.39584015414893042</v>
      </c>
      <c r="T60" s="72">
        <f>(OPTI4_SORTINO_ALL_DATA[[#This Row],[ROB]]-O$74)/ABS(O$74)</f>
        <v>-0.23998906260236369</v>
      </c>
      <c r="U60" s="72">
        <f>SUM(OPTI4_SORTINO_ALL_DATA[[#This Row],[VAR NET PROFIT]:[VAR ROB]])</f>
        <v>-2.686346663260136</v>
      </c>
      <c r="V60" s="72">
        <f>OPTI4_SORTINO_ALL_DATA[[#This Row],[SUMA]]-OPTI4_SORTINO_ALL_DATA[[#This Row],[VAR ROB]]</f>
        <v>-2.4463576006577723</v>
      </c>
    </row>
    <row r="61" spans="1:22" x14ac:dyDescent="0.25">
      <c r="A61" s="72"/>
      <c r="B61" s="53">
        <v>65771.389999999898</v>
      </c>
      <c r="C61" s="53">
        <v>214458.16</v>
      </c>
      <c r="D61" s="53">
        <v>-148686.76999999999</v>
      </c>
      <c r="E61" s="52">
        <v>1374</v>
      </c>
      <c r="F61" s="54">
        <v>38.355167394468701</v>
      </c>
      <c r="G61" s="55">
        <v>527</v>
      </c>
      <c r="H61" s="55">
        <v>847</v>
      </c>
      <c r="I61" s="53">
        <v>-29241.4</v>
      </c>
      <c r="J61" s="56">
        <v>6.0907465088264501E-2</v>
      </c>
      <c r="K61" s="56">
        <v>0.19992580675375901</v>
      </c>
      <c r="L61" s="54">
        <f>-OPTI4_SORTINO_ALL_DATA[[#This Row],[Net Profit]]/OPTI4_SORTINO_ALL_DATA[[#This Row],[Max Intraday Drawdown]]</f>
        <v>2.2492558495831219</v>
      </c>
      <c r="M61" s="57">
        <v>0.5</v>
      </c>
      <c r="N61" s="54">
        <v>0.1</v>
      </c>
      <c r="O61" s="50">
        <v>0.24225152909099068</v>
      </c>
      <c r="P61" s="72">
        <f>(OPTI4_SORTINO_ALL_DATA[[#This Row],[Net Profit]]-B$74)/ABS(B$74)</f>
        <v>-0.95100652935748964</v>
      </c>
      <c r="Q61" s="72">
        <f>(OPTI4_SORTINO_ALL_DATA[[#This Row],[UPI]]-J$74)/ABS(J$74)</f>
        <v>-0.49145533327426988</v>
      </c>
      <c r="R61" s="72">
        <f>(OPTI4_SORTINO_ALL_DATA[[#This Row],[SORTINO AJUSTADO]]-K$74)/ABS(K$74)</f>
        <v>-0.38477423577695591</v>
      </c>
      <c r="S61" s="72">
        <f>(OPTI4_SORTINO_ALL_DATA[[#This Row],[RECOVERY]]-L$74)/ABS(L$74)</f>
        <v>-0.21977244340410709</v>
      </c>
      <c r="T61" s="72">
        <f>(OPTI4_SORTINO_ALL_DATA[[#This Row],[ROB]]-O$74)/ABS(O$74)</f>
        <v>-0.81216373143587683</v>
      </c>
      <c r="U61" s="72">
        <f>SUM(OPTI4_SORTINO_ALL_DATA[[#This Row],[VAR NET PROFIT]:[VAR ROB]])</f>
        <v>-2.8591722732486993</v>
      </c>
      <c r="V61" s="72">
        <f>OPTI4_SORTINO_ALL_DATA[[#This Row],[SUMA]]-OPTI4_SORTINO_ALL_DATA[[#This Row],[VAR ROB]]</f>
        <v>-2.0470085418128225</v>
      </c>
    </row>
    <row r="64" spans="1:22" s="52" customFormat="1" ht="30" customHeight="1" x14ac:dyDescent="0.25">
      <c r="A64" s="3" t="s">
        <v>56</v>
      </c>
      <c r="B64" s="61">
        <v>593297.65816666663</v>
      </c>
      <c r="C64" s="61">
        <v>1322631.9586666669</v>
      </c>
      <c r="D64" s="61">
        <v>-729334.30050000013</v>
      </c>
      <c r="E64" s="11">
        <v>2231.25</v>
      </c>
      <c r="F64" s="10">
        <v>42.220223712325904</v>
      </c>
      <c r="G64" s="11">
        <v>906.43333333333328</v>
      </c>
      <c r="H64" s="11">
        <v>1324.6833333333334</v>
      </c>
      <c r="I64" s="61">
        <v>-374828.99816666677</v>
      </c>
      <c r="J64" s="62">
        <v>9.1558924806299929E-2</v>
      </c>
      <c r="K64" s="62">
        <v>0.2729281388396555</v>
      </c>
      <c r="L64" s="10">
        <v>1.8205537548581823</v>
      </c>
      <c r="M64" s="11">
        <v>0.75</v>
      </c>
      <c r="N64" s="11">
        <v>0.17000000000000004</v>
      </c>
      <c r="O64" s="63">
        <v>0.48591236559985895</v>
      </c>
    </row>
    <row r="65" spans="1:15" s="52" customFormat="1" ht="30" customHeight="1" x14ac:dyDescent="0.25">
      <c r="A65" s="3" t="s">
        <v>57</v>
      </c>
      <c r="B65" s="64">
        <v>46289.143210940827</v>
      </c>
      <c r="C65" s="64">
        <v>86312.449081274375</v>
      </c>
      <c r="D65" s="64">
        <v>42929.179998368054</v>
      </c>
      <c r="E65" s="11">
        <v>159.88441556889748</v>
      </c>
      <c r="F65" s="10">
        <v>0.45236230804700739</v>
      </c>
      <c r="G65" s="11">
        <v>57.055668953213413</v>
      </c>
      <c r="H65" s="11">
        <v>102.94946786236929</v>
      </c>
      <c r="I65" s="61">
        <v>36917.346639471652</v>
      </c>
      <c r="J65" s="62">
        <v>3.0908506764830137E-3</v>
      </c>
      <c r="K65" s="62">
        <v>4.4344509350937363E-3</v>
      </c>
      <c r="L65" s="10">
        <v>4.9555785739464647E-2</v>
      </c>
      <c r="M65" s="11">
        <v>7.2777813717447737E-2</v>
      </c>
      <c r="N65" s="11">
        <v>5.6248038258321286E-3</v>
      </c>
      <c r="O65" s="63">
        <v>3.5267550482947586E-2</v>
      </c>
    </row>
    <row r="66" spans="1:15" s="52" customFormat="1" ht="30" customHeight="1" x14ac:dyDescent="0.25">
      <c r="A66" s="3" t="s">
        <v>58</v>
      </c>
      <c r="B66" s="65">
        <v>533530.2350000001</v>
      </c>
      <c r="C66" s="61">
        <v>1138340.415</v>
      </c>
      <c r="D66" s="61">
        <v>-712981.45500000007</v>
      </c>
      <c r="E66" s="66">
        <v>1879.5</v>
      </c>
      <c r="F66" s="10">
        <v>42.131280765301398</v>
      </c>
      <c r="G66" s="11">
        <v>800.5</v>
      </c>
      <c r="H66" s="11">
        <v>1081.5</v>
      </c>
      <c r="I66" s="61">
        <v>-298817.63500000001</v>
      </c>
      <c r="J66" s="67">
        <v>9.83119260762918E-2</v>
      </c>
      <c r="K66" s="68">
        <v>0.28225787694612103</v>
      </c>
      <c r="L66" s="69">
        <v>1.749679820734936</v>
      </c>
      <c r="M66" s="11">
        <v>0.75</v>
      </c>
      <c r="N66" s="66">
        <v>0.17</v>
      </c>
      <c r="O66" s="70">
        <v>0.38494449189209479</v>
      </c>
    </row>
    <row r="67" spans="1:15" s="52" customFormat="1" ht="30" customHeight="1" x14ac:dyDescent="0.25">
      <c r="A67" s="3" t="s">
        <v>59</v>
      </c>
      <c r="B67" s="61" t="e">
        <v>#N/A</v>
      </c>
      <c r="C67" s="61" t="e">
        <v>#N/A</v>
      </c>
      <c r="D67" s="61" t="e">
        <v>#N/A</v>
      </c>
      <c r="E67" s="66" t="e">
        <v>#N/A</v>
      </c>
      <c r="F67" s="10" t="e">
        <v>#N/A</v>
      </c>
      <c r="G67" s="11" t="e">
        <v>#N/A</v>
      </c>
      <c r="H67" s="11" t="e">
        <v>#N/A</v>
      </c>
      <c r="I67" s="61" t="e">
        <v>#N/A</v>
      </c>
      <c r="J67" s="62" t="e">
        <v>#N/A</v>
      </c>
      <c r="K67" s="62" t="e">
        <v>#N/A</v>
      </c>
      <c r="L67" s="10" t="e">
        <v>#N/A</v>
      </c>
      <c r="M67" s="11">
        <v>0</v>
      </c>
      <c r="N67" s="66">
        <v>0.1</v>
      </c>
      <c r="O67" s="63" t="e">
        <v>#N/A</v>
      </c>
    </row>
    <row r="68" spans="1:15" s="52" customFormat="1" ht="30" customHeight="1" x14ac:dyDescent="0.25">
      <c r="A68" s="3" t="s">
        <v>60</v>
      </c>
      <c r="B68" s="61">
        <v>358554.16153236787</v>
      </c>
      <c r="C68" s="61">
        <v>668573.3557243027</v>
      </c>
      <c r="D68" s="61">
        <v>332527.99840004003</v>
      </c>
      <c r="E68" s="66">
        <v>1238.4593576328916</v>
      </c>
      <c r="F68" s="10">
        <v>3.5039833710360182</v>
      </c>
      <c r="G68" s="11">
        <v>441.95131132503826</v>
      </c>
      <c r="H68" s="11">
        <v>797.44314906374393</v>
      </c>
      <c r="I68" s="61">
        <v>285960.53744168015</v>
      </c>
      <c r="J68" s="62">
        <v>2.3941626391265281E-2</v>
      </c>
      <c r="K68" s="62">
        <v>3.4349109242383893E-2</v>
      </c>
      <c r="L68" s="10">
        <v>0.38385746575433916</v>
      </c>
      <c r="M68" s="11">
        <v>0.56373452100212162</v>
      </c>
      <c r="N68" s="11">
        <v>4.35695430862632E-2</v>
      </c>
      <c r="O68" s="63">
        <v>0.27318127136397069</v>
      </c>
    </row>
    <row r="69" spans="1:15" s="52" customFormat="1" ht="30" customHeight="1" x14ac:dyDescent="0.25">
      <c r="A69" s="3" t="s">
        <v>61</v>
      </c>
      <c r="B69" s="61">
        <v>128561086752.17935</v>
      </c>
      <c r="C69" s="61">
        <v>446990331984.45496</v>
      </c>
      <c r="D69" s="61">
        <v>110574869719.93704</v>
      </c>
      <c r="E69" s="66">
        <v>1533781.5805084745</v>
      </c>
      <c r="F69" s="10">
        <v>12.277899464496938</v>
      </c>
      <c r="G69" s="11">
        <v>195320.96158192091</v>
      </c>
      <c r="H69" s="11">
        <v>635915.57598870061</v>
      </c>
      <c r="I69" s="61">
        <v>81773428973.93457</v>
      </c>
      <c r="J69" s="62">
        <v>5.7320147425893027E-4</v>
      </c>
      <c r="K69" s="62">
        <v>1.1798613057452225E-3</v>
      </c>
      <c r="L69" s="10">
        <v>0.14734655401534366</v>
      </c>
      <c r="M69" s="11">
        <v>0.31779661016949151</v>
      </c>
      <c r="N69" s="11">
        <v>1.8983050847457457E-3</v>
      </c>
      <c r="O69" s="63">
        <v>7.4628007024035395E-2</v>
      </c>
    </row>
    <row r="70" spans="1:15" s="52" customFormat="1" ht="30" customHeight="1" x14ac:dyDescent="0.25">
      <c r="A70" s="3" t="s">
        <v>62</v>
      </c>
      <c r="B70" s="61">
        <v>-0.98083096788179835</v>
      </c>
      <c r="C70" s="61">
        <v>-1.0759255415603848</v>
      </c>
      <c r="D70" s="61">
        <v>-1.1977502650586846</v>
      </c>
      <c r="E70" s="66">
        <v>-0.20299269618210891</v>
      </c>
      <c r="F70" s="10">
        <v>0.36989043957754708</v>
      </c>
      <c r="G70" s="11">
        <v>-0.44725120634368976</v>
      </c>
      <c r="H70" s="11">
        <v>-6.1224918582720278E-2</v>
      </c>
      <c r="I70" s="64">
        <v>-0.6782457066386649</v>
      </c>
      <c r="J70" s="62">
        <v>-0.40531762409877503</v>
      </c>
      <c r="K70" s="62">
        <v>-0.24158383175857701</v>
      </c>
      <c r="L70" s="10">
        <v>0.17606711420980048</v>
      </c>
      <c r="M70" s="11">
        <v>-1.3734543254688436</v>
      </c>
      <c r="N70" s="66">
        <v>-1.2109379051075968</v>
      </c>
      <c r="O70" s="63">
        <v>0.93847947874405468</v>
      </c>
    </row>
    <row r="71" spans="1:15" s="52" customFormat="1" ht="30" customHeight="1" x14ac:dyDescent="0.25">
      <c r="A71" s="3" t="s">
        <v>63</v>
      </c>
      <c r="B71" s="61">
        <v>0.44478704878135589</v>
      </c>
      <c r="C71" s="61">
        <v>0.34553768756426972</v>
      </c>
      <c r="D71" s="61">
        <v>-6.6659252337190481E-3</v>
      </c>
      <c r="E71" s="66">
        <v>0.82118997055257825</v>
      </c>
      <c r="F71" s="10">
        <v>0.79548284864597463</v>
      </c>
      <c r="G71" s="11">
        <v>0.69800929383286958</v>
      </c>
      <c r="H71" s="11">
        <v>0.88700157874359686</v>
      </c>
      <c r="I71" s="64">
        <v>-0.76552200172625706</v>
      </c>
      <c r="J71" s="62">
        <v>-0.80416719576461393</v>
      </c>
      <c r="K71" s="62">
        <v>-0.6733747847190712</v>
      </c>
      <c r="L71" s="10">
        <v>0.71923957474747058</v>
      </c>
      <c r="M71" s="11">
        <v>4.6718911614851703E-17</v>
      </c>
      <c r="N71" s="66">
        <v>-2.8654265790442381E-15</v>
      </c>
      <c r="O71" s="63">
        <v>1.3271217666062736</v>
      </c>
    </row>
    <row r="72" spans="1:15" s="52" customFormat="1" ht="30" customHeight="1" x14ac:dyDescent="0.25">
      <c r="A72" s="3" t="s">
        <v>64</v>
      </c>
      <c r="B72" s="61">
        <v>1276680.76</v>
      </c>
      <c r="C72" s="61">
        <v>2373905.36</v>
      </c>
      <c r="D72" s="61">
        <v>1097224.6000000001</v>
      </c>
      <c r="E72" s="66">
        <v>4784</v>
      </c>
      <c r="F72" s="10">
        <v>14.6880636591466</v>
      </c>
      <c r="G72" s="66">
        <v>1683</v>
      </c>
      <c r="H72" s="66">
        <v>3100</v>
      </c>
      <c r="I72" s="61">
        <v>1005972.46</v>
      </c>
      <c r="J72" s="62">
        <v>8.7369111811405997E-2</v>
      </c>
      <c r="K72" s="62">
        <v>0.13664472004388098</v>
      </c>
      <c r="L72" s="10">
        <v>1.6676688707495357</v>
      </c>
      <c r="M72" s="11">
        <v>1.5</v>
      </c>
      <c r="N72" s="66">
        <v>0.13999999999999999</v>
      </c>
      <c r="O72" s="63">
        <v>1.0694684862049779</v>
      </c>
    </row>
    <row r="73" spans="1:15" s="52" customFormat="1" ht="30" customHeight="1" x14ac:dyDescent="0.25">
      <c r="A73" s="3" t="s">
        <v>65</v>
      </c>
      <c r="B73" s="65">
        <v>65771.389999999898</v>
      </c>
      <c r="C73" s="61">
        <v>214458.16</v>
      </c>
      <c r="D73" s="61">
        <v>-1245911.3700000001</v>
      </c>
      <c r="E73" s="66">
        <v>628</v>
      </c>
      <c r="F73" s="10">
        <v>36.904293028751503</v>
      </c>
      <c r="G73" s="66">
        <v>324</v>
      </c>
      <c r="H73" s="66">
        <v>304</v>
      </c>
      <c r="I73" s="61">
        <v>-1035213.86</v>
      </c>
      <c r="J73" s="67">
        <v>3.2399060137810999E-2</v>
      </c>
      <c r="K73" s="68">
        <v>0.188318599732301</v>
      </c>
      <c r="L73" s="69">
        <v>1.2151514431042212</v>
      </c>
      <c r="M73" s="11">
        <v>0</v>
      </c>
      <c r="N73" s="66">
        <v>0.1</v>
      </c>
      <c r="O73" s="70">
        <v>0.22022668791040578</v>
      </c>
    </row>
    <row r="74" spans="1:15" s="52" customFormat="1" ht="30" customHeight="1" x14ac:dyDescent="0.25">
      <c r="A74" s="3" t="s">
        <v>66</v>
      </c>
      <c r="B74" s="65">
        <v>1342452.15</v>
      </c>
      <c r="C74" s="61">
        <v>2588363.52</v>
      </c>
      <c r="D74" s="61">
        <v>-148686.76999999999</v>
      </c>
      <c r="E74" s="66">
        <v>5412</v>
      </c>
      <c r="F74" s="10">
        <v>51.592356687898103</v>
      </c>
      <c r="G74" s="66">
        <v>2007</v>
      </c>
      <c r="H74" s="66">
        <v>3404</v>
      </c>
      <c r="I74" s="61">
        <v>-29241.4</v>
      </c>
      <c r="J74" s="67">
        <v>0.119768171949217</v>
      </c>
      <c r="K74" s="68">
        <v>0.32496331977618198</v>
      </c>
      <c r="L74" s="69">
        <v>2.8828203138537569</v>
      </c>
      <c r="M74" s="11">
        <v>1.5</v>
      </c>
      <c r="N74" s="66">
        <v>0.24</v>
      </c>
      <c r="O74" s="70">
        <v>1.2896951741153837</v>
      </c>
    </row>
    <row r="75" spans="1:15" s="52" customFormat="1" ht="30" customHeight="1" x14ac:dyDescent="0.25">
      <c r="A75" s="3" t="s">
        <v>67</v>
      </c>
      <c r="B75" s="61">
        <v>92624.361620758558</v>
      </c>
      <c r="C75" s="61">
        <v>172710.81168310906</v>
      </c>
      <c r="D75" s="61">
        <v>85901.090761853833</v>
      </c>
      <c r="E75" s="11">
        <v>319.92797658170792</v>
      </c>
      <c r="F75" s="10">
        <v>0.90517488762340348</v>
      </c>
      <c r="G75" s="11">
        <v>114.16812986911437</v>
      </c>
      <c r="H75" s="11">
        <v>206.00140936924771</v>
      </c>
      <c r="I75" s="61">
        <v>73871.439996865258</v>
      </c>
      <c r="J75" s="62">
        <v>6.184777918003509E-3</v>
      </c>
      <c r="K75" s="62">
        <v>8.8733158254817677E-3</v>
      </c>
      <c r="L75" s="10">
        <v>9.9160898222201296E-2</v>
      </c>
      <c r="M75" s="11">
        <v>0.14562806887598193</v>
      </c>
      <c r="N75" s="11">
        <v>1.1255206458143301E-2</v>
      </c>
      <c r="O75" s="63">
        <v>7.0570205512872811E-2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36C64A-A571-4ADB-A7BD-B4ECE397DC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FICHA</vt:lpstr>
      <vt:lpstr>INS</vt:lpstr>
      <vt:lpstr>OOS</vt:lpstr>
      <vt:lpstr>ALL_DATA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Sánchez</dc:creator>
  <cp:lastModifiedBy>Alberto BR</cp:lastModifiedBy>
  <dcterms:created xsi:type="dcterms:W3CDTF">2024-02-12T16:34:18Z</dcterms:created>
  <dcterms:modified xsi:type="dcterms:W3CDTF">2024-02-19T14:15:20Z</dcterms:modified>
</cp:coreProperties>
</file>