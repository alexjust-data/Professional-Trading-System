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/>
  <xr:revisionPtr revIDLastSave="179" documentId="8_{35D98E5E-B9D6-4CC1-8D7E-ED903F02303C}" xr6:coauthVersionLast="47" xr6:coauthVersionMax="47" xr10:uidLastSave="{A42BEF1E-195A-4DA0-8D48-28E48DA7CBB3}"/>
  <bookViews>
    <workbookView xWindow="-29025" yWindow="-255" windowWidth="29040" windowHeight="15720" xr2:uid="{609EA30E-0DAA-41F1-AAAB-22907E0FF5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C10" i="1"/>
  <c r="D10" i="1"/>
  <c r="D15" i="1"/>
  <c r="B7" i="1" l="1"/>
  <c r="L15" i="1"/>
  <c r="O15" i="1" s="1"/>
  <c r="O16" i="1" s="1"/>
  <c r="M15" i="1"/>
  <c r="N15" i="1"/>
  <c r="O12" i="1"/>
  <c r="K15" i="1"/>
  <c r="J15" i="1"/>
  <c r="I15" i="1"/>
  <c r="C15" i="1"/>
  <c r="B15" i="1"/>
  <c r="E12" i="1"/>
  <c r="N9" i="1"/>
  <c r="M9" i="1"/>
  <c r="L9" i="1"/>
  <c r="J9" i="1"/>
  <c r="I9" i="1"/>
  <c r="K9" i="1"/>
  <c r="J7" i="1"/>
  <c r="K7" i="1"/>
  <c r="L7" i="1"/>
  <c r="M7" i="1"/>
  <c r="N7" i="1"/>
  <c r="I7" i="1"/>
  <c r="B9" i="1"/>
  <c r="C9" i="1"/>
  <c r="D9" i="1"/>
  <c r="C7" i="1"/>
  <c r="D7" i="1"/>
  <c r="E15" i="1" l="1"/>
  <c r="E16" i="1" s="1"/>
  <c r="L10" i="1"/>
  <c r="J10" i="1"/>
  <c r="I10" i="1"/>
  <c r="M10" i="1"/>
  <c r="N10" i="1"/>
  <c r="K10" i="1"/>
  <c r="E10" i="1" l="1"/>
  <c r="E11" i="1" s="1"/>
  <c r="O10" i="1"/>
  <c r="I11" i="1" s="1"/>
  <c r="D11" i="1" l="1"/>
  <c r="B11" i="1"/>
  <c r="C11" i="1"/>
  <c r="M11" i="1"/>
  <c r="L11" i="1"/>
  <c r="N11" i="1"/>
  <c r="K11" i="1"/>
  <c r="J11" i="1"/>
  <c r="O11" i="1" l="1"/>
</calcChain>
</file>

<file path=xl/sharedStrings.xml><?xml version="1.0" encoding="utf-8"?>
<sst xmlns="http://schemas.openxmlformats.org/spreadsheetml/2006/main" count="46" uniqueCount="28">
  <si>
    <t>S1</t>
  </si>
  <si>
    <t>S2</t>
  </si>
  <si>
    <t>S3</t>
  </si>
  <si>
    <t>Cuenta:</t>
  </si>
  <si>
    <t>Garantías</t>
  </si>
  <si>
    <t>Activo</t>
  </si>
  <si>
    <t>MES</t>
  </si>
  <si>
    <t>MGC</t>
  </si>
  <si>
    <t>Garantías+DD</t>
  </si>
  <si>
    <t>FV</t>
  </si>
  <si>
    <t>contratos</t>
  </si>
  <si>
    <t>Capital x sistema</t>
  </si>
  <si>
    <t>DD del sistema</t>
  </si>
  <si>
    <t>€/$</t>
  </si>
  <si>
    <t>total</t>
  </si>
  <si>
    <t>S4</t>
  </si>
  <si>
    <t>S5</t>
  </si>
  <si>
    <t>S6</t>
  </si>
  <si>
    <t>MNQ</t>
  </si>
  <si>
    <t>FGBL</t>
  </si>
  <si>
    <t>OPERARIAMOS</t>
  </si>
  <si>
    <t>PRECIO</t>
  </si>
  <si>
    <t>NOMINAL</t>
  </si>
  <si>
    <t>BPV</t>
  </si>
  <si>
    <t>APALANCAMIENTO</t>
  </si>
  <si>
    <t>MCL</t>
  </si>
  <si>
    <t>C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</si>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</sst>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#,##0\ [$€-1];[Red]\-#,##0\ [$€-1]"/>
  </numFmts>
  <fonts count="3" x14ac:knownFonts="1">
    <font>
      <sz val="11"/>
      <color theme="1"/>
      <name val="Myriad Pro"/>
      <family val="2"/>
      <scheme val="minor"/>
    </font>
    <font>
      <sz val="11"/>
      <color theme="1"/>
      <name val="Myriad Pro"/>
      <family val="2"/>
      <scheme val="minor"/>
    </font>
    <font>
      <b/>
      <sz val="11"/>
      <color theme="1"/>
      <name val="Myriad Pro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5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0" fontId="2" fillId="2" borderId="0" xfId="2" applyNumberFormat="1" applyFont="1" applyFill="1" applyAlignment="1">
      <alignment horizontal="center" vertical="center"/>
    </xf>
    <xf numFmtId="9" fontId="2" fillId="2" borderId="0" xfId="2" applyFont="1" applyFill="1" applyAlignment="1">
      <alignment horizontal="center" vertical="center"/>
    </xf>
    <xf numFmtId="7" fontId="0" fillId="0" borderId="0" xfId="0" applyNumberFormat="1" applyAlignment="1">
      <alignment horizontal="center" vertical="center"/>
    </xf>
    <xf numFmtId="2" fontId="0" fillId="0" borderId="0" xfId="2" applyNumberFormat="1" applyFont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ersan Sistemas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ersan Sistemas">
      <a:majorFont>
        <a:latin typeface="Myriad Pro Black"/>
        <a:ea typeface=""/>
        <a:cs typeface=""/>
      </a:majorFont>
      <a:minorFont>
        <a:latin typeface="Myriad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B7B04-C4F3-4282-B893-D8110D18A9AE}">
  <dimension ref="A2:O16"/>
  <sheetViews>
    <sheetView tabSelected="1" zoomScaleNormal="100" workbookViewId="0">
      <selection activeCell="D20" sqref="D20"/>
    </sheetView>
  </sheetViews>
  <sheetFormatPr baseColWidth="10" defaultRowHeight="15" x14ac:dyDescent="0.25"/>
  <cols>
    <col min="1" max="1" width="16" style="4" bestFit="1" customWidth="1"/>
    <col min="2" max="7" width="11" style="1"/>
    <col min="8" max="8" width="16" style="1" bestFit="1" customWidth="1"/>
    <col min="9" max="16384" width="11" style="1"/>
  </cols>
  <sheetData>
    <row r="2" spans="1:15" x14ac:dyDescent="0.25">
      <c r="A2" s="4" t="s">
        <v>3</v>
      </c>
      <c r="B2" s="2">
        <v>25000</v>
      </c>
      <c r="H2" s="4" t="s">
        <v>3</v>
      </c>
      <c r="I2" s="2">
        <v>100000</v>
      </c>
    </row>
    <row r="3" spans="1:15" x14ac:dyDescent="0.25">
      <c r="A3" s="4" t="s">
        <v>13</v>
      </c>
      <c r="B3" s="1">
        <v>1.1000000000000001</v>
      </c>
      <c r="H3" s="4" t="s">
        <v>13</v>
      </c>
      <c r="I3" s="1">
        <v>1.1000000000000001</v>
      </c>
    </row>
    <row r="4" spans="1:15" x14ac:dyDescent="0.25">
      <c r="B4" s="1" t="s">
        <v>0</v>
      </c>
      <c r="C4" s="1" t="s">
        <v>1</v>
      </c>
      <c r="D4" s="1" t="s">
        <v>2</v>
      </c>
      <c r="E4" s="1" t="s">
        <v>14</v>
      </c>
      <c r="H4" s="4"/>
      <c r="I4" s="1" t="s">
        <v>0</v>
      </c>
      <c r="J4" s="1" t="s">
        <v>1</v>
      </c>
      <c r="K4" s="1" t="s">
        <v>2</v>
      </c>
      <c r="L4" s="1" t="s">
        <v>15</v>
      </c>
      <c r="M4" s="1" t="s">
        <v>16</v>
      </c>
      <c r="N4" s="1" t="s">
        <v>17</v>
      </c>
      <c r="O4" s="1" t="s">
        <v>14</v>
      </c>
    </row>
    <row r="5" spans="1:15" x14ac:dyDescent="0.25">
      <c r="A5" s="4" t="s">
        <v>5</v>
      </c>
      <c r="B5" s="1" t="s">
        <v>6</v>
      </c>
      <c r="C5" s="1" t="s">
        <v>7</v>
      </c>
      <c r="D5" s="1" t="s">
        <v>9</v>
      </c>
      <c r="H5" s="4" t="s">
        <v>5</v>
      </c>
      <c r="I5" s="1" t="s">
        <v>18</v>
      </c>
      <c r="J5" s="1" t="s">
        <v>7</v>
      </c>
      <c r="K5" s="1" t="s">
        <v>19</v>
      </c>
      <c r="L5" s="1" t="s">
        <v>27</v>
      </c>
      <c r="M5" s="1" t="s">
        <v>25</v>
      </c>
      <c r="N5" s="1" t="s">
        <v>26</v>
      </c>
    </row>
    <row r="6" spans="1:15" x14ac:dyDescent="0.25">
      <c r="A6" s="4" t="s">
        <v>4</v>
      </c>
      <c r="B6" s="3">
        <v>1180</v>
      </c>
      <c r="C6" s="3">
        <v>1000</v>
      </c>
      <c r="D6" s="3">
        <v>1400</v>
      </c>
      <c r="H6" s="4" t="s">
        <v>4</v>
      </c>
      <c r="I6" s="3">
        <v>1770</v>
      </c>
      <c r="J6" s="3">
        <v>1000</v>
      </c>
      <c r="K6" s="2">
        <v>3297</v>
      </c>
      <c r="L6" s="3">
        <v>2100</v>
      </c>
      <c r="M6" s="3">
        <v>603</v>
      </c>
      <c r="N6" s="3">
        <v>1430</v>
      </c>
    </row>
    <row r="7" spans="1:15" x14ac:dyDescent="0.25">
      <c r="A7" s="4" t="s">
        <v>11</v>
      </c>
      <c r="B7" s="2">
        <f>$B$2/3</f>
        <v>8333.3333333333339</v>
      </c>
      <c r="C7" s="2">
        <f t="shared" ref="C7:D7" si="0">$B$2/3</f>
        <v>8333.3333333333339</v>
      </c>
      <c r="D7" s="2">
        <f t="shared" si="0"/>
        <v>8333.3333333333339</v>
      </c>
      <c r="H7" s="4" t="s">
        <v>11</v>
      </c>
      <c r="I7" s="2">
        <f>$I$2/6</f>
        <v>16666.666666666668</v>
      </c>
      <c r="J7" s="2">
        <f t="shared" ref="J7:N7" si="1">$I$2/6</f>
        <v>16666.666666666668</v>
      </c>
      <c r="K7" s="2">
        <f t="shared" si="1"/>
        <v>16666.666666666668</v>
      </c>
      <c r="L7" s="2">
        <f t="shared" si="1"/>
        <v>16666.666666666668</v>
      </c>
      <c r="M7" s="2">
        <f t="shared" si="1"/>
        <v>16666.666666666668</v>
      </c>
      <c r="N7" s="2">
        <f t="shared" si="1"/>
        <v>16666.666666666668</v>
      </c>
    </row>
    <row r="8" spans="1:15" x14ac:dyDescent="0.25">
      <c r="A8" s="4" t="s">
        <v>12</v>
      </c>
      <c r="B8" s="3">
        <v>4500</v>
      </c>
      <c r="C8" s="3">
        <v>5000</v>
      </c>
      <c r="D8" s="3">
        <v>6000</v>
      </c>
      <c r="H8" s="4" t="s">
        <v>12</v>
      </c>
      <c r="I8" s="3">
        <v>5500</v>
      </c>
      <c r="J8" s="3">
        <v>5000</v>
      </c>
      <c r="K8" s="2">
        <v>8000</v>
      </c>
      <c r="L8" s="3">
        <v>16000</v>
      </c>
      <c r="M8" s="3">
        <v>3500</v>
      </c>
      <c r="N8" s="3">
        <v>12000</v>
      </c>
    </row>
    <row r="9" spans="1:15" x14ac:dyDescent="0.25">
      <c r="A9" s="4" t="s">
        <v>8</v>
      </c>
      <c r="B9" s="2">
        <f t="shared" ref="B9:C9" si="2">(B6+B8)/$B$3</f>
        <v>5163.6363636363631</v>
      </c>
      <c r="C9" s="2">
        <f t="shared" si="2"/>
        <v>5454.545454545454</v>
      </c>
      <c r="D9" s="2">
        <f>(D6+D8)/$B$3</f>
        <v>6727.272727272727</v>
      </c>
      <c r="H9" s="4" t="s">
        <v>8</v>
      </c>
      <c r="I9" s="2">
        <f>(I6+I8)/$I$3</f>
        <v>6609.090909090909</v>
      </c>
      <c r="J9" s="2">
        <f>(J6+J8)/$I$3</f>
        <v>5454.545454545454</v>
      </c>
      <c r="K9" s="2">
        <f>(K6+K8)</f>
        <v>11297</v>
      </c>
      <c r="L9" s="2">
        <f>(L6+L8)/$I$3</f>
        <v>16454.545454545452</v>
      </c>
      <c r="M9" s="2">
        <f>(M6+M8)/$I$3</f>
        <v>3729.9999999999995</v>
      </c>
      <c r="N9" s="2">
        <f>(N6+N8)/$I$3</f>
        <v>12209.090909090908</v>
      </c>
    </row>
    <row r="10" spans="1:15" x14ac:dyDescent="0.25">
      <c r="A10" s="4" t="s">
        <v>10</v>
      </c>
      <c r="B10" s="1">
        <f>B7/B9</f>
        <v>1.6138497652582162</v>
      </c>
      <c r="C10" s="1">
        <f t="shared" ref="C10:D10" si="3">C7/C9</f>
        <v>1.5277777777777781</v>
      </c>
      <c r="D10" s="1">
        <f t="shared" si="3"/>
        <v>1.238738738738739</v>
      </c>
      <c r="E10" s="1">
        <f>SUM(B10:D10)</f>
        <v>4.3803662817747337</v>
      </c>
      <c r="H10" s="4" t="s">
        <v>10</v>
      </c>
      <c r="I10" s="1">
        <f>I7/I9</f>
        <v>2.5217790004585057</v>
      </c>
      <c r="J10" s="1">
        <f t="shared" ref="J10" si="4">J7/J9</f>
        <v>3.0555555555555562</v>
      </c>
      <c r="K10" s="1">
        <f t="shared" ref="K10" si="5">K7/K9</f>
        <v>1.4753179310141336</v>
      </c>
      <c r="L10" s="1">
        <f t="shared" ref="L10" si="6">L7/L9</f>
        <v>1.0128913443830574</v>
      </c>
      <c r="M10" s="1">
        <f t="shared" ref="M10" si="7">M7/M9</f>
        <v>4.4682752457551391</v>
      </c>
      <c r="N10" s="1">
        <f t="shared" ref="N10" si="8">N7/N9</f>
        <v>1.3651030032266074</v>
      </c>
      <c r="O10" s="1">
        <f>SUM(I10:N10)</f>
        <v>13.898922080393</v>
      </c>
    </row>
    <row r="11" spans="1:15" x14ac:dyDescent="0.25">
      <c r="B11" s="5">
        <f>B10/$E$10</f>
        <v>0.36842804036112581</v>
      </c>
      <c r="C11" s="5">
        <f t="shared" ref="C11:E11" si="9">C10/$E$10</f>
        <v>0.3487785448751991</v>
      </c>
      <c r="D11" s="5">
        <f t="shared" si="9"/>
        <v>0.28279341476367498</v>
      </c>
      <c r="E11" s="6">
        <f t="shared" si="9"/>
        <v>1</v>
      </c>
      <c r="H11" s="4"/>
      <c r="I11" s="5">
        <f>I10/$O$10</f>
        <v>0.18143701978270252</v>
      </c>
      <c r="J11" s="5">
        <f t="shared" ref="J11:N11" si="10">J10/$O$10</f>
        <v>0.21984118897004123</v>
      </c>
      <c r="K11" s="5">
        <f t="shared" si="10"/>
        <v>0.10614621209333509</v>
      </c>
      <c r="L11" s="5">
        <f t="shared" si="10"/>
        <v>7.287553225526229E-2</v>
      </c>
      <c r="M11" s="5">
        <f t="shared" si="10"/>
        <v>0.32148358123817872</v>
      </c>
      <c r="N11" s="5">
        <f t="shared" si="10"/>
        <v>9.8216465660480076E-2</v>
      </c>
      <c r="O11" s="6">
        <f>SUM(I11:N11)</f>
        <v>1</v>
      </c>
    </row>
    <row r="12" spans="1:15" x14ac:dyDescent="0.25">
      <c r="A12" s="4" t="s">
        <v>20</v>
      </c>
      <c r="B12" s="1">
        <v>1</v>
      </c>
      <c r="C12" s="1">
        <v>1</v>
      </c>
      <c r="D12" s="1">
        <v>1</v>
      </c>
      <c r="E12" s="1">
        <f>SUM(B12:D12)</f>
        <v>3</v>
      </c>
      <c r="H12" s="4" t="s">
        <v>20</v>
      </c>
      <c r="I12" s="1">
        <v>3</v>
      </c>
      <c r="J12" s="1">
        <v>3</v>
      </c>
      <c r="K12" s="1">
        <v>1</v>
      </c>
      <c r="L12" s="1">
        <v>1</v>
      </c>
      <c r="M12" s="1">
        <v>5</v>
      </c>
      <c r="N12" s="1">
        <v>1</v>
      </c>
      <c r="O12" s="1">
        <f>SUM(I12:N12)</f>
        <v>14</v>
      </c>
    </row>
    <row r="13" spans="1:15" x14ac:dyDescent="0.25">
      <c r="A13" s="4" t="s">
        <v>21</v>
      </c>
      <c r="B13" s="1">
        <v>5546.25</v>
      </c>
      <c r="C13" s="1">
        <v>2329</v>
      </c>
      <c r="D13" s="1">
        <v>106.23</v>
      </c>
      <c r="H13" s="4" t="s">
        <v>21</v>
      </c>
      <c r="I13" s="1">
        <v>20192.75</v>
      </c>
      <c r="J13" s="1">
        <v>2329</v>
      </c>
      <c r="K13" s="1">
        <v>132.43</v>
      </c>
      <c r="L13" s="1">
        <v>1.0782</v>
      </c>
      <c r="M13" s="1">
        <v>79.72</v>
      </c>
      <c r="N13" s="1">
        <v>443.75</v>
      </c>
    </row>
    <row r="14" spans="1:15" x14ac:dyDescent="0.25">
      <c r="A14" s="4" t="s">
        <v>23</v>
      </c>
      <c r="B14" s="3">
        <v>5</v>
      </c>
      <c r="C14" s="3">
        <v>10</v>
      </c>
      <c r="D14" s="3">
        <v>1000</v>
      </c>
      <c r="H14" s="4" t="s">
        <v>23</v>
      </c>
      <c r="I14" s="3">
        <v>2</v>
      </c>
      <c r="J14" s="3">
        <v>10</v>
      </c>
      <c r="K14" s="2">
        <v>1000</v>
      </c>
      <c r="L14" s="3">
        <v>125000</v>
      </c>
      <c r="M14" s="1">
        <v>100</v>
      </c>
      <c r="N14" s="1">
        <v>50</v>
      </c>
    </row>
    <row r="15" spans="1:15" x14ac:dyDescent="0.25">
      <c r="A15" s="4" t="s">
        <v>22</v>
      </c>
      <c r="B15" s="7">
        <f>B12*B13*B14</f>
        <v>27731.25</v>
      </c>
      <c r="C15" s="7">
        <f t="shared" ref="C15:D15" si="11">C12*C13*C14</f>
        <v>23290</v>
      </c>
      <c r="D15" s="7">
        <f t="shared" si="11"/>
        <v>106230</v>
      </c>
      <c r="E15" s="7">
        <f>SUM(B15:D15)</f>
        <v>157251.25</v>
      </c>
      <c r="H15" s="4" t="s">
        <v>22</v>
      </c>
      <c r="I15" s="7">
        <f>I12*I13*I14</f>
        <v>121156.5</v>
      </c>
      <c r="J15" s="7">
        <f t="shared" ref="J15" si="12">J12*J13*J14</f>
        <v>69870</v>
      </c>
      <c r="K15" s="7">
        <f t="shared" ref="K15" si="13">K12*K13*K14</f>
        <v>132430</v>
      </c>
      <c r="L15" s="7">
        <f t="shared" ref="L15" si="14">L12*L13*L14</f>
        <v>134775</v>
      </c>
      <c r="M15" s="7">
        <f t="shared" ref="M15" si="15">M12*M13*M14</f>
        <v>39860</v>
      </c>
      <c r="N15" s="7">
        <f t="shared" ref="N15" si="16">N12*N13*N14</f>
        <v>22187.5</v>
      </c>
      <c r="O15" s="7">
        <f>SUM(I15:N15)</f>
        <v>520279</v>
      </c>
    </row>
    <row r="16" spans="1:15" x14ac:dyDescent="0.25">
      <c r="A16" s="4" t="s">
        <v>24</v>
      </c>
      <c r="E16" s="8">
        <f>E15/B2</f>
        <v>6.2900499999999999</v>
      </c>
      <c r="H16" s="4" t="s">
        <v>24</v>
      </c>
      <c r="K16" s="7"/>
      <c r="L16" s="8"/>
      <c r="O16" s="8">
        <f>O15/I2</f>
        <v>5.2027900000000002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2024-06-21T12:22:14Z</dcterms:created>
  <dcterms:modified xsi:type="dcterms:W3CDTF">2024-06-21T12:22:45Z</dcterms:modified>
</cp:coreProperties>
</file>