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TRADING/ESFERA/OPERATIVA/"/>
    </mc:Choice>
  </mc:AlternateContent>
  <xr:revisionPtr revIDLastSave="143" documentId="114_{04550DDA-F6ED-4F0F-BB12-7E42CDCD2BA2}" xr6:coauthVersionLast="47" xr6:coauthVersionMax="47" xr10:uidLastSave="{413BDF10-0C82-4B30-9A62-3B389AD14F64}"/>
  <bookViews>
    <workbookView xWindow="-120" yWindow="-120" windowWidth="29040" windowHeight="15840" activeTab="1" xr2:uid="{00000000-000D-0000-FFFF-FFFF00000000}"/>
  </bookViews>
  <sheets>
    <sheet name="draw downs" sheetId="4" r:id="rId1"/>
    <sheet name="APALANCAMIENTO" sheetId="1" r:id="rId2"/>
    <sheet name="Hoja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5" l="1"/>
  <c r="C5" i="5"/>
  <c r="D5" i="5"/>
  <c r="E5" i="5"/>
  <c r="F5" i="5"/>
  <c r="A7" i="5"/>
  <c r="B13" i="5"/>
  <c r="C13" i="5"/>
  <c r="D13" i="5"/>
  <c r="E13" i="5"/>
  <c r="F13" i="5"/>
  <c r="A15" i="5"/>
  <c r="G6" i="1" l="1"/>
  <c r="G7" i="1"/>
  <c r="G8" i="1"/>
  <c r="G9" i="1"/>
  <c r="G10" i="1"/>
  <c r="G5" i="1"/>
  <c r="M21" i="4" l="1"/>
  <c r="L21" i="4"/>
  <c r="N21" i="4" s="1"/>
  <c r="O21" i="4" s="1"/>
  <c r="M13" i="4"/>
  <c r="L13" i="4"/>
  <c r="N13" i="4" s="1"/>
  <c r="O13" i="4" s="1"/>
  <c r="M12" i="4"/>
  <c r="L12" i="4"/>
  <c r="N12" i="4" s="1"/>
  <c r="O12" i="4" s="1"/>
  <c r="M11" i="4"/>
  <c r="L11" i="4"/>
  <c r="N11" i="4" s="1"/>
  <c r="O11" i="4" s="1"/>
  <c r="M10" i="4"/>
  <c r="L10" i="4"/>
  <c r="N10" i="4" s="1"/>
  <c r="O10" i="4" s="1"/>
  <c r="M9" i="4"/>
  <c r="L9" i="4"/>
  <c r="N9" i="4" s="1"/>
  <c r="O9" i="4" s="1"/>
  <c r="M8" i="4"/>
  <c r="L8" i="4"/>
  <c r="N8" i="4" s="1"/>
  <c r="O8" i="4" s="1"/>
  <c r="M7" i="4"/>
  <c r="L7" i="4"/>
  <c r="N7" i="4" s="1"/>
  <c r="O7" i="4" s="1"/>
  <c r="M6" i="4"/>
  <c r="L6" i="4"/>
  <c r="N6" i="4" s="1"/>
  <c r="O6" i="4" s="1"/>
  <c r="M5" i="4"/>
  <c r="L5" i="4"/>
  <c r="N5" i="4" s="1"/>
  <c r="O5" i="4" s="1"/>
  <c r="M4" i="4"/>
  <c r="L4" i="4"/>
  <c r="N4" i="4" s="1"/>
  <c r="O4" i="4" s="1"/>
  <c r="M3" i="4"/>
  <c r="L3" i="4"/>
  <c r="N3" i="4" s="1"/>
  <c r="O3" i="4" s="1"/>
  <c r="S12" i="4" l="1"/>
  <c r="E12" i="4" s="1"/>
  <c r="R12" i="4"/>
  <c r="D12" i="4" s="1"/>
  <c r="Q12" i="4"/>
  <c r="C12" i="4" s="1"/>
  <c r="P12" i="4"/>
  <c r="B12" i="4" s="1"/>
  <c r="S3" i="4"/>
  <c r="E3" i="4" s="1"/>
  <c r="P3" i="4"/>
  <c r="B3" i="4" s="1"/>
  <c r="R3" i="4"/>
  <c r="D3" i="4" s="1"/>
  <c r="Q3" i="4"/>
  <c r="C3" i="4" s="1"/>
  <c r="S9" i="4"/>
  <c r="E9" i="4" s="1"/>
  <c r="R9" i="4"/>
  <c r="D9" i="4" s="1"/>
  <c r="Q9" i="4"/>
  <c r="C9" i="4" s="1"/>
  <c r="P9" i="4"/>
  <c r="B9" i="4" s="1"/>
  <c r="S4" i="4"/>
  <c r="E4" i="4" s="1"/>
  <c r="R4" i="4"/>
  <c r="D4" i="4" s="1"/>
  <c r="Q4" i="4"/>
  <c r="C4" i="4" s="1"/>
  <c r="P4" i="4"/>
  <c r="B4" i="4" s="1"/>
  <c r="R13" i="4"/>
  <c r="D13" i="4" s="1"/>
  <c r="S13" i="4"/>
  <c r="E13" i="4" s="1"/>
  <c r="Q13" i="4"/>
  <c r="C13" i="4" s="1"/>
  <c r="P13" i="4"/>
  <c r="B13" i="4" s="1"/>
  <c r="P11" i="4"/>
  <c r="B11" i="4" s="1"/>
  <c r="R11" i="4"/>
  <c r="D11" i="4" s="1"/>
  <c r="Q11" i="4"/>
  <c r="C11" i="4" s="1"/>
  <c r="S11" i="4"/>
  <c r="E11" i="4" s="1"/>
  <c r="S8" i="4"/>
  <c r="E8" i="4" s="1"/>
  <c r="R8" i="4"/>
  <c r="D8" i="4" s="1"/>
  <c r="Q8" i="4"/>
  <c r="C8" i="4" s="1"/>
  <c r="P8" i="4"/>
  <c r="B8" i="4" s="1"/>
  <c r="S10" i="4"/>
  <c r="E10" i="4" s="1"/>
  <c r="R10" i="4"/>
  <c r="D10" i="4" s="1"/>
  <c r="Q10" i="4"/>
  <c r="C10" i="4" s="1"/>
  <c r="P10" i="4"/>
  <c r="B10" i="4" s="1"/>
  <c r="P7" i="4"/>
  <c r="B7" i="4" s="1"/>
  <c r="Q7" i="4"/>
  <c r="C7" i="4" s="1"/>
  <c r="S7" i="4"/>
  <c r="E7" i="4" s="1"/>
  <c r="R7" i="4"/>
  <c r="D7" i="4" s="1"/>
  <c r="R5" i="4"/>
  <c r="D5" i="4" s="1"/>
  <c r="Q5" i="4"/>
  <c r="C5" i="4" s="1"/>
  <c r="P5" i="4"/>
  <c r="B5" i="4" s="1"/>
  <c r="S5" i="4"/>
  <c r="E5" i="4" s="1"/>
  <c r="S6" i="4"/>
  <c r="E6" i="4" s="1"/>
  <c r="Q6" i="4"/>
  <c r="C6" i="4" s="1"/>
  <c r="R6" i="4"/>
  <c r="D6" i="4" s="1"/>
  <c r="P6" i="4"/>
  <c r="B6" i="4" s="1"/>
  <c r="S21" i="4"/>
  <c r="E21" i="4" s="1"/>
  <c r="R21" i="4"/>
  <c r="D21" i="4" s="1"/>
  <c r="Q21" i="4"/>
  <c r="C21" i="4" s="1"/>
  <c r="P21" i="4"/>
  <c r="B21" i="4" s="1"/>
  <c r="H6" i="1" l="1"/>
  <c r="H8" i="1"/>
  <c r="K8" i="1" s="1"/>
  <c r="H7" i="1" l="1"/>
  <c r="H9" i="1"/>
  <c r="H10" i="1"/>
  <c r="G12" i="1" l="1"/>
  <c r="H14" i="1" s="1"/>
  <c r="H5" i="1"/>
  <c r="H12" i="1" s="1"/>
  <c r="K6" i="1"/>
  <c r="L6" i="1" s="1"/>
  <c r="L8" i="1"/>
  <c r="K7" i="1"/>
  <c r="L7" i="1" s="1"/>
  <c r="K9" i="1"/>
  <c r="L9" i="1" s="1"/>
  <c r="K10" i="1"/>
  <c r="L10" i="1" s="1"/>
  <c r="K5" i="1" l="1"/>
  <c r="K12" i="1" s="1"/>
  <c r="L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2" authorId="0" shapeId="0" xr:uid="{E4757329-A44D-43A5-AC20-7F34A68C6E5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INITIAL MARGIN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tc={35A39601-E6E3-4955-9CB3-7F7F166CC2A7}</author>
  </authors>
  <commentList>
    <comment ref="B5" authorId="0" shapeId="0" xr:uid="{35A39601-E6E3-4955-9CB3-7F7F166CC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Bund puede contarse el apalancamiento por nominal del bono que es 100.000€</t>
      </text>
    </comment>
  </commentList>
</comments>
</file>

<file path=xl/sharedStrings.xml><?xml version="1.0" encoding="utf-8"?>
<sst xmlns="http://schemas.openxmlformats.org/spreadsheetml/2006/main" count="80" uniqueCount="72">
  <si>
    <t>Fecha</t>
  </si>
  <si>
    <t>Activo</t>
  </si>
  <si>
    <t>Precio</t>
  </si>
  <si>
    <t>Multiplicador</t>
  </si>
  <si>
    <t>FGBL</t>
  </si>
  <si>
    <t>GC</t>
  </si>
  <si>
    <t>TOTAL</t>
  </si>
  <si>
    <t>DIVISA</t>
  </si>
  <si>
    <t>SALDO CUENTA</t>
  </si>
  <si>
    <t>APALANCAMIENTO</t>
  </si>
  <si>
    <t>CL</t>
  </si>
  <si>
    <t>EXPOSICIÓN / APALANCAMIENTO</t>
  </si>
  <si>
    <t>MM</t>
  </si>
  <si>
    <t>Contratos</t>
  </si>
  <si>
    <t>1 año</t>
  </si>
  <si>
    <t>3 años</t>
  </si>
  <si>
    <t xml:space="preserve">5 años </t>
  </si>
  <si>
    <t>10 años</t>
  </si>
  <si>
    <t>Fecha inicio backtest</t>
  </si>
  <si>
    <t>Fecha puesta explotación</t>
  </si>
  <si>
    <t>Peor DrawDown</t>
  </si>
  <si>
    <t>Garantías</t>
  </si>
  <si>
    <t>live</t>
  </si>
  <si>
    <t>backtest</t>
  </si>
  <si>
    <t>computables</t>
  </si>
  <si>
    <t>años</t>
  </si>
  <si>
    <t>Factor1</t>
  </si>
  <si>
    <t>Factor2</t>
  </si>
  <si>
    <t>Factor3</t>
  </si>
  <si>
    <t>Factor4</t>
  </si>
  <si>
    <t>Artemisa Bund 11</t>
  </si>
  <si>
    <t>Artemisa DAX 03</t>
  </si>
  <si>
    <t>Artemisa Mini DAX 03</t>
  </si>
  <si>
    <t>Artemisa SP500 11</t>
  </si>
  <si>
    <t>Apolo Nasdaq 02(Set 1)</t>
  </si>
  <si>
    <t>Apolo Nasdaq 02(Set 2)</t>
  </si>
  <si>
    <t>Némesis Crude_Oil 03</t>
  </si>
  <si>
    <t>Némesis Crude_Oil 02</t>
  </si>
  <si>
    <t>Némesis Gold 02</t>
  </si>
  <si>
    <t>GoodNews Currencies Set 1</t>
  </si>
  <si>
    <t>GoodNews Currencies Set 2</t>
  </si>
  <si>
    <t>Némesis Gold 01</t>
  </si>
  <si>
    <t>TOTAL €</t>
  </si>
  <si>
    <t>CALCULO APALANCAMIENTO FONDO</t>
  </si>
  <si>
    <t>EUR</t>
  </si>
  <si>
    <t>USD</t>
  </si>
  <si>
    <t>LÍMITE REGULATORIO DE SERSAN ALGORITHMIC</t>
  </si>
  <si>
    <t>LÍMITES REGULATORIOS DE VAR</t>
  </si>
  <si>
    <t>VAR del 7% semanal a 99% de confianza</t>
  </si>
  <si>
    <t>VaR del 32% a 12 meses A 95% de confianza</t>
  </si>
  <si>
    <t>El grado de apalancamiento oscilara entre el 0%-500%, aunque se situará normalmente en el 400%.</t>
  </si>
  <si>
    <t>Se establece una volatilidad objetivo inferior al 20% anual</t>
  </si>
  <si>
    <t>LÍMITES REGULATORIOS DE VOLATILIDAD</t>
  </si>
  <si>
    <t>var 95% anual</t>
  </si>
  <si>
    <t>var 95% mensual</t>
  </si>
  <si>
    <t>var 95% semanal</t>
  </si>
  <si>
    <t>var 95% diario</t>
  </si>
  <si>
    <t>var 99% anual</t>
  </si>
  <si>
    <t>var 99% mensual</t>
  </si>
  <si>
    <t>var 99% semanal</t>
  </si>
  <si>
    <t>var 99% diario</t>
  </si>
  <si>
    <t>mini DAX</t>
  </si>
  <si>
    <t>7.97% ANUALIZADO AL 95%</t>
  </si>
  <si>
    <t>VAR ACTUAL:</t>
  </si>
  <si>
    <t>microNQ</t>
  </si>
  <si>
    <t>microES</t>
  </si>
  <si>
    <t>dax</t>
  </si>
  <si>
    <t>bund</t>
  </si>
  <si>
    <t>es</t>
  </si>
  <si>
    <t>MNQ</t>
  </si>
  <si>
    <t>gc</t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</si>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</sst>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\ [$€-1]_);[Red]\(#,##0\ [$€-1]\)"/>
    <numFmt numFmtId="166" formatCode="_(&quot;$&quot;* #,##0_);_(&quot;$&quot;* \(#,##0\);_(&quot;$&quot;* &quot;-&quot;??_);_(@_)"/>
    <numFmt numFmtId="167" formatCode="[$-409]d\-mmm\-yy;@"/>
    <numFmt numFmtId="168" formatCode="0.00000"/>
    <numFmt numFmtId="169" formatCode="#,##0.00\ [$€-42D];[Red]\-#,##0.00\ [$€-42D]"/>
    <numFmt numFmtId="170" formatCode="#,##0\ [$€-C0A]"/>
    <numFmt numFmtId="171" formatCode="[$-1540A]mm/dd/yyyy;@"/>
    <numFmt numFmtId="172" formatCode="[$$-540A]#,##0.00_);[Red]\([$$-540A]#,##0.00\)"/>
    <numFmt numFmtId="173" formatCode="_-* #,##0.00\ [$€-C0A]_-;\-* #,##0.00\ [$€-C0A]_-;_-* &quot;-&quot;??\ [$€-C0A]_-;_-@_-"/>
    <numFmt numFmtId="174" formatCode="#,##0\ [$€-C0A];[Red]\-#,##0\ [$€-C0A]"/>
  </numFmts>
  <fonts count="13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 Black"/>
      <family val="2"/>
    </font>
    <font>
      <sz val="11"/>
      <color theme="1"/>
      <name val="Myriad Pro"/>
      <family val="2"/>
    </font>
    <font>
      <b/>
      <sz val="11"/>
      <color theme="1"/>
      <name val="Myriad Pro"/>
      <family val="2"/>
    </font>
    <font>
      <sz val="12"/>
      <color theme="1"/>
      <name val="Myriad Pro"/>
      <family val="2"/>
    </font>
    <font>
      <sz val="10"/>
      <color theme="1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Myriad Pro Black"/>
      <family val="2"/>
      <scheme val="major"/>
    </font>
    <font>
      <b/>
      <sz val="12"/>
      <color theme="1"/>
      <name val="Myriad Pro"/>
      <family val="2"/>
    </font>
    <font>
      <sz val="12"/>
      <color theme="1"/>
      <name val="Myriad Pro"/>
      <family val="2"/>
      <scheme val="minor"/>
    </font>
    <font>
      <b/>
      <sz val="12"/>
      <color theme="1"/>
      <name val="Myriad Pro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14" fontId="6" fillId="2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9" fontId="3" fillId="0" borderId="1" xfId="0" applyNumberFormat="1" applyFont="1" applyBorder="1" applyAlignment="1">
      <alignment vertical="center"/>
    </xf>
    <xf numFmtId="170" fontId="3" fillId="5" borderId="1" xfId="0" applyNumberFormat="1" applyFont="1" applyFill="1" applyBorder="1" applyAlignment="1">
      <alignment vertical="center"/>
    </xf>
    <xf numFmtId="169" fontId="5" fillId="0" borderId="0" xfId="0" applyNumberFormat="1" applyFont="1" applyAlignment="1">
      <alignment vertical="center"/>
    </xf>
    <xf numFmtId="171" fontId="1" fillId="0" borderId="1" xfId="0" applyNumberFormat="1" applyFont="1" applyBorder="1" applyAlignment="1">
      <alignment horizontal="center" vertical="center"/>
    </xf>
    <xf numFmtId="169" fontId="3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72" fontId="3" fillId="0" borderId="1" xfId="0" applyNumberFormat="1" applyFont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8" fontId="3" fillId="2" borderId="1" xfId="0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0" fontId="5" fillId="0" borderId="0" xfId="0" applyFont="1"/>
    <xf numFmtId="0" fontId="3" fillId="0" borderId="0" xfId="0" applyFont="1"/>
    <xf numFmtId="8" fontId="3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8" fontId="3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7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3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174" fontId="3" fillId="2" borderId="0" xfId="0" applyNumberFormat="1" applyFont="1" applyFill="1" applyAlignment="1">
      <alignment horizontal="center" vertical="center" wrapText="1"/>
    </xf>
    <xf numFmtId="10" fontId="3" fillId="2" borderId="0" xfId="1" applyNumberFormat="1" applyFont="1" applyFill="1" applyAlignment="1">
      <alignment horizontal="center" vertical="center" wrapText="1"/>
    </xf>
    <xf numFmtId="10" fontId="3" fillId="0" borderId="0" xfId="1" applyNumberFormat="1" applyFont="1" applyAlignment="1">
      <alignment horizontal="center" vertical="center" wrapText="1"/>
    </xf>
    <xf numFmtId="44" fontId="3" fillId="2" borderId="0" xfId="2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74" fontId="3" fillId="2" borderId="0" xfId="2" applyNumberFormat="1" applyFont="1" applyFill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 wrapText="1"/>
    </xf>
    <xf numFmtId="0" fontId="3" fillId="2" borderId="0" xfId="1" applyNumberFormat="1" applyFont="1" applyFill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0" fontId="5" fillId="0" borderId="0" xfId="1" applyNumberFormat="1" applyFont="1" applyAlignment="1">
      <alignment horizontal="center" vertical="center" wrapText="1"/>
    </xf>
    <xf numFmtId="10" fontId="10" fillId="0" borderId="0" xfId="1" applyNumberFormat="1" applyFont="1" applyAlignment="1">
      <alignment horizontal="center" vertical="center" wrapText="1"/>
    </xf>
    <xf numFmtId="10" fontId="11" fillId="0" borderId="0" xfId="1" applyNumberFormat="1" applyFont="1" applyAlignment="1">
      <alignment horizontal="center" vertical="center" wrapText="1"/>
    </xf>
    <xf numFmtId="10" fontId="12" fillId="0" borderId="0" xfId="1" applyNumberFormat="1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74" fontId="3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74" fontId="5" fillId="7" borderId="0" xfId="0" applyNumberFormat="1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 wrapText="1"/>
    </xf>
    <xf numFmtId="174" fontId="11" fillId="7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43" fontId="0" fillId="0" borderId="0" xfId="3" applyFont="1"/>
  </cellXfs>
  <cellStyles count="4">
    <cellStyle name="Millares" xfId="3" builtinId="3"/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gi Sánchez" id="{99F07D1F-9E54-40C5-B203-6AB703F98B9F}" userId="b2f5096046717d85" providerId="Windows Live"/>
</personList>
</file>

<file path=xl/theme/theme1.xml><?xml version="1.0" encoding="utf-8"?>
<a:theme xmlns:a="http://schemas.openxmlformats.org/drawingml/2006/main" name="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0-02-14T08:58:22.00" personId="{99F07D1F-9E54-40C5-B203-6AB703F98B9F}" id="{35A39601-E6E3-4955-9CB3-7F7F166CC2A7}">
    <text>En el Bund puede contarse el apalancamiento por nominal del bono que es 100.000€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839F-EBD2-4CBD-A868-994AC2F02324}">
  <dimension ref="A1:T21"/>
  <sheetViews>
    <sheetView showGridLines="0" workbookViewId="0">
      <selection activeCell="R3" sqref="R3"/>
    </sheetView>
  </sheetViews>
  <sheetFormatPr baseColWidth="10" defaultColWidth="9" defaultRowHeight="15.75" x14ac:dyDescent="0.25"/>
  <cols>
    <col min="1" max="1" width="29" style="23" customWidth="1"/>
    <col min="2" max="4" width="10.375" style="23" customWidth="1"/>
    <col min="5" max="5" width="11.5" style="23" customWidth="1"/>
    <col min="6" max="6" width="7.25" style="23" customWidth="1"/>
    <col min="7" max="7" width="17.5" style="24" bestFit="1" customWidth="1"/>
    <col min="8" max="8" width="21.25" style="24" bestFit="1" customWidth="1"/>
    <col min="9" max="9" width="14.375" style="24" customWidth="1"/>
    <col min="10" max="10" width="10.125" style="24" bestFit="1" customWidth="1"/>
    <col min="11" max="11" width="3.875" style="23" customWidth="1"/>
    <col min="12" max="12" width="7.875" style="26" customWidth="1"/>
    <col min="13" max="13" width="10.375" style="26" customWidth="1"/>
    <col min="14" max="14" width="11" style="27" customWidth="1"/>
    <col min="15" max="15" width="7.875" style="28" customWidth="1"/>
    <col min="16" max="19" width="7.875" style="23" customWidth="1"/>
    <col min="20" max="16384" width="9" style="23"/>
  </cols>
  <sheetData>
    <row r="1" spans="1:20" s="3" customFormat="1" ht="24.95" customHeight="1" x14ac:dyDescent="0.25">
      <c r="A1" s="1"/>
      <c r="B1" s="73"/>
      <c r="C1" s="73"/>
      <c r="D1" s="73"/>
      <c r="E1" s="73"/>
      <c r="F1" s="2"/>
      <c r="G1" s="1"/>
      <c r="H1" s="1"/>
      <c r="I1" s="1"/>
      <c r="J1" s="1"/>
      <c r="L1" s="4"/>
      <c r="M1" s="5">
        <v>43008</v>
      </c>
      <c r="N1" s="6"/>
      <c r="O1" s="7"/>
    </row>
    <row r="2" spans="1:20" s="3" customFormat="1" ht="24.95" customHeight="1" x14ac:dyDescent="0.25">
      <c r="A2" s="1"/>
      <c r="B2" s="8" t="s">
        <v>14</v>
      </c>
      <c r="C2" s="9" t="s">
        <v>15</v>
      </c>
      <c r="D2" s="8" t="s">
        <v>16</v>
      </c>
      <c r="E2" s="8" t="s">
        <v>17</v>
      </c>
      <c r="F2" s="2"/>
      <c r="G2" s="8" t="s">
        <v>18</v>
      </c>
      <c r="H2" s="8" t="s">
        <v>19</v>
      </c>
      <c r="I2" s="8" t="s">
        <v>20</v>
      </c>
      <c r="J2" s="8" t="s">
        <v>21</v>
      </c>
      <c r="L2" s="4" t="s">
        <v>22</v>
      </c>
      <c r="M2" s="4" t="s">
        <v>23</v>
      </c>
      <c r="N2" s="6" t="s">
        <v>24</v>
      </c>
      <c r="O2" s="6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/>
    </row>
    <row r="3" spans="1:20" s="16" customFormat="1" ht="24.95" customHeight="1" x14ac:dyDescent="0.25">
      <c r="A3" s="10" t="s">
        <v>30</v>
      </c>
      <c r="B3" s="11">
        <f>$J3-2*$I3/P3</f>
        <v>10691.121307663661</v>
      </c>
      <c r="C3" s="12">
        <f t="shared" ref="C3:E13" si="0">$J3-2*$I3/Q3</f>
        <v>16553.472978048379</v>
      </c>
      <c r="D3" s="11">
        <f t="shared" si="0"/>
        <v>20589.703616000454</v>
      </c>
      <c r="E3" s="11">
        <f t="shared" si="0"/>
        <v>28006.903111143187</v>
      </c>
      <c r="F3" s="13"/>
      <c r="G3" s="14">
        <v>35528</v>
      </c>
      <c r="H3" s="14">
        <v>42044</v>
      </c>
      <c r="I3" s="15">
        <v>-13618</v>
      </c>
      <c r="J3" s="15">
        <v>2683</v>
      </c>
      <c r="L3" s="17">
        <f t="shared" ref="L3:L13" si="1">M$1-H3</f>
        <v>964</v>
      </c>
      <c r="M3" s="17">
        <f t="shared" ref="M3:M13" si="2">H3-G3</f>
        <v>6516</v>
      </c>
      <c r="N3" s="6">
        <f>L3+M3/2</f>
        <v>4222</v>
      </c>
      <c r="O3" s="18">
        <f>N3/365</f>
        <v>11.567123287671233</v>
      </c>
      <c r="P3" s="18">
        <f>SQRT($O3)</f>
        <v>3.4010473809800463</v>
      </c>
      <c r="Q3" s="18">
        <f>SQRT($O3/3)</f>
        <v>1.9635956209355014</v>
      </c>
      <c r="R3" s="18">
        <f>SQRT($O3/5)</f>
        <v>1.5209946277138018</v>
      </c>
      <c r="S3" s="18">
        <f>SQRT($O3/10)</f>
        <v>1.0755056154047375</v>
      </c>
    </row>
    <row r="4" spans="1:20" s="16" customFormat="1" ht="24.95" customHeight="1" x14ac:dyDescent="0.25">
      <c r="A4" s="10" t="s">
        <v>31</v>
      </c>
      <c r="B4" s="11">
        <f t="shared" ref="B4:B13" si="3">$J4-2*$I4/P4</f>
        <v>48228.384016176613</v>
      </c>
      <c r="C4" s="12">
        <f t="shared" si="0"/>
        <v>65633.905136286456</v>
      </c>
      <c r="D4" s="11">
        <f t="shared" si="0"/>
        <v>77617.610919310377</v>
      </c>
      <c r="E4" s="11">
        <f t="shared" si="0"/>
        <v>99639.528013939838</v>
      </c>
      <c r="F4" s="13"/>
      <c r="G4" s="14">
        <v>37550</v>
      </c>
      <c r="H4" s="14">
        <v>42473</v>
      </c>
      <c r="I4" s="15">
        <v>-34062.5</v>
      </c>
      <c r="J4" s="15">
        <v>24452</v>
      </c>
      <c r="L4" s="17">
        <f t="shared" si="1"/>
        <v>535</v>
      </c>
      <c r="M4" s="17">
        <f t="shared" si="2"/>
        <v>4923</v>
      </c>
      <c r="N4" s="6">
        <f t="shared" ref="N4:N13" si="4">L4+M4/2</f>
        <v>2996.5</v>
      </c>
      <c r="O4" s="18">
        <f t="shared" ref="O4:O13" si="5">N4/365</f>
        <v>8.2095890410958905</v>
      </c>
      <c r="P4" s="18">
        <f t="shared" ref="P4:P13" si="6">SQRT($O4)</f>
        <v>2.8652380426582171</v>
      </c>
      <c r="Q4" s="18">
        <f t="shared" ref="Q4:Q13" si="7">SQRT($O4/3)</f>
        <v>1.654245955221078</v>
      </c>
      <c r="R4" s="18">
        <f t="shared" ref="R4:R13" si="8">SQRT($O4/5)</f>
        <v>1.281373407020443</v>
      </c>
      <c r="S4" s="18">
        <f t="shared" ref="S4:S13" si="9">SQRT($O4/10)</f>
        <v>0.9060678253362654</v>
      </c>
    </row>
    <row r="5" spans="1:20" s="16" customFormat="1" ht="24.95" customHeight="1" x14ac:dyDescent="0.25">
      <c r="A5" s="10" t="s">
        <v>32</v>
      </c>
      <c r="B5" s="11">
        <f t="shared" si="3"/>
        <v>9361.8327228950075</v>
      </c>
      <c r="C5" s="12">
        <f t="shared" si="0"/>
        <v>12634.709428195662</v>
      </c>
      <c r="D5" s="11">
        <f t="shared" si="0"/>
        <v>14888.085884423719</v>
      </c>
      <c r="E5" s="11">
        <f t="shared" si="0"/>
        <v>19029.014441960651</v>
      </c>
      <c r="F5" s="13"/>
      <c r="G5" s="14">
        <v>37550</v>
      </c>
      <c r="H5" s="14">
        <v>42473</v>
      </c>
      <c r="I5" s="15">
        <v>-6405</v>
      </c>
      <c r="J5" s="15">
        <v>4891</v>
      </c>
      <c r="L5" s="17">
        <f t="shared" si="1"/>
        <v>535</v>
      </c>
      <c r="M5" s="17">
        <f t="shared" si="2"/>
        <v>4923</v>
      </c>
      <c r="N5" s="6">
        <f t="shared" si="4"/>
        <v>2996.5</v>
      </c>
      <c r="O5" s="18">
        <f t="shared" si="5"/>
        <v>8.2095890410958905</v>
      </c>
      <c r="P5" s="18">
        <f t="shared" si="6"/>
        <v>2.8652380426582171</v>
      </c>
      <c r="Q5" s="18">
        <f t="shared" si="7"/>
        <v>1.654245955221078</v>
      </c>
      <c r="R5" s="18">
        <f t="shared" si="8"/>
        <v>1.281373407020443</v>
      </c>
      <c r="S5" s="18">
        <f t="shared" si="9"/>
        <v>0.9060678253362654</v>
      </c>
    </row>
    <row r="6" spans="1:20" s="16" customFormat="1" ht="24.95" customHeight="1" x14ac:dyDescent="0.25">
      <c r="A6" s="10" t="s">
        <v>33</v>
      </c>
      <c r="B6" s="19">
        <f t="shared" si="3"/>
        <v>12285.724991583436</v>
      </c>
      <c r="C6" s="20">
        <f t="shared" si="0"/>
        <v>17655.848395775283</v>
      </c>
      <c r="D6" s="19">
        <f t="shared" si="0"/>
        <v>21353.179745424637</v>
      </c>
      <c r="E6" s="19">
        <f t="shared" si="0"/>
        <v>28147.599262023174</v>
      </c>
      <c r="F6" s="13"/>
      <c r="G6" s="14">
        <v>35899</v>
      </c>
      <c r="H6" s="14">
        <v>42670</v>
      </c>
      <c r="I6" s="21">
        <v>-11715</v>
      </c>
      <c r="J6" s="21">
        <v>4950</v>
      </c>
      <c r="L6" s="17">
        <f t="shared" si="1"/>
        <v>338</v>
      </c>
      <c r="M6" s="17">
        <f t="shared" si="2"/>
        <v>6771</v>
      </c>
      <c r="N6" s="6">
        <f t="shared" si="4"/>
        <v>3723.5</v>
      </c>
      <c r="O6" s="18">
        <f t="shared" si="5"/>
        <v>10.201369863013699</v>
      </c>
      <c r="P6" s="18">
        <f t="shared" si="6"/>
        <v>3.1939583377078824</v>
      </c>
      <c r="Q6" s="18">
        <f t="shared" si="7"/>
        <v>1.8440327060560955</v>
      </c>
      <c r="R6" s="18">
        <f t="shared" si="8"/>
        <v>1.4283815920834109</v>
      </c>
      <c r="S6" s="18">
        <f t="shared" si="9"/>
        <v>1.0100183098842168</v>
      </c>
    </row>
    <row r="7" spans="1:20" s="16" customFormat="1" ht="24.95" customHeight="1" x14ac:dyDescent="0.25">
      <c r="A7" s="22" t="s">
        <v>34</v>
      </c>
      <c r="B7" s="19">
        <f t="shared" si="3"/>
        <v>14944.666861569667</v>
      </c>
      <c r="C7" s="20">
        <f t="shared" si="0"/>
        <v>22261.270808963636</v>
      </c>
      <c r="D7" s="19">
        <f t="shared" si="0"/>
        <v>27298.754514934255</v>
      </c>
      <c r="E7" s="19">
        <f t="shared" si="0"/>
        <v>36555.911737166971</v>
      </c>
      <c r="F7" s="13"/>
      <c r="G7" s="14">
        <v>36978</v>
      </c>
      <c r="H7" s="14">
        <v>41988</v>
      </c>
      <c r="I7" s="21">
        <v>-15530</v>
      </c>
      <c r="J7" s="21">
        <v>4950</v>
      </c>
      <c r="L7" s="17">
        <f t="shared" si="1"/>
        <v>1020</v>
      </c>
      <c r="M7" s="17">
        <f t="shared" si="2"/>
        <v>5010</v>
      </c>
      <c r="N7" s="6">
        <f t="shared" si="4"/>
        <v>3525</v>
      </c>
      <c r="O7" s="18">
        <f t="shared" si="5"/>
        <v>9.6575342465753433</v>
      </c>
      <c r="P7" s="18">
        <f t="shared" si="6"/>
        <v>3.1076573566877257</v>
      </c>
      <c r="Q7" s="18">
        <f t="shared" si="7"/>
        <v>1.7942068114327794</v>
      </c>
      <c r="R7" s="18">
        <f t="shared" si="8"/>
        <v>1.3897866200662132</v>
      </c>
      <c r="S7" s="18">
        <f t="shared" si="9"/>
        <v>0.98272754345115121</v>
      </c>
    </row>
    <row r="8" spans="1:20" s="16" customFormat="1" ht="24.95" customHeight="1" x14ac:dyDescent="0.25">
      <c r="A8" s="22" t="s">
        <v>35</v>
      </c>
      <c r="B8" s="19">
        <f t="shared" si="3"/>
        <v>13488.059078979897</v>
      </c>
      <c r="C8" s="20">
        <f t="shared" si="0"/>
        <v>19738.352122817916</v>
      </c>
      <c r="D8" s="19">
        <f t="shared" si="0"/>
        <v>24041.680496508296</v>
      </c>
      <c r="E8" s="19">
        <f t="shared" si="0"/>
        <v>31949.713486655935</v>
      </c>
      <c r="F8" s="13"/>
      <c r="G8" s="14">
        <v>36978</v>
      </c>
      <c r="H8" s="14">
        <v>42709</v>
      </c>
      <c r="I8" s="21">
        <v>-12570</v>
      </c>
      <c r="J8" s="21">
        <v>4950</v>
      </c>
      <c r="L8" s="17">
        <f t="shared" si="1"/>
        <v>299</v>
      </c>
      <c r="M8" s="17">
        <f t="shared" si="2"/>
        <v>5731</v>
      </c>
      <c r="N8" s="6">
        <f t="shared" si="4"/>
        <v>3164.5</v>
      </c>
      <c r="O8" s="18">
        <f t="shared" si="5"/>
        <v>8.669863013698631</v>
      </c>
      <c r="P8" s="18">
        <f t="shared" si="6"/>
        <v>2.9444631112816868</v>
      </c>
      <c r="Q8" s="18">
        <f t="shared" si="7"/>
        <v>1.6999865699174048</v>
      </c>
      <c r="R8" s="18">
        <f t="shared" si="8"/>
        <v>1.3168039348132758</v>
      </c>
      <c r="S8" s="18">
        <f t="shared" si="9"/>
        <v>0.93112099179959584</v>
      </c>
    </row>
    <row r="9" spans="1:20" s="16" customFormat="1" ht="24.95" customHeight="1" x14ac:dyDescent="0.25">
      <c r="A9" s="10" t="s">
        <v>36</v>
      </c>
      <c r="B9" s="19">
        <f t="shared" si="3"/>
        <v>23781.055132150046</v>
      </c>
      <c r="C9" s="20">
        <f t="shared" si="0"/>
        <v>39378.169997747515</v>
      </c>
      <c r="D9" s="19">
        <f t="shared" si="0"/>
        <v>50116.78760784577</v>
      </c>
      <c r="E9" s="19">
        <f t="shared" si="0"/>
        <v>69850.662170713942</v>
      </c>
      <c r="F9" s="13"/>
      <c r="G9" s="14">
        <v>37813</v>
      </c>
      <c r="H9" s="14">
        <v>42306</v>
      </c>
      <c r="I9" s="21">
        <v>-30278</v>
      </c>
      <c r="J9" s="21">
        <v>2475</v>
      </c>
      <c r="L9" s="17">
        <f t="shared" si="1"/>
        <v>702</v>
      </c>
      <c r="M9" s="17">
        <f t="shared" si="2"/>
        <v>4493</v>
      </c>
      <c r="N9" s="6">
        <f t="shared" si="4"/>
        <v>2948.5</v>
      </c>
      <c r="O9" s="18">
        <f t="shared" si="5"/>
        <v>8.0780821917808225</v>
      </c>
      <c r="P9" s="18">
        <f t="shared" si="6"/>
        <v>2.8421967194022342</v>
      </c>
      <c r="Q9" s="18">
        <f t="shared" si="7"/>
        <v>1.6409430410367511</v>
      </c>
      <c r="R9" s="18">
        <f t="shared" si="8"/>
        <v>1.2710690140020582</v>
      </c>
      <c r="S9" s="18">
        <f t="shared" si="9"/>
        <v>0.89878151915695403</v>
      </c>
    </row>
    <row r="10" spans="1:20" s="16" customFormat="1" ht="24.95" customHeight="1" x14ac:dyDescent="0.25">
      <c r="A10" s="10" t="s">
        <v>37</v>
      </c>
      <c r="B10" s="19">
        <f t="shared" si="3"/>
        <v>21430.24064732025</v>
      </c>
      <c r="C10" s="20">
        <f t="shared" si="0"/>
        <v>35306.439870853443</v>
      </c>
      <c r="D10" s="19">
        <f t="shared" si="0"/>
        <v>44860.206617275187</v>
      </c>
      <c r="E10" s="19">
        <f t="shared" si="0"/>
        <v>62416.734042136428</v>
      </c>
      <c r="F10" s="13"/>
      <c r="G10" s="14">
        <v>37813</v>
      </c>
      <c r="H10" s="14">
        <v>42694</v>
      </c>
      <c r="I10" s="21">
        <v>-26036</v>
      </c>
      <c r="J10" s="21">
        <v>2475</v>
      </c>
      <c r="L10" s="17">
        <f t="shared" si="1"/>
        <v>314</v>
      </c>
      <c r="M10" s="17">
        <f t="shared" si="2"/>
        <v>4881</v>
      </c>
      <c r="N10" s="6">
        <f t="shared" si="4"/>
        <v>2754.5</v>
      </c>
      <c r="O10" s="18">
        <f t="shared" si="5"/>
        <v>7.5465753424657533</v>
      </c>
      <c r="P10" s="18">
        <f t="shared" si="6"/>
        <v>2.7471030818783908</v>
      </c>
      <c r="Q10" s="18">
        <f t="shared" si="7"/>
        <v>1.5860407038141395</v>
      </c>
      <c r="R10" s="18">
        <f t="shared" si="8"/>
        <v>1.2285418464558506</v>
      </c>
      <c r="S10" s="18">
        <f t="shared" si="9"/>
        <v>0.8687102706003742</v>
      </c>
    </row>
    <row r="11" spans="1:20" s="16" customFormat="1" ht="24.95" customHeight="1" x14ac:dyDescent="0.25">
      <c r="A11" s="10" t="s">
        <v>38</v>
      </c>
      <c r="B11" s="19">
        <f t="shared" si="3"/>
        <v>29485.048913853367</v>
      </c>
      <c r="C11" s="20">
        <f t="shared" si="0"/>
        <v>47123.848929651322</v>
      </c>
      <c r="D11" s="19">
        <f t="shared" si="0"/>
        <v>59268.167292558595</v>
      </c>
      <c r="E11" s="19">
        <f t="shared" si="0"/>
        <v>81585.234900942873</v>
      </c>
      <c r="F11" s="13"/>
      <c r="G11" s="14">
        <v>39079</v>
      </c>
      <c r="H11" s="14">
        <v>42800</v>
      </c>
      <c r="I11" s="21">
        <v>-28680</v>
      </c>
      <c r="J11" s="21">
        <v>5390</v>
      </c>
      <c r="L11" s="17">
        <f t="shared" si="1"/>
        <v>208</v>
      </c>
      <c r="M11" s="17">
        <f t="shared" si="2"/>
        <v>3721</v>
      </c>
      <c r="N11" s="6">
        <f t="shared" si="4"/>
        <v>2068.5</v>
      </c>
      <c r="O11" s="18">
        <f t="shared" si="5"/>
        <v>5.6671232876712327</v>
      </c>
      <c r="P11" s="18">
        <f t="shared" si="6"/>
        <v>2.3805720505103878</v>
      </c>
      <c r="Q11" s="18">
        <f t="shared" si="7"/>
        <v>1.3744239141874719</v>
      </c>
      <c r="R11" s="18">
        <f t="shared" si="8"/>
        <v>1.0646241860554582</v>
      </c>
      <c r="S11" s="18">
        <f t="shared" si="9"/>
        <v>0.75280298137502299</v>
      </c>
    </row>
    <row r="12" spans="1:20" s="16" customFormat="1" ht="24.95" customHeight="1" x14ac:dyDescent="0.25">
      <c r="A12" s="10" t="s">
        <v>39</v>
      </c>
      <c r="B12" s="19">
        <f t="shared" si="3"/>
        <v>18883.32787710728</v>
      </c>
      <c r="C12" s="20">
        <f t="shared" si="0"/>
        <v>25379.054715367092</v>
      </c>
      <c r="D12" s="19">
        <f t="shared" si="0"/>
        <v>29851.364319855777</v>
      </c>
      <c r="E12" s="19">
        <f t="shared" si="0"/>
        <v>38069.926517125656</v>
      </c>
      <c r="F12" s="13"/>
      <c r="G12" s="14">
        <v>37314</v>
      </c>
      <c r="H12" s="14">
        <v>42531</v>
      </c>
      <c r="I12" s="21">
        <v>-12899.5</v>
      </c>
      <c r="J12" s="21">
        <v>10010</v>
      </c>
      <c r="L12" s="17">
        <f t="shared" si="1"/>
        <v>477</v>
      </c>
      <c r="M12" s="17">
        <f t="shared" si="2"/>
        <v>5217</v>
      </c>
      <c r="N12" s="6">
        <f t="shared" si="4"/>
        <v>3085.5</v>
      </c>
      <c r="O12" s="18">
        <f t="shared" si="5"/>
        <v>8.4534246575342458</v>
      </c>
      <c r="P12" s="18">
        <f t="shared" si="6"/>
        <v>2.907477370081192</v>
      </c>
      <c r="Q12" s="18">
        <f t="shared" si="7"/>
        <v>1.6786328422791215</v>
      </c>
      <c r="R12" s="18">
        <f t="shared" si="8"/>
        <v>1.3002634085087719</v>
      </c>
      <c r="S12" s="18">
        <f t="shared" si="9"/>
        <v>0.91942507348528657</v>
      </c>
    </row>
    <row r="13" spans="1:20" s="16" customFormat="1" ht="24.95" customHeight="1" x14ac:dyDescent="0.25">
      <c r="A13" s="10" t="s">
        <v>40</v>
      </c>
      <c r="B13" s="19">
        <f t="shared" si="3"/>
        <v>18500.790400285288</v>
      </c>
      <c r="C13" s="20">
        <f t="shared" si="0"/>
        <v>24716.480369712201</v>
      </c>
      <c r="D13" s="19">
        <f t="shared" si="0"/>
        <v>28995.984517740548</v>
      </c>
      <c r="E13" s="19">
        <f t="shared" si="0"/>
        <v>36860.236799994294</v>
      </c>
      <c r="F13" s="13"/>
      <c r="G13" s="14">
        <v>37314</v>
      </c>
      <c r="H13" s="14">
        <v>42677</v>
      </c>
      <c r="I13" s="21">
        <v>-12196.5</v>
      </c>
      <c r="J13" s="21">
        <v>10010</v>
      </c>
      <c r="L13" s="17">
        <f t="shared" si="1"/>
        <v>331</v>
      </c>
      <c r="M13" s="17">
        <f t="shared" si="2"/>
        <v>5363</v>
      </c>
      <c r="N13" s="6">
        <f t="shared" si="4"/>
        <v>3012.5</v>
      </c>
      <c r="O13" s="18">
        <f t="shared" si="5"/>
        <v>8.2534246575342465</v>
      </c>
      <c r="P13" s="18">
        <f t="shared" si="6"/>
        <v>2.8728774177702476</v>
      </c>
      <c r="Q13" s="18">
        <f t="shared" si="7"/>
        <v>1.6586565504984494</v>
      </c>
      <c r="R13" s="18">
        <f t="shared" si="8"/>
        <v>1.2847898394316672</v>
      </c>
      <c r="S13" s="18">
        <f t="shared" si="9"/>
        <v>0.90848360786170745</v>
      </c>
    </row>
    <row r="15" spans="1:20" x14ac:dyDescent="0.25">
      <c r="I15" s="25"/>
    </row>
    <row r="21" spans="1:19" x14ac:dyDescent="0.25">
      <c r="A21" s="10" t="s">
        <v>41</v>
      </c>
      <c r="B21" s="19">
        <f t="shared" ref="B21:E21" si="10">$J21-2*$I21/P21</f>
        <v>22510.568876357866</v>
      </c>
      <c r="C21" s="20">
        <f t="shared" si="10"/>
        <v>35043.695148334227</v>
      </c>
      <c r="D21" s="19">
        <f t="shared" si="10"/>
        <v>43672.755821003382</v>
      </c>
      <c r="E21" s="19">
        <f t="shared" si="10"/>
        <v>59529.992487080533</v>
      </c>
      <c r="F21" s="13"/>
      <c r="G21" s="14">
        <v>37810</v>
      </c>
      <c r="H21" s="14">
        <v>42487</v>
      </c>
      <c r="I21" s="29">
        <v>-23960</v>
      </c>
      <c r="J21" s="29">
        <v>5390</v>
      </c>
      <c r="K21" s="16"/>
      <c r="L21" s="17">
        <f t="shared" ref="L21" si="11">M$1-H21</f>
        <v>521</v>
      </c>
      <c r="M21" s="17">
        <f t="shared" ref="M21" si="12">H21-G21</f>
        <v>4677</v>
      </c>
      <c r="N21" s="6">
        <f t="shared" ref="N21" si="13">L21+M21/2</f>
        <v>2859.5</v>
      </c>
      <c r="O21" s="18">
        <f t="shared" ref="O21" si="14">N21/365</f>
        <v>7.8342465753424655</v>
      </c>
      <c r="P21" s="18">
        <f t="shared" ref="P21" si="15">SQRT($O21)</f>
        <v>2.79897241418033</v>
      </c>
      <c r="Q21" s="18">
        <f t="shared" ref="Q21" si="16">SQRT($O21/3)</f>
        <v>1.6159874767813502</v>
      </c>
      <c r="R21" s="18">
        <f t="shared" ref="R21" si="17">SQRT($O21/5)</f>
        <v>1.2517385170507829</v>
      </c>
      <c r="S21" s="18">
        <f t="shared" ref="S21" si="18">SQRT($O21/10)</f>
        <v>0.88511279367900142</v>
      </c>
    </row>
  </sheetData>
  <mergeCells count="1">
    <mergeCell ref="B1:E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E5" sqref="E5"/>
    </sheetView>
  </sheetViews>
  <sheetFormatPr baseColWidth="10" defaultColWidth="10.625" defaultRowHeight="15" x14ac:dyDescent="0.25"/>
  <cols>
    <col min="1" max="1" width="14.25" style="31" customWidth="1"/>
    <col min="2" max="2" width="16" style="31" bestFit="1" customWidth="1"/>
    <col min="3" max="3" width="6.125" style="31" bestFit="1" customWidth="1"/>
    <col min="4" max="4" width="8.5" style="31" bestFit="1" customWidth="1"/>
    <col min="5" max="5" width="8.25" style="31" bestFit="1" customWidth="1"/>
    <col min="6" max="6" width="9.875" style="31" bestFit="1" customWidth="1"/>
    <col min="7" max="7" width="11.75" style="32" bestFit="1" customWidth="1"/>
    <col min="8" max="8" width="16" style="31" bestFit="1" customWidth="1"/>
    <col min="9" max="9" width="16" style="31" customWidth="1"/>
    <col min="10" max="10" width="10.625" style="31"/>
    <col min="11" max="11" width="13.75" style="31" bestFit="1" customWidth="1"/>
    <col min="12" max="12" width="10.625" style="33"/>
    <col min="13" max="13" width="13.125" style="31" bestFit="1" customWidth="1"/>
    <col min="14" max="16384" width="10.625" style="31"/>
  </cols>
  <sheetData>
    <row r="1" spans="1:13" x14ac:dyDescent="0.25">
      <c r="A1" s="30" t="s">
        <v>43</v>
      </c>
    </row>
    <row r="2" spans="1:13" ht="30" x14ac:dyDescent="0.25">
      <c r="A2" s="31" t="s">
        <v>0</v>
      </c>
      <c r="B2" s="31" t="s">
        <v>1</v>
      </c>
      <c r="D2" s="31" t="s">
        <v>13</v>
      </c>
      <c r="E2" s="31" t="s">
        <v>2</v>
      </c>
      <c r="F2" s="31" t="s">
        <v>3</v>
      </c>
      <c r="G2" s="31" t="s">
        <v>42</v>
      </c>
      <c r="H2" s="31" t="s">
        <v>11</v>
      </c>
      <c r="K2" s="31" t="s">
        <v>12</v>
      </c>
      <c r="M2" s="31">
        <v>5000000</v>
      </c>
    </row>
    <row r="3" spans="1:13" s="34" customFormat="1" x14ac:dyDescent="0.25">
      <c r="A3" s="49">
        <v>44151</v>
      </c>
      <c r="B3" s="31" t="s">
        <v>8</v>
      </c>
      <c r="C3" s="31"/>
      <c r="D3" s="31"/>
      <c r="E3" s="31"/>
      <c r="F3" s="31"/>
      <c r="G3" s="32">
        <v>664000</v>
      </c>
      <c r="H3" s="31"/>
      <c r="I3" s="31"/>
      <c r="J3" s="31"/>
      <c r="K3" s="31"/>
      <c r="L3" s="33"/>
    </row>
    <row r="4" spans="1:13" x14ac:dyDescent="0.25">
      <c r="B4" s="31" t="s">
        <v>7</v>
      </c>
      <c r="E4" s="31">
        <v>1.19</v>
      </c>
    </row>
    <row r="5" spans="1:13" x14ac:dyDescent="0.25">
      <c r="A5" s="49"/>
      <c r="B5" s="59" t="s">
        <v>4</v>
      </c>
      <c r="C5" s="31" t="s">
        <v>44</v>
      </c>
      <c r="D5" s="31">
        <v>1</v>
      </c>
      <c r="E5" s="35">
        <v>100</v>
      </c>
      <c r="F5" s="36">
        <v>1000</v>
      </c>
      <c r="G5" s="37">
        <f>IF(C5="EUR",E5*F5*D5,IF(C5="USD",E5*F5*D5/E$4,"FALSO"))</f>
        <v>100000</v>
      </c>
      <c r="H5" s="38">
        <f t="shared" ref="H5:H10" si="0">G5/$G$3</f>
        <v>0.15060240963855423</v>
      </c>
      <c r="I5" s="39"/>
      <c r="J5" s="39"/>
      <c r="K5" s="40">
        <f t="shared" ref="K5:K10" si="1">$M$2*H5</f>
        <v>753012.04819277115</v>
      </c>
      <c r="L5" s="41">
        <f>ROUND(K5,0)</f>
        <v>753012</v>
      </c>
    </row>
    <row r="6" spans="1:13" x14ac:dyDescent="0.25">
      <c r="A6" s="49"/>
      <c r="B6" s="31" t="s">
        <v>61</v>
      </c>
      <c r="C6" s="31" t="s">
        <v>44</v>
      </c>
      <c r="D6" s="31">
        <v>2</v>
      </c>
      <c r="E6" s="35">
        <v>15680</v>
      </c>
      <c r="F6" s="36">
        <v>5</v>
      </c>
      <c r="G6" s="37">
        <f t="shared" ref="G6:G10" si="2">IF(C6="EUR",E6*F6*D6,IF(C6="USD",E6*F6*D6/E$4,"FALSO"))</f>
        <v>156800</v>
      </c>
      <c r="H6" s="38">
        <f t="shared" si="0"/>
        <v>0.236144578313253</v>
      </c>
      <c r="I6" s="39"/>
      <c r="J6" s="39"/>
      <c r="K6" s="40">
        <f t="shared" si="1"/>
        <v>1180722.8915662649</v>
      </c>
      <c r="L6" s="41">
        <f>ROUND(K6,0)</f>
        <v>1180723</v>
      </c>
    </row>
    <row r="7" spans="1:13" x14ac:dyDescent="0.25">
      <c r="A7" s="49"/>
      <c r="B7" s="31" t="s">
        <v>10</v>
      </c>
      <c r="C7" s="31" t="s">
        <v>45</v>
      </c>
      <c r="D7" s="31">
        <v>0</v>
      </c>
      <c r="E7" s="35">
        <v>37</v>
      </c>
      <c r="F7" s="42">
        <v>1000</v>
      </c>
      <c r="G7" s="43">
        <f t="shared" si="2"/>
        <v>0</v>
      </c>
      <c r="H7" s="38">
        <f t="shared" si="0"/>
        <v>0</v>
      </c>
      <c r="I7" s="39"/>
      <c r="J7" s="39"/>
      <c r="K7" s="40">
        <f t="shared" si="1"/>
        <v>0</v>
      </c>
      <c r="L7" s="41">
        <f t="shared" ref="L7:L10" si="3">ROUND(K7,0)</f>
        <v>0</v>
      </c>
    </row>
    <row r="8" spans="1:13" x14ac:dyDescent="0.25">
      <c r="A8" s="49"/>
      <c r="B8" s="31" t="s">
        <v>65</v>
      </c>
      <c r="C8" s="31" t="s">
        <v>45</v>
      </c>
      <c r="D8" s="31">
        <v>5</v>
      </c>
      <c r="E8" s="35">
        <v>4303</v>
      </c>
      <c r="F8" s="42">
        <v>5</v>
      </c>
      <c r="G8" s="43">
        <f t="shared" si="2"/>
        <v>90399.159663865546</v>
      </c>
      <c r="H8" s="38">
        <f t="shared" si="0"/>
        <v>0.13614331274678546</v>
      </c>
      <c r="I8" s="39"/>
      <c r="J8" s="39"/>
      <c r="K8" s="40">
        <f t="shared" si="1"/>
        <v>680716.56373392732</v>
      </c>
      <c r="L8" s="41">
        <f t="shared" si="3"/>
        <v>680717</v>
      </c>
    </row>
    <row r="9" spans="1:13" x14ac:dyDescent="0.25">
      <c r="A9" s="49"/>
      <c r="B9" s="31" t="s">
        <v>64</v>
      </c>
      <c r="C9" s="31" t="s">
        <v>45</v>
      </c>
      <c r="D9" s="31">
        <v>10</v>
      </c>
      <c r="E9" s="35">
        <v>15600</v>
      </c>
      <c r="F9" s="42">
        <v>2</v>
      </c>
      <c r="G9" s="43">
        <f t="shared" si="2"/>
        <v>262184.87394957984</v>
      </c>
      <c r="H9" s="38">
        <f t="shared" si="0"/>
        <v>0.39485673787587322</v>
      </c>
      <c r="I9" s="39"/>
      <c r="J9" s="39"/>
      <c r="K9" s="40">
        <f t="shared" si="1"/>
        <v>1974283.6893793661</v>
      </c>
      <c r="L9" s="41">
        <f t="shared" si="3"/>
        <v>1974284</v>
      </c>
    </row>
    <row r="10" spans="1:13" x14ac:dyDescent="0.25">
      <c r="A10" s="49"/>
      <c r="B10" s="31" t="s">
        <v>5</v>
      </c>
      <c r="C10" s="31" t="s">
        <v>45</v>
      </c>
      <c r="D10" s="31">
        <v>1</v>
      </c>
      <c r="E10" s="31">
        <v>1777</v>
      </c>
      <c r="F10" s="42">
        <v>100</v>
      </c>
      <c r="G10" s="43">
        <f t="shared" si="2"/>
        <v>149327.731092437</v>
      </c>
      <c r="H10" s="38">
        <f t="shared" si="0"/>
        <v>0.22489116128379066</v>
      </c>
      <c r="I10" s="39"/>
      <c r="J10" s="39"/>
      <c r="K10" s="40">
        <f t="shared" si="1"/>
        <v>1124455.8064189532</v>
      </c>
      <c r="L10" s="41">
        <f t="shared" si="3"/>
        <v>1124456</v>
      </c>
    </row>
    <row r="11" spans="1:13" x14ac:dyDescent="0.25">
      <c r="A11" s="49"/>
      <c r="E11" s="44"/>
      <c r="H11" s="39"/>
      <c r="I11" s="39"/>
    </row>
    <row r="12" spans="1:13" x14ac:dyDescent="0.25">
      <c r="A12" s="50"/>
      <c r="B12" s="31" t="s">
        <v>6</v>
      </c>
      <c r="F12" s="42"/>
      <c r="G12" s="32">
        <f>SUM(G5:G10)</f>
        <v>758711.76470588241</v>
      </c>
      <c r="H12" s="45">
        <f>SUM(H5:H10)</f>
        <v>1.1426381998582567</v>
      </c>
      <c r="I12" s="45"/>
      <c r="J12" s="45"/>
      <c r="K12" s="46">
        <f>SUM(K5:K10)</f>
        <v>5713190.9992912831</v>
      </c>
    </row>
    <row r="14" spans="1:13" x14ac:dyDescent="0.25">
      <c r="B14" s="31" t="s">
        <v>9</v>
      </c>
      <c r="H14" s="47" t="str">
        <f>ROUND(G12/G3,2) &amp;" veces"</f>
        <v>1.14 veces</v>
      </c>
      <c r="I14" s="48"/>
    </row>
    <row r="18" spans="1:14" x14ac:dyDescent="0.25">
      <c r="B18" s="72" t="s">
        <v>63</v>
      </c>
      <c r="C18" s="71" t="s">
        <v>62</v>
      </c>
      <c r="D18" s="70"/>
      <c r="E18" s="70"/>
      <c r="F18" s="69"/>
    </row>
    <row r="19" spans="1:14" ht="31.5" x14ac:dyDescent="0.25">
      <c r="A19" s="60"/>
      <c r="B19" s="60"/>
      <c r="C19" s="60"/>
      <c r="D19" s="60"/>
      <c r="E19" s="60"/>
      <c r="F19" s="60"/>
      <c r="G19" s="61"/>
      <c r="H19" s="60"/>
      <c r="K19" s="53" t="s">
        <v>53</v>
      </c>
      <c r="L19" s="53" t="s">
        <v>54</v>
      </c>
      <c r="M19" s="54" t="s">
        <v>55</v>
      </c>
      <c r="N19" s="53" t="s">
        <v>56</v>
      </c>
    </row>
    <row r="20" spans="1:14" s="51" customFormat="1" ht="15.75" x14ac:dyDescent="0.25">
      <c r="A20" s="62" t="s">
        <v>46</v>
      </c>
      <c r="B20" s="63"/>
      <c r="C20" s="63"/>
      <c r="D20" s="63"/>
      <c r="E20" s="64"/>
      <c r="F20" s="64"/>
      <c r="G20" s="65"/>
      <c r="H20" s="64"/>
      <c r="K20" s="55">
        <v>-9.2430891345913133E-2</v>
      </c>
      <c r="L20" s="55">
        <v>-2.6682500000000001E-2</v>
      </c>
      <c r="M20" s="56">
        <v>-1.3341250000000001E-2</v>
      </c>
      <c r="N20" s="55">
        <v>-5.9663883809638139E-3</v>
      </c>
    </row>
    <row r="21" spans="1:14" s="53" customFormat="1" ht="15.75" x14ac:dyDescent="0.25">
      <c r="A21" s="66" t="s">
        <v>50</v>
      </c>
      <c r="B21" s="67"/>
      <c r="C21" s="67"/>
      <c r="D21" s="67"/>
      <c r="E21" s="67"/>
      <c r="F21" s="67"/>
      <c r="G21" s="68"/>
      <c r="H21" s="67"/>
      <c r="K21" s="51"/>
      <c r="L21" s="51"/>
      <c r="M21" s="52"/>
      <c r="N21" s="51"/>
    </row>
    <row r="22" spans="1:14" s="51" customFormat="1" ht="31.5" x14ac:dyDescent="0.25">
      <c r="A22" s="64"/>
      <c r="B22" s="64"/>
      <c r="C22" s="64"/>
      <c r="D22" s="64"/>
      <c r="E22" s="64"/>
      <c r="F22" s="64"/>
      <c r="G22" s="65"/>
      <c r="H22" s="64"/>
      <c r="K22" s="53" t="s">
        <v>57</v>
      </c>
      <c r="L22" s="53" t="s">
        <v>58</v>
      </c>
      <c r="M22" s="54" t="s">
        <v>59</v>
      </c>
      <c r="N22" s="53" t="s">
        <v>60</v>
      </c>
    </row>
    <row r="23" spans="1:14" s="51" customFormat="1" ht="15.75" x14ac:dyDescent="0.25">
      <c r="A23" s="62" t="s">
        <v>47</v>
      </c>
      <c r="B23" s="64"/>
      <c r="C23" s="64"/>
      <c r="D23" s="64"/>
      <c r="E23" s="64"/>
      <c r="F23" s="64"/>
      <c r="G23" s="65"/>
      <c r="H23" s="64"/>
      <c r="K23" s="57">
        <v>-0.14715434379072878</v>
      </c>
      <c r="L23" s="57">
        <v>-4.2479799999999998E-2</v>
      </c>
      <c r="M23" s="58">
        <v>-2.1239899999999999E-2</v>
      </c>
      <c r="N23" s="57">
        <v>-9.498772047059555E-3</v>
      </c>
    </row>
    <row r="24" spans="1:14" s="53" customFormat="1" ht="15.75" x14ac:dyDescent="0.25">
      <c r="A24" s="66" t="s">
        <v>49</v>
      </c>
      <c r="B24" s="67"/>
      <c r="C24" s="67"/>
      <c r="D24" s="67"/>
      <c r="E24" s="67"/>
      <c r="F24" s="67"/>
      <c r="G24" s="68"/>
      <c r="H24" s="67"/>
    </row>
    <row r="25" spans="1:14" s="53" customFormat="1" ht="15.75" x14ac:dyDescent="0.25">
      <c r="A25" s="66" t="s">
        <v>48</v>
      </c>
      <c r="B25" s="67"/>
      <c r="C25" s="67"/>
      <c r="D25" s="67"/>
      <c r="E25" s="67"/>
      <c r="F25" s="67"/>
      <c r="G25" s="68"/>
      <c r="H25" s="67"/>
    </row>
    <row r="26" spans="1:14" s="51" customFormat="1" ht="15.75" x14ac:dyDescent="0.25">
      <c r="A26" s="64"/>
      <c r="B26" s="64"/>
      <c r="C26" s="64"/>
      <c r="D26" s="64"/>
      <c r="E26" s="64"/>
      <c r="F26" s="64"/>
      <c r="G26" s="65"/>
      <c r="H26" s="64"/>
      <c r="L26" s="52"/>
    </row>
    <row r="27" spans="1:14" s="51" customFormat="1" ht="15.75" x14ac:dyDescent="0.25">
      <c r="A27" s="62" t="s">
        <v>52</v>
      </c>
      <c r="B27" s="64"/>
      <c r="C27" s="64"/>
      <c r="D27" s="64"/>
      <c r="E27" s="64"/>
      <c r="F27" s="64"/>
      <c r="G27" s="65"/>
      <c r="H27" s="64"/>
      <c r="L27" s="52"/>
    </row>
    <row r="28" spans="1:14" s="53" customFormat="1" ht="15.75" x14ac:dyDescent="0.25">
      <c r="A28" s="66" t="s">
        <v>51</v>
      </c>
      <c r="B28" s="67"/>
      <c r="C28" s="67"/>
      <c r="D28" s="67"/>
      <c r="E28" s="67"/>
      <c r="F28" s="67"/>
      <c r="G28" s="68"/>
      <c r="H28" s="67"/>
      <c r="L28" s="54"/>
    </row>
    <row r="29" spans="1:14" x14ac:dyDescent="0.25">
      <c r="A29" s="60"/>
      <c r="B29" s="60"/>
      <c r="C29" s="60"/>
      <c r="D29" s="60"/>
      <c r="E29" s="60"/>
      <c r="F29" s="60"/>
      <c r="G29" s="61"/>
      <c r="H29" s="60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E678-29B9-475F-9645-44E8D9C707F1}">
  <dimension ref="A1:F15"/>
  <sheetViews>
    <sheetView workbookViewId="0">
      <selection activeCell="B10" sqref="B10"/>
    </sheetView>
  </sheetViews>
  <sheetFormatPr baseColWidth="10" defaultRowHeight="15" x14ac:dyDescent="0.25"/>
  <cols>
    <col min="1" max="1" width="11.5" bestFit="1" customWidth="1"/>
  </cols>
  <sheetData>
    <row r="1" spans="1:6" x14ac:dyDescent="0.25">
      <c r="B1" t="s">
        <v>70</v>
      </c>
      <c r="C1" t="s">
        <v>71</v>
      </c>
      <c r="D1" t="s">
        <v>68</v>
      </c>
      <c r="E1" t="s">
        <v>67</v>
      </c>
      <c r="F1" t="s">
        <v>66</v>
      </c>
    </row>
    <row r="2" spans="1:6" x14ac:dyDescent="0.25">
      <c r="B2">
        <v>4</v>
      </c>
      <c r="C2">
        <v>4</v>
      </c>
      <c r="D2">
        <v>2</v>
      </c>
      <c r="E2">
        <v>2</v>
      </c>
      <c r="F2">
        <v>2</v>
      </c>
    </row>
    <row r="3" spans="1:6" x14ac:dyDescent="0.25">
      <c r="B3">
        <v>1777</v>
      </c>
      <c r="C3">
        <v>15600</v>
      </c>
      <c r="D3">
        <v>4303</v>
      </c>
      <c r="E3">
        <v>100</v>
      </c>
      <c r="F3">
        <v>15680</v>
      </c>
    </row>
    <row r="4" spans="1:6" x14ac:dyDescent="0.25">
      <c r="B4">
        <v>100</v>
      </c>
      <c r="C4">
        <v>20</v>
      </c>
      <c r="D4">
        <v>50</v>
      </c>
      <c r="E4">
        <v>1000</v>
      </c>
      <c r="F4">
        <v>5</v>
      </c>
    </row>
    <row r="5" spans="1:6" x14ac:dyDescent="0.25">
      <c r="B5">
        <f>B2*B3*B4</f>
        <v>710800</v>
      </c>
      <c r="C5">
        <f>C2*C3*C4</f>
        <v>1248000</v>
      </c>
      <c r="D5">
        <f>D2*D3*D4</f>
        <v>430300</v>
      </c>
      <c r="E5">
        <f>E2*E3*E4</f>
        <v>200000</v>
      </c>
      <c r="F5">
        <f>F2*F3*F4</f>
        <v>156800</v>
      </c>
    </row>
    <row r="7" spans="1:6" x14ac:dyDescent="0.25">
      <c r="A7" s="74">
        <f>SUM(B5:F5)</f>
        <v>2745900</v>
      </c>
    </row>
    <row r="9" spans="1:6" x14ac:dyDescent="0.25">
      <c r="B9" t="s">
        <v>70</v>
      </c>
      <c r="C9" t="s">
        <v>69</v>
      </c>
      <c r="D9" t="s">
        <v>68</v>
      </c>
      <c r="E9" t="s">
        <v>67</v>
      </c>
      <c r="F9" t="s">
        <v>66</v>
      </c>
    </row>
    <row r="10" spans="1:6" x14ac:dyDescent="0.25">
      <c r="B10">
        <v>2</v>
      </c>
      <c r="C10">
        <v>4</v>
      </c>
      <c r="D10">
        <v>1</v>
      </c>
      <c r="E10">
        <v>1</v>
      </c>
      <c r="F10">
        <v>1</v>
      </c>
    </row>
    <row r="11" spans="1:6" x14ac:dyDescent="0.25">
      <c r="B11">
        <v>1777</v>
      </c>
      <c r="C11">
        <v>15600</v>
      </c>
      <c r="D11">
        <v>4303</v>
      </c>
      <c r="E11">
        <v>100</v>
      </c>
      <c r="F11">
        <v>15680</v>
      </c>
    </row>
    <row r="12" spans="1:6" x14ac:dyDescent="0.25">
      <c r="B12">
        <v>100</v>
      </c>
      <c r="C12">
        <v>2</v>
      </c>
      <c r="D12">
        <v>5</v>
      </c>
      <c r="E12">
        <v>1000</v>
      </c>
      <c r="F12">
        <v>5</v>
      </c>
    </row>
    <row r="13" spans="1:6" x14ac:dyDescent="0.25">
      <c r="B13">
        <f>B10*B11*B12</f>
        <v>355400</v>
      </c>
      <c r="C13">
        <f>C10*C11*C12</f>
        <v>124800</v>
      </c>
      <c r="D13">
        <f>D10*D11*D12</f>
        <v>21515</v>
      </c>
      <c r="E13">
        <f>E10*E11*E12</f>
        <v>100000</v>
      </c>
      <c r="F13">
        <f>F10*F11*F12</f>
        <v>78400</v>
      </c>
    </row>
    <row r="15" spans="1:6" x14ac:dyDescent="0.25">
      <c r="A15" s="74">
        <f>SUM(B13:F13)</f>
        <v>680115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draw downs</vt:lpstr>
      <vt:lpstr>APALANCAMIENTO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Sánchez</dc:creator>
  <cp:lastModifiedBy>SERSAN SISTEMAS</cp:lastModifiedBy>
  <cp:lastPrinted>2019-04-11T08:25:13Z</cp:lastPrinted>
  <dcterms:created xsi:type="dcterms:W3CDTF">2016-03-16T18:12:21Z</dcterms:created>
  <dcterms:modified xsi:type="dcterms:W3CDTF">2021-07-02T10:38:06Z</dcterms:modified>
</cp:coreProperties>
</file>