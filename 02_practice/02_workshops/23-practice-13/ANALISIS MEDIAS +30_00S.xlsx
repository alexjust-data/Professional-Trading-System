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CURSOS/CURSO DE TRADING ALGORÍTMICO/PRÁCTICAS/CLASES/Tendencial Oro/Optis Sergi/"/>
    </mc:Choice>
  </mc:AlternateContent>
  <xr:revisionPtr revIDLastSave="2823" documentId="8_{C731E9F7-277D-47AE-B73A-E3D80A988738}" xr6:coauthVersionLast="47" xr6:coauthVersionMax="47" xr10:uidLastSave="{65EB5229-2095-4788-83C0-81E435E9A421}"/>
  <bookViews>
    <workbookView minimized="1" xWindow="2145" yWindow="2640" windowWidth="21600" windowHeight="11295" activeTab="2" xr2:uid="{87622A66-B005-4C27-99B3-2827634FA326}"/>
  </bookViews>
  <sheets>
    <sheet name="Opti_Medias_+30_INS" sheetId="2" r:id="rId1"/>
    <sheet name="Opti_Medias_+30_OOS" sheetId="3" r:id="rId2"/>
    <sheet name="Opti_Medias_+30_ALL_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2" l="1"/>
  <c r="AJ8" i="2"/>
  <c r="AJ13" i="2"/>
  <c r="AJ2" i="2"/>
  <c r="AJ29" i="2"/>
  <c r="AJ16" i="2"/>
  <c r="AJ7" i="2"/>
  <c r="AJ46" i="2"/>
  <c r="AJ30" i="2"/>
  <c r="AJ33" i="2"/>
  <c r="AJ11" i="2"/>
  <c r="AJ5" i="2"/>
  <c r="AJ49" i="2"/>
  <c r="AJ21" i="2"/>
  <c r="AJ20" i="2"/>
  <c r="AJ10" i="2"/>
  <c r="AJ62" i="2"/>
  <c r="AJ28" i="2"/>
  <c r="AJ35" i="2"/>
  <c r="AJ40" i="2"/>
  <c r="AJ27" i="2"/>
  <c r="AJ36" i="2"/>
  <c r="AJ44" i="2"/>
  <c r="AJ14" i="2"/>
  <c r="AJ18" i="2"/>
  <c r="AJ9" i="2"/>
  <c r="AJ68" i="2"/>
  <c r="AJ31" i="2"/>
  <c r="AJ4" i="2"/>
  <c r="AJ51" i="2"/>
  <c r="AJ17" i="2"/>
  <c r="AJ19" i="2"/>
  <c r="AJ23" i="2"/>
  <c r="AJ60" i="2"/>
  <c r="AJ25" i="2"/>
  <c r="AJ65" i="2"/>
  <c r="AJ47" i="2"/>
  <c r="AJ15" i="2"/>
  <c r="AJ38" i="2"/>
  <c r="AJ74" i="2"/>
  <c r="AJ57" i="2"/>
  <c r="AJ45" i="2"/>
  <c r="AJ96" i="2"/>
  <c r="AJ56" i="2"/>
  <c r="AJ53" i="2"/>
  <c r="AJ76" i="2"/>
  <c r="AJ71" i="2"/>
  <c r="AJ32" i="2"/>
  <c r="AJ6" i="2"/>
  <c r="AJ66" i="2"/>
  <c r="AJ82" i="2"/>
  <c r="AJ67" i="2"/>
  <c r="AJ48" i="2"/>
  <c r="AJ86" i="2"/>
  <c r="AJ41" i="2"/>
  <c r="AJ37" i="2"/>
  <c r="AJ52" i="2"/>
  <c r="AJ94" i="2"/>
  <c r="AJ54" i="2"/>
  <c r="AJ50" i="2"/>
  <c r="AJ90" i="2"/>
  <c r="AJ92" i="2"/>
  <c r="AJ39" i="2"/>
  <c r="AJ72" i="2"/>
  <c r="AJ12" i="2"/>
  <c r="AJ70" i="2"/>
  <c r="AJ42" i="2"/>
  <c r="AJ98" i="2"/>
  <c r="AJ93" i="2"/>
  <c r="AJ64" i="2"/>
  <c r="AJ81" i="2"/>
  <c r="AJ84" i="2"/>
  <c r="AJ100" i="2"/>
  <c r="AJ43" i="2"/>
  <c r="AJ55" i="2"/>
  <c r="AJ24" i="2"/>
  <c r="AJ97" i="2"/>
  <c r="AJ79" i="2"/>
  <c r="AJ22" i="2"/>
  <c r="AJ26" i="2"/>
  <c r="AJ58" i="2"/>
  <c r="AJ87" i="2"/>
  <c r="AJ61" i="2"/>
  <c r="AJ59" i="2"/>
  <c r="AJ91" i="2"/>
  <c r="AJ34" i="2"/>
  <c r="AJ89" i="2"/>
  <c r="AJ99" i="2"/>
  <c r="AJ78" i="2"/>
  <c r="AJ73" i="2"/>
  <c r="AJ63" i="2"/>
  <c r="AJ101" i="2"/>
  <c r="AJ85" i="2"/>
  <c r="AJ75" i="2"/>
  <c r="AJ88" i="2"/>
  <c r="AJ69" i="2"/>
  <c r="AJ83" i="2"/>
  <c r="AJ80" i="2"/>
  <c r="AJ77" i="2"/>
  <c r="AJ95" i="2"/>
  <c r="AI3" i="2"/>
  <c r="AI8" i="2"/>
  <c r="AI13" i="2"/>
  <c r="AI2" i="2"/>
  <c r="AI29" i="2"/>
  <c r="AI16" i="2"/>
  <c r="AI7" i="2"/>
  <c r="AI46" i="2"/>
  <c r="AI30" i="2"/>
  <c r="AI33" i="2"/>
  <c r="AI11" i="2"/>
  <c r="AI5" i="2"/>
  <c r="AI49" i="2"/>
  <c r="AI21" i="2"/>
  <c r="AI20" i="2"/>
  <c r="AI10" i="2"/>
  <c r="AI62" i="2"/>
  <c r="AI28" i="2"/>
  <c r="AI35" i="2"/>
  <c r="AI40" i="2"/>
  <c r="AI27" i="2"/>
  <c r="AI36" i="2"/>
  <c r="AI44" i="2"/>
  <c r="AI14" i="2"/>
  <c r="AI18" i="2"/>
  <c r="AI9" i="2"/>
  <c r="AI68" i="2"/>
  <c r="AI31" i="2"/>
  <c r="AI4" i="2"/>
  <c r="AI51" i="2"/>
  <c r="AI17" i="2"/>
  <c r="AI19" i="2"/>
  <c r="AI23" i="2"/>
  <c r="AI60" i="2"/>
  <c r="AI25" i="2"/>
  <c r="AI65" i="2"/>
  <c r="AI47" i="2"/>
  <c r="AI15" i="2"/>
  <c r="AI38" i="2"/>
  <c r="AI74" i="2"/>
  <c r="AI57" i="2"/>
  <c r="AI45" i="2"/>
  <c r="AI96" i="2"/>
  <c r="AI56" i="2"/>
  <c r="AI53" i="2"/>
  <c r="AI76" i="2"/>
  <c r="AI71" i="2"/>
  <c r="AI32" i="2"/>
  <c r="AI6" i="2"/>
  <c r="AI66" i="2"/>
  <c r="AI82" i="2"/>
  <c r="AI67" i="2"/>
  <c r="AI48" i="2"/>
  <c r="AI86" i="2"/>
  <c r="AI41" i="2"/>
  <c r="AI37" i="2"/>
  <c r="AI52" i="2"/>
  <c r="AI94" i="2"/>
  <c r="AI54" i="2"/>
  <c r="AI50" i="2"/>
  <c r="AI90" i="2"/>
  <c r="AI92" i="2"/>
  <c r="AI39" i="2"/>
  <c r="AI72" i="2"/>
  <c r="AI12" i="2"/>
  <c r="AI70" i="2"/>
  <c r="AI42" i="2"/>
  <c r="AI98" i="2"/>
  <c r="AI93" i="2"/>
  <c r="AI64" i="2"/>
  <c r="AI81" i="2"/>
  <c r="AI84" i="2"/>
  <c r="AI100" i="2"/>
  <c r="AI43" i="2"/>
  <c r="AI55" i="2"/>
  <c r="AI24" i="2"/>
  <c r="AI97" i="2"/>
  <c r="AI79" i="2"/>
  <c r="AI22" i="2"/>
  <c r="AI26" i="2"/>
  <c r="AI58" i="2"/>
  <c r="AI87" i="2"/>
  <c r="AI61" i="2"/>
  <c r="AI59" i="2"/>
  <c r="AI91" i="2"/>
  <c r="AI34" i="2"/>
  <c r="AI89" i="2"/>
  <c r="AI99" i="2"/>
  <c r="AI78" i="2"/>
  <c r="AI73" i="2"/>
  <c r="AI63" i="2"/>
  <c r="AI101" i="2"/>
  <c r="AI85" i="2"/>
  <c r="AI75" i="2"/>
  <c r="AI88" i="2"/>
  <c r="AI69" i="2"/>
  <c r="AI83" i="2"/>
  <c r="AI80" i="2"/>
  <c r="AI77" i="2"/>
  <c r="AI95" i="2"/>
  <c r="AG3" i="2"/>
  <c r="AG8" i="2"/>
  <c r="AG13" i="2"/>
  <c r="AG2" i="2"/>
  <c r="AG29" i="2"/>
  <c r="AG16" i="2"/>
  <c r="AG7" i="2"/>
  <c r="AG46" i="2"/>
  <c r="AG30" i="2"/>
  <c r="AG33" i="2"/>
  <c r="AG11" i="2"/>
  <c r="AG5" i="2"/>
  <c r="AG49" i="2"/>
  <c r="AG21" i="2"/>
  <c r="AG20" i="2"/>
  <c r="AG10" i="2"/>
  <c r="AG62" i="2"/>
  <c r="AG28" i="2"/>
  <c r="AG35" i="2"/>
  <c r="AG40" i="2"/>
  <c r="AG27" i="2"/>
  <c r="AG36" i="2"/>
  <c r="AG44" i="2"/>
  <c r="AG14" i="2"/>
  <c r="AG18" i="2"/>
  <c r="AG9" i="2"/>
  <c r="AG68" i="2"/>
  <c r="AG31" i="2"/>
  <c r="AG4" i="2"/>
  <c r="AG51" i="2"/>
  <c r="AG17" i="2"/>
  <c r="AG19" i="2"/>
  <c r="AG23" i="2"/>
  <c r="AG60" i="2"/>
  <c r="AG25" i="2"/>
  <c r="AG65" i="2"/>
  <c r="AG47" i="2"/>
  <c r="AG15" i="2"/>
  <c r="AG38" i="2"/>
  <c r="AG74" i="2"/>
  <c r="AG57" i="2"/>
  <c r="AG45" i="2"/>
  <c r="AG96" i="2"/>
  <c r="AG56" i="2"/>
  <c r="AG53" i="2"/>
  <c r="AG76" i="2"/>
  <c r="AG71" i="2"/>
  <c r="AG32" i="2"/>
  <c r="AG6" i="2"/>
  <c r="AG66" i="2"/>
  <c r="AG82" i="2"/>
  <c r="AG67" i="2"/>
  <c r="AG48" i="2"/>
  <c r="AG86" i="2"/>
  <c r="AG41" i="2"/>
  <c r="AG37" i="2"/>
  <c r="AG52" i="2"/>
  <c r="AG94" i="2"/>
  <c r="AG54" i="2"/>
  <c r="AG50" i="2"/>
  <c r="AG90" i="2"/>
  <c r="AG92" i="2"/>
  <c r="AG39" i="2"/>
  <c r="AG72" i="2"/>
  <c r="AG12" i="2"/>
  <c r="AG70" i="2"/>
  <c r="AG42" i="2"/>
  <c r="AG98" i="2"/>
  <c r="AG93" i="2"/>
  <c r="AG64" i="2"/>
  <c r="AG81" i="2"/>
  <c r="AG84" i="2"/>
  <c r="AG100" i="2"/>
  <c r="AG43" i="2"/>
  <c r="AG55" i="2"/>
  <c r="AG24" i="2"/>
  <c r="AG97" i="2"/>
  <c r="AG79" i="2"/>
  <c r="AG22" i="2"/>
  <c r="AG26" i="2"/>
  <c r="AG58" i="2"/>
  <c r="AG87" i="2"/>
  <c r="AG61" i="2"/>
  <c r="AG59" i="2"/>
  <c r="AG91" i="2"/>
  <c r="AG34" i="2"/>
  <c r="AG89" i="2"/>
  <c r="AG99" i="2"/>
  <c r="AG78" i="2"/>
  <c r="AG73" i="2"/>
  <c r="AG63" i="2"/>
  <c r="AG101" i="2"/>
  <c r="AG85" i="2"/>
  <c r="AG75" i="2"/>
  <c r="AG88" i="2"/>
  <c r="AG69" i="2"/>
  <c r="AG83" i="2"/>
  <c r="AG80" i="2"/>
  <c r="AG77" i="2"/>
  <c r="AG95" i="2"/>
  <c r="AF3" i="2"/>
  <c r="AF8" i="2"/>
  <c r="AF13" i="2"/>
  <c r="AF2" i="2"/>
  <c r="AF29" i="2"/>
  <c r="AF16" i="2"/>
  <c r="AF7" i="2"/>
  <c r="AF46" i="2"/>
  <c r="AF30" i="2"/>
  <c r="AF33" i="2"/>
  <c r="AK33" i="2" s="1"/>
  <c r="AL33" i="2" s="1"/>
  <c r="AF11" i="2"/>
  <c r="AF5" i="2"/>
  <c r="AK5" i="2" s="1"/>
  <c r="AL5" i="2" s="1"/>
  <c r="AF49" i="2"/>
  <c r="AF21" i="2"/>
  <c r="AF20" i="2"/>
  <c r="AF10" i="2"/>
  <c r="AF62" i="2"/>
  <c r="AK62" i="2" s="1"/>
  <c r="AL62" i="2" s="1"/>
  <c r="AF28" i="2"/>
  <c r="AK28" i="2" s="1"/>
  <c r="AL28" i="2" s="1"/>
  <c r="AF35" i="2"/>
  <c r="AF40" i="2"/>
  <c r="AF27" i="2"/>
  <c r="AF36" i="2"/>
  <c r="AK36" i="2" s="1"/>
  <c r="AL36" i="2" s="1"/>
  <c r="AF44" i="2"/>
  <c r="AF14" i="2"/>
  <c r="AF18" i="2"/>
  <c r="AK18" i="2" s="1"/>
  <c r="AL18" i="2" s="1"/>
  <c r="AF9" i="2"/>
  <c r="AF68" i="2"/>
  <c r="AF31" i="2"/>
  <c r="AF4" i="2"/>
  <c r="AK4" i="2" s="1"/>
  <c r="AL4" i="2" s="1"/>
  <c r="AF51" i="2"/>
  <c r="AK51" i="2" s="1"/>
  <c r="AL51" i="2" s="1"/>
  <c r="AF17" i="2"/>
  <c r="AF19" i="2"/>
  <c r="AF23" i="2"/>
  <c r="AF60" i="2"/>
  <c r="AK60" i="2" s="1"/>
  <c r="AL60" i="2" s="1"/>
  <c r="AF25" i="2"/>
  <c r="AF65" i="2"/>
  <c r="AK65" i="2" s="1"/>
  <c r="AL65" i="2" s="1"/>
  <c r="AF47" i="2"/>
  <c r="AF15" i="2"/>
  <c r="AF38" i="2"/>
  <c r="AF74" i="2"/>
  <c r="AF57" i="2"/>
  <c r="AK57" i="2" s="1"/>
  <c r="AL57" i="2" s="1"/>
  <c r="AF45" i="2"/>
  <c r="AK45" i="2" s="1"/>
  <c r="AL45" i="2" s="1"/>
  <c r="AF96" i="2"/>
  <c r="AF56" i="2"/>
  <c r="AF53" i="2"/>
  <c r="AF76" i="2"/>
  <c r="AK76" i="2" s="1"/>
  <c r="AL76" i="2" s="1"/>
  <c r="AF71" i="2"/>
  <c r="AF32" i="2"/>
  <c r="AK32" i="2" s="1"/>
  <c r="AL32" i="2" s="1"/>
  <c r="AF6" i="2"/>
  <c r="AK6" i="2" s="1"/>
  <c r="AL6" i="2" s="1"/>
  <c r="AF66" i="2"/>
  <c r="AF82" i="2"/>
  <c r="AF67" i="2"/>
  <c r="AF48" i="2"/>
  <c r="AK48" i="2" s="1"/>
  <c r="AL48" i="2" s="1"/>
  <c r="AF86" i="2"/>
  <c r="AK86" i="2" s="1"/>
  <c r="AL86" i="2" s="1"/>
  <c r="AF41" i="2"/>
  <c r="AF37" i="2"/>
  <c r="AF52" i="2"/>
  <c r="AF94" i="2"/>
  <c r="AK94" i="2" s="1"/>
  <c r="AL94" i="2" s="1"/>
  <c r="AF54" i="2"/>
  <c r="AF50" i="2"/>
  <c r="AK50" i="2" s="1"/>
  <c r="AL50" i="2" s="1"/>
  <c r="AF90" i="2"/>
  <c r="AK90" i="2" s="1"/>
  <c r="AL90" i="2" s="1"/>
  <c r="AF92" i="2"/>
  <c r="AF39" i="2"/>
  <c r="AF72" i="2"/>
  <c r="AF12" i="2"/>
  <c r="AF70" i="2"/>
  <c r="AK70" i="2" s="1"/>
  <c r="AL70" i="2" s="1"/>
  <c r="AF42" i="2"/>
  <c r="AF98" i="2"/>
  <c r="AF93" i="2"/>
  <c r="AF64" i="2"/>
  <c r="AK64" i="2" s="1"/>
  <c r="AL64" i="2" s="1"/>
  <c r="AF81" i="2"/>
  <c r="AF84" i="2"/>
  <c r="AK84" i="2" s="1"/>
  <c r="AL84" i="2" s="1"/>
  <c r="AF100" i="2"/>
  <c r="AK100" i="2" s="1"/>
  <c r="AL100" i="2" s="1"/>
  <c r="AF43" i="2"/>
  <c r="AF55" i="2"/>
  <c r="AF24" i="2"/>
  <c r="AF97" i="2"/>
  <c r="AK97" i="2" s="1"/>
  <c r="AL97" i="2" s="1"/>
  <c r="AF79" i="2"/>
  <c r="AK79" i="2" s="1"/>
  <c r="AL79" i="2" s="1"/>
  <c r="AF22" i="2"/>
  <c r="AF26" i="2"/>
  <c r="AF58" i="2"/>
  <c r="AF87" i="2"/>
  <c r="AK87" i="2" s="1"/>
  <c r="AL87" i="2" s="1"/>
  <c r="AF61" i="2"/>
  <c r="AF59" i="2"/>
  <c r="AK59" i="2" s="1"/>
  <c r="AL59" i="2" s="1"/>
  <c r="AF91" i="2"/>
  <c r="AK91" i="2" s="1"/>
  <c r="AL91" i="2" s="1"/>
  <c r="AF34" i="2"/>
  <c r="AF89" i="2"/>
  <c r="AF99" i="2"/>
  <c r="AF78" i="2"/>
  <c r="AK78" i="2" s="1"/>
  <c r="AL78" i="2" s="1"/>
  <c r="AF73" i="2"/>
  <c r="AK73" i="2" s="1"/>
  <c r="AL73" i="2" s="1"/>
  <c r="AF63" i="2"/>
  <c r="AF101" i="2"/>
  <c r="AF85" i="2"/>
  <c r="AF75" i="2"/>
  <c r="AK75" i="2" s="1"/>
  <c r="AL75" i="2" s="1"/>
  <c r="AF88" i="2"/>
  <c r="AF69" i="2"/>
  <c r="AK69" i="2" s="1"/>
  <c r="AL69" i="2" s="1"/>
  <c r="AF83" i="2"/>
  <c r="AK83" i="2" s="1"/>
  <c r="AL83" i="2" s="1"/>
  <c r="AF80" i="2"/>
  <c r="AF77" i="2"/>
  <c r="AF95" i="2"/>
  <c r="AJ2" i="3"/>
  <c r="AJ4" i="3"/>
  <c r="AJ11" i="3"/>
  <c r="AJ7" i="3"/>
  <c r="AJ16" i="3"/>
  <c r="AJ14" i="3"/>
  <c r="AJ5" i="3"/>
  <c r="AJ3" i="3"/>
  <c r="AJ10" i="3"/>
  <c r="AJ8" i="3"/>
  <c r="AJ24" i="3"/>
  <c r="AJ13" i="3"/>
  <c r="AJ19" i="3"/>
  <c r="AJ9" i="3"/>
  <c r="AJ12" i="3"/>
  <c r="AJ6" i="3"/>
  <c r="AJ15" i="3"/>
  <c r="AJ29" i="3"/>
  <c r="AJ21" i="3"/>
  <c r="AJ18" i="3"/>
  <c r="AJ27" i="3"/>
  <c r="AJ28" i="3"/>
  <c r="AJ23" i="3"/>
  <c r="AJ31" i="3"/>
  <c r="AJ35" i="3"/>
  <c r="AJ33" i="3"/>
  <c r="AJ32" i="3"/>
  <c r="AJ34" i="3"/>
  <c r="AJ17" i="3"/>
  <c r="AJ38" i="3"/>
  <c r="AJ20" i="3"/>
  <c r="AJ30" i="3"/>
  <c r="AJ36" i="3"/>
  <c r="AJ48" i="3"/>
  <c r="AJ51" i="3"/>
  <c r="AJ22" i="3"/>
  <c r="AJ25" i="3"/>
  <c r="AJ26" i="3"/>
  <c r="AJ37" i="3"/>
  <c r="AJ39" i="3"/>
  <c r="AJ44" i="3"/>
  <c r="AJ53" i="3"/>
  <c r="AJ40" i="3"/>
  <c r="AJ43" i="3"/>
  <c r="AJ49" i="3"/>
  <c r="AJ45" i="3"/>
  <c r="AJ61" i="3"/>
  <c r="AJ41" i="3"/>
  <c r="AJ56" i="3"/>
  <c r="AJ54" i="3"/>
  <c r="AJ58" i="3"/>
  <c r="AJ57" i="3"/>
  <c r="AJ47" i="3"/>
  <c r="AJ55" i="3"/>
  <c r="AJ52" i="3"/>
  <c r="AJ50" i="3"/>
  <c r="AJ46" i="3"/>
  <c r="AJ60" i="3"/>
  <c r="AJ62" i="3"/>
  <c r="AJ65" i="3"/>
  <c r="AJ42" i="3"/>
  <c r="AJ69" i="3"/>
  <c r="AJ59" i="3"/>
  <c r="AJ74" i="3"/>
  <c r="AJ71" i="3"/>
  <c r="AJ64" i="3"/>
  <c r="AJ63" i="3"/>
  <c r="AJ70" i="3"/>
  <c r="AJ68" i="3"/>
  <c r="AJ75" i="3"/>
  <c r="AJ66" i="3"/>
  <c r="AJ73" i="3"/>
  <c r="AJ77" i="3"/>
  <c r="AJ67" i="3"/>
  <c r="AJ72" i="3"/>
  <c r="AJ76" i="3"/>
  <c r="AJ79" i="3"/>
  <c r="AJ80" i="3"/>
  <c r="AJ78" i="3"/>
  <c r="AJ81" i="3"/>
  <c r="AJ84" i="3"/>
  <c r="AJ85" i="3"/>
  <c r="AJ88" i="3"/>
  <c r="AJ82" i="3"/>
  <c r="AJ83" i="3"/>
  <c r="AJ86" i="3"/>
  <c r="AJ87" i="3"/>
  <c r="AJ92" i="3"/>
  <c r="AJ94" i="3"/>
  <c r="AJ91" i="3"/>
  <c r="AJ93" i="3"/>
  <c r="AJ99" i="3"/>
  <c r="AJ96" i="3"/>
  <c r="AJ90" i="3"/>
  <c r="AJ89" i="3"/>
  <c r="AJ98" i="3"/>
  <c r="AJ101" i="3"/>
  <c r="AJ97" i="3"/>
  <c r="AJ95" i="3"/>
  <c r="AJ100" i="3"/>
  <c r="AI2" i="3"/>
  <c r="AI4" i="3"/>
  <c r="AI11" i="3"/>
  <c r="AI7" i="3"/>
  <c r="AI16" i="3"/>
  <c r="AI14" i="3"/>
  <c r="AI5" i="3"/>
  <c r="AI3" i="3"/>
  <c r="AI10" i="3"/>
  <c r="AI8" i="3"/>
  <c r="AI24" i="3"/>
  <c r="AI13" i="3"/>
  <c r="AI19" i="3"/>
  <c r="AI9" i="3"/>
  <c r="AI12" i="3"/>
  <c r="AI6" i="3"/>
  <c r="AI15" i="3"/>
  <c r="AI29" i="3"/>
  <c r="AI21" i="3"/>
  <c r="AI18" i="3"/>
  <c r="AI27" i="3"/>
  <c r="AI28" i="3"/>
  <c r="AI23" i="3"/>
  <c r="AI31" i="3"/>
  <c r="AI35" i="3"/>
  <c r="AI33" i="3"/>
  <c r="AI32" i="3"/>
  <c r="AI34" i="3"/>
  <c r="AI17" i="3"/>
  <c r="AI38" i="3"/>
  <c r="AI20" i="3"/>
  <c r="AI30" i="3"/>
  <c r="AI36" i="3"/>
  <c r="AI48" i="3"/>
  <c r="AI51" i="3"/>
  <c r="AI22" i="3"/>
  <c r="AI25" i="3"/>
  <c r="AI26" i="3"/>
  <c r="AI37" i="3"/>
  <c r="AI39" i="3"/>
  <c r="AI44" i="3"/>
  <c r="AI53" i="3"/>
  <c r="AI40" i="3"/>
  <c r="AI43" i="3"/>
  <c r="AI49" i="3"/>
  <c r="AI45" i="3"/>
  <c r="AI61" i="3"/>
  <c r="AI41" i="3"/>
  <c r="AI56" i="3"/>
  <c r="AI54" i="3"/>
  <c r="AI58" i="3"/>
  <c r="AI57" i="3"/>
  <c r="AI47" i="3"/>
  <c r="AI55" i="3"/>
  <c r="AI52" i="3"/>
  <c r="AI50" i="3"/>
  <c r="AI46" i="3"/>
  <c r="AI60" i="3"/>
  <c r="AI62" i="3"/>
  <c r="AI65" i="3"/>
  <c r="AI42" i="3"/>
  <c r="AI69" i="3"/>
  <c r="AI59" i="3"/>
  <c r="AI74" i="3"/>
  <c r="AI71" i="3"/>
  <c r="AI64" i="3"/>
  <c r="AI63" i="3"/>
  <c r="AI70" i="3"/>
  <c r="AI68" i="3"/>
  <c r="AI75" i="3"/>
  <c r="AI66" i="3"/>
  <c r="AI73" i="3"/>
  <c r="AI77" i="3"/>
  <c r="AI67" i="3"/>
  <c r="AI72" i="3"/>
  <c r="AI76" i="3"/>
  <c r="AI79" i="3"/>
  <c r="AI80" i="3"/>
  <c r="AI78" i="3"/>
  <c r="AI81" i="3"/>
  <c r="AI84" i="3"/>
  <c r="AI85" i="3"/>
  <c r="AI88" i="3"/>
  <c r="AI82" i="3"/>
  <c r="AI83" i="3"/>
  <c r="AI86" i="3"/>
  <c r="AI87" i="3"/>
  <c r="AI92" i="3"/>
  <c r="AI94" i="3"/>
  <c r="AI91" i="3"/>
  <c r="AI93" i="3"/>
  <c r="AI99" i="3"/>
  <c r="AI96" i="3"/>
  <c r="AI90" i="3"/>
  <c r="AI89" i="3"/>
  <c r="AI98" i="3"/>
  <c r="AI101" i="3"/>
  <c r="AI97" i="3"/>
  <c r="AI95" i="3"/>
  <c r="AI100" i="3"/>
  <c r="AG2" i="3"/>
  <c r="AG4" i="3"/>
  <c r="AG11" i="3"/>
  <c r="AG7" i="3"/>
  <c r="AG16" i="3"/>
  <c r="AG14" i="3"/>
  <c r="AG5" i="3"/>
  <c r="AG3" i="3"/>
  <c r="AG10" i="3"/>
  <c r="AG8" i="3"/>
  <c r="AG24" i="3"/>
  <c r="AG13" i="3"/>
  <c r="AG19" i="3"/>
  <c r="AG9" i="3"/>
  <c r="AG12" i="3"/>
  <c r="AG6" i="3"/>
  <c r="AG15" i="3"/>
  <c r="AG29" i="3"/>
  <c r="AG21" i="3"/>
  <c r="AG18" i="3"/>
  <c r="AG27" i="3"/>
  <c r="AG28" i="3"/>
  <c r="AG23" i="3"/>
  <c r="AG31" i="3"/>
  <c r="AG35" i="3"/>
  <c r="AG33" i="3"/>
  <c r="AG32" i="3"/>
  <c r="AG34" i="3"/>
  <c r="AG17" i="3"/>
  <c r="AG38" i="3"/>
  <c r="AG20" i="3"/>
  <c r="AG30" i="3"/>
  <c r="AG36" i="3"/>
  <c r="AG48" i="3"/>
  <c r="AG51" i="3"/>
  <c r="AG22" i="3"/>
  <c r="AG25" i="3"/>
  <c r="AG26" i="3"/>
  <c r="AG37" i="3"/>
  <c r="AG39" i="3"/>
  <c r="AG44" i="3"/>
  <c r="AG53" i="3"/>
  <c r="AG40" i="3"/>
  <c r="AG43" i="3"/>
  <c r="AG49" i="3"/>
  <c r="AG45" i="3"/>
  <c r="AG61" i="3"/>
  <c r="AG41" i="3"/>
  <c r="AG56" i="3"/>
  <c r="AG54" i="3"/>
  <c r="AG58" i="3"/>
  <c r="AG57" i="3"/>
  <c r="AG47" i="3"/>
  <c r="AG55" i="3"/>
  <c r="AG52" i="3"/>
  <c r="AG50" i="3"/>
  <c r="AG46" i="3"/>
  <c r="AG60" i="3"/>
  <c r="AG62" i="3"/>
  <c r="AG65" i="3"/>
  <c r="AG42" i="3"/>
  <c r="AG69" i="3"/>
  <c r="AG59" i="3"/>
  <c r="AG74" i="3"/>
  <c r="AG71" i="3"/>
  <c r="AG64" i="3"/>
  <c r="AG63" i="3"/>
  <c r="AG70" i="3"/>
  <c r="AG68" i="3"/>
  <c r="AG75" i="3"/>
  <c r="AG66" i="3"/>
  <c r="AG73" i="3"/>
  <c r="AG77" i="3"/>
  <c r="AG67" i="3"/>
  <c r="AG72" i="3"/>
  <c r="AG76" i="3"/>
  <c r="AG79" i="3"/>
  <c r="AG80" i="3"/>
  <c r="AG78" i="3"/>
  <c r="AG81" i="3"/>
  <c r="AG84" i="3"/>
  <c r="AG85" i="3"/>
  <c r="AG88" i="3"/>
  <c r="AG82" i="3"/>
  <c r="AG83" i="3"/>
  <c r="AG86" i="3"/>
  <c r="AG87" i="3"/>
  <c r="AG92" i="3"/>
  <c r="AG94" i="3"/>
  <c r="AG91" i="3"/>
  <c r="AG93" i="3"/>
  <c r="AG99" i="3"/>
  <c r="AG96" i="3"/>
  <c r="AG90" i="3"/>
  <c r="AG89" i="3"/>
  <c r="AG98" i="3"/>
  <c r="AG101" i="3"/>
  <c r="AG97" i="3"/>
  <c r="AG95" i="3"/>
  <c r="AG100" i="3"/>
  <c r="AF2" i="3"/>
  <c r="AF4" i="3"/>
  <c r="AF11" i="3"/>
  <c r="AF7" i="3"/>
  <c r="AF16" i="3"/>
  <c r="AF14" i="3"/>
  <c r="AF5" i="3"/>
  <c r="AF3" i="3"/>
  <c r="AF10" i="3"/>
  <c r="AF8" i="3"/>
  <c r="AF24" i="3"/>
  <c r="AK24" i="3" s="1"/>
  <c r="AL24" i="3" s="1"/>
  <c r="AF13" i="3"/>
  <c r="AF19" i="3"/>
  <c r="AF9" i="3"/>
  <c r="AF12" i="3"/>
  <c r="AF6" i="3"/>
  <c r="AF15" i="3"/>
  <c r="AF29" i="3"/>
  <c r="AF21" i="3"/>
  <c r="AF18" i="3"/>
  <c r="AF27" i="3"/>
  <c r="AF28" i="3"/>
  <c r="AF23" i="3"/>
  <c r="AK23" i="3" s="1"/>
  <c r="AL23" i="3" s="1"/>
  <c r="AF31" i="3"/>
  <c r="AF35" i="3"/>
  <c r="AF33" i="3"/>
  <c r="AF32" i="3"/>
  <c r="AF34" i="3"/>
  <c r="AF17" i="3"/>
  <c r="AF38" i="3"/>
  <c r="AF20" i="3"/>
  <c r="AF30" i="3"/>
  <c r="AF36" i="3"/>
  <c r="AF48" i="3"/>
  <c r="AF51" i="3"/>
  <c r="AK51" i="3" s="1"/>
  <c r="AL51" i="3" s="1"/>
  <c r="AF22" i="3"/>
  <c r="AF25" i="3"/>
  <c r="AF26" i="3"/>
  <c r="AK26" i="3" s="1"/>
  <c r="AL26" i="3" s="1"/>
  <c r="AF37" i="3"/>
  <c r="AF39" i="3"/>
  <c r="AF44" i="3"/>
  <c r="AF53" i="3"/>
  <c r="AF40" i="3"/>
  <c r="AF43" i="3"/>
  <c r="AF49" i="3"/>
  <c r="AF45" i="3"/>
  <c r="AF61" i="3"/>
  <c r="AK61" i="3" s="1"/>
  <c r="AL61" i="3" s="1"/>
  <c r="AF41" i="3"/>
  <c r="AF56" i="3"/>
  <c r="AF54" i="3"/>
  <c r="AF58" i="3"/>
  <c r="AF57" i="3"/>
  <c r="AF47" i="3"/>
  <c r="AF55" i="3"/>
  <c r="AF52" i="3"/>
  <c r="AF50" i="3"/>
  <c r="AF46" i="3"/>
  <c r="AF60" i="3"/>
  <c r="AF62" i="3"/>
  <c r="AK62" i="3" s="1"/>
  <c r="AL62" i="3" s="1"/>
  <c r="AF65" i="3"/>
  <c r="AF42" i="3"/>
  <c r="AF69" i="3"/>
  <c r="AK69" i="3" s="1"/>
  <c r="AL69" i="3" s="1"/>
  <c r="AF59" i="3"/>
  <c r="AF74" i="3"/>
  <c r="AF71" i="3"/>
  <c r="AF64" i="3"/>
  <c r="AF63" i="3"/>
  <c r="AF70" i="3"/>
  <c r="AF68" i="3"/>
  <c r="AF75" i="3"/>
  <c r="AF66" i="3"/>
  <c r="AK66" i="3" s="1"/>
  <c r="AL66" i="3" s="1"/>
  <c r="AF73" i="3"/>
  <c r="AF77" i="3"/>
  <c r="AF67" i="3"/>
  <c r="AK67" i="3" s="1"/>
  <c r="AL67" i="3" s="1"/>
  <c r="AF72" i="3"/>
  <c r="AF76" i="3"/>
  <c r="AF79" i="3"/>
  <c r="AF80" i="3"/>
  <c r="AF78" i="3"/>
  <c r="AF81" i="3"/>
  <c r="AF84" i="3"/>
  <c r="AF85" i="3"/>
  <c r="AF88" i="3"/>
  <c r="AK88" i="3" s="1"/>
  <c r="AL88" i="3" s="1"/>
  <c r="AF82" i="3"/>
  <c r="AF83" i="3"/>
  <c r="AF86" i="3"/>
  <c r="AK86" i="3" s="1"/>
  <c r="AL86" i="3" s="1"/>
  <c r="AF87" i="3"/>
  <c r="AF92" i="3"/>
  <c r="AF94" i="3"/>
  <c r="AF91" i="3"/>
  <c r="AF93" i="3"/>
  <c r="AF99" i="3"/>
  <c r="AF96" i="3"/>
  <c r="AF90" i="3"/>
  <c r="AF89" i="3"/>
  <c r="AK89" i="3" s="1"/>
  <c r="AL89" i="3" s="1"/>
  <c r="AF98" i="3"/>
  <c r="AF101" i="3"/>
  <c r="AF97" i="3"/>
  <c r="AK97" i="3" s="1"/>
  <c r="AL97" i="3" s="1"/>
  <c r="AF95" i="3"/>
  <c r="AF100" i="3"/>
  <c r="AJ20" i="4"/>
  <c r="AJ10" i="4"/>
  <c r="AJ27" i="4"/>
  <c r="AJ42" i="4"/>
  <c r="AJ7" i="4"/>
  <c r="AJ16" i="4"/>
  <c r="AJ67" i="4"/>
  <c r="AJ19" i="4"/>
  <c r="AJ60" i="4"/>
  <c r="AJ47" i="4"/>
  <c r="AJ37" i="4"/>
  <c r="AJ2" i="4"/>
  <c r="AJ35" i="4"/>
  <c r="AJ15" i="4"/>
  <c r="AJ4" i="4"/>
  <c r="AJ13" i="4"/>
  <c r="AJ71" i="4"/>
  <c r="AJ58" i="4"/>
  <c r="AJ12" i="4"/>
  <c r="AJ21" i="4"/>
  <c r="AJ23" i="4"/>
  <c r="AJ72" i="4"/>
  <c r="AJ76" i="4"/>
  <c r="AJ54" i="4"/>
  <c r="AJ33" i="4"/>
  <c r="AJ59" i="4"/>
  <c r="AJ9" i="4"/>
  <c r="AJ34" i="4"/>
  <c r="AJ80" i="4"/>
  <c r="AJ24" i="4"/>
  <c r="AJ92" i="4"/>
  <c r="AJ28" i="4"/>
  <c r="AJ3" i="4"/>
  <c r="AJ31" i="4"/>
  <c r="AJ39" i="4"/>
  <c r="AJ38" i="4"/>
  <c r="AJ45" i="4"/>
  <c r="AJ87" i="4"/>
  <c r="AJ8" i="4"/>
  <c r="AJ14" i="4"/>
  <c r="AJ88" i="4"/>
  <c r="AJ48" i="4"/>
  <c r="AJ73" i="4"/>
  <c r="AJ43" i="4"/>
  <c r="AJ25" i="4"/>
  <c r="AJ93" i="4"/>
  <c r="AJ56" i="4"/>
  <c r="AJ69" i="4"/>
  <c r="AJ22" i="4"/>
  <c r="AJ11" i="4"/>
  <c r="AJ51" i="4"/>
  <c r="AJ57" i="4"/>
  <c r="AJ78" i="4"/>
  <c r="AJ30" i="4"/>
  <c r="AJ85" i="4"/>
  <c r="AJ50" i="4"/>
  <c r="AJ5" i="4"/>
  <c r="AJ53" i="4"/>
  <c r="AJ17" i="4"/>
  <c r="AJ90" i="4"/>
  <c r="AJ18" i="4"/>
  <c r="AJ36" i="4"/>
  <c r="AJ46" i="4"/>
  <c r="AJ41" i="4"/>
  <c r="AJ81" i="4"/>
  <c r="AJ26" i="4"/>
  <c r="AJ32" i="4"/>
  <c r="AJ79" i="4"/>
  <c r="AJ84" i="4"/>
  <c r="AJ49" i="4"/>
  <c r="AJ86" i="4"/>
  <c r="AJ6" i="4"/>
  <c r="AJ40" i="4"/>
  <c r="AJ96" i="4"/>
  <c r="AJ97" i="4"/>
  <c r="AJ44" i="4"/>
  <c r="AJ95" i="4"/>
  <c r="AJ62" i="4"/>
  <c r="AJ52" i="4"/>
  <c r="AJ91" i="4"/>
  <c r="AJ65" i="4"/>
  <c r="AJ100" i="4"/>
  <c r="AJ77" i="4"/>
  <c r="AJ63" i="4"/>
  <c r="AJ83" i="4"/>
  <c r="AJ55" i="4"/>
  <c r="AJ82" i="4"/>
  <c r="AJ64" i="4"/>
  <c r="AJ94" i="4"/>
  <c r="AJ61" i="4"/>
  <c r="AJ29" i="4"/>
  <c r="AJ98" i="4"/>
  <c r="AJ101" i="4"/>
  <c r="AJ75" i="4"/>
  <c r="AJ68" i="4"/>
  <c r="AJ70" i="4"/>
  <c r="AJ66" i="4"/>
  <c r="AJ89" i="4"/>
  <c r="AJ74" i="4"/>
  <c r="AJ99" i="4"/>
  <c r="AI20" i="4"/>
  <c r="AI10" i="4"/>
  <c r="AI27" i="4"/>
  <c r="AI42" i="4"/>
  <c r="AI7" i="4"/>
  <c r="AI16" i="4"/>
  <c r="AI67" i="4"/>
  <c r="AI19" i="4"/>
  <c r="AI60" i="4"/>
  <c r="AI47" i="4"/>
  <c r="AI37" i="4"/>
  <c r="AI2" i="4"/>
  <c r="AI35" i="4"/>
  <c r="AI15" i="4"/>
  <c r="AI4" i="4"/>
  <c r="AI13" i="4"/>
  <c r="AI71" i="4"/>
  <c r="AI58" i="4"/>
  <c r="AI12" i="4"/>
  <c r="AI21" i="4"/>
  <c r="AI23" i="4"/>
  <c r="AI72" i="4"/>
  <c r="AI76" i="4"/>
  <c r="AI54" i="4"/>
  <c r="AI33" i="4"/>
  <c r="AI59" i="4"/>
  <c r="AI9" i="4"/>
  <c r="AI34" i="4"/>
  <c r="AI80" i="4"/>
  <c r="AI24" i="4"/>
  <c r="AI92" i="4"/>
  <c r="AI28" i="4"/>
  <c r="AI3" i="4"/>
  <c r="AI31" i="4"/>
  <c r="AI39" i="4"/>
  <c r="AI38" i="4"/>
  <c r="AI45" i="4"/>
  <c r="AI87" i="4"/>
  <c r="AI8" i="4"/>
  <c r="AI14" i="4"/>
  <c r="AI88" i="4"/>
  <c r="AI48" i="4"/>
  <c r="AI73" i="4"/>
  <c r="AI43" i="4"/>
  <c r="AI25" i="4"/>
  <c r="AI93" i="4"/>
  <c r="AI56" i="4"/>
  <c r="AI69" i="4"/>
  <c r="AI22" i="4"/>
  <c r="AI11" i="4"/>
  <c r="AI51" i="4"/>
  <c r="AI57" i="4"/>
  <c r="AI78" i="4"/>
  <c r="AI30" i="4"/>
  <c r="AI85" i="4"/>
  <c r="AI50" i="4"/>
  <c r="AI5" i="4"/>
  <c r="AI53" i="4"/>
  <c r="AI17" i="4"/>
  <c r="AI90" i="4"/>
  <c r="AI18" i="4"/>
  <c r="AI36" i="4"/>
  <c r="AI46" i="4"/>
  <c r="AI41" i="4"/>
  <c r="AI81" i="4"/>
  <c r="AI26" i="4"/>
  <c r="AI32" i="4"/>
  <c r="AI79" i="4"/>
  <c r="AI84" i="4"/>
  <c r="AI49" i="4"/>
  <c r="AI86" i="4"/>
  <c r="AI6" i="4"/>
  <c r="AI40" i="4"/>
  <c r="AI96" i="4"/>
  <c r="AI97" i="4"/>
  <c r="AI44" i="4"/>
  <c r="AI95" i="4"/>
  <c r="AI62" i="4"/>
  <c r="AI52" i="4"/>
  <c r="AI91" i="4"/>
  <c r="AI65" i="4"/>
  <c r="AI100" i="4"/>
  <c r="AI77" i="4"/>
  <c r="AI63" i="4"/>
  <c r="AI83" i="4"/>
  <c r="AI55" i="4"/>
  <c r="AI82" i="4"/>
  <c r="AI64" i="4"/>
  <c r="AI94" i="4"/>
  <c r="AI61" i="4"/>
  <c r="AI29" i="4"/>
  <c r="AI98" i="4"/>
  <c r="AI101" i="4"/>
  <c r="AI75" i="4"/>
  <c r="AI68" i="4"/>
  <c r="AI70" i="4"/>
  <c r="AI66" i="4"/>
  <c r="AI89" i="4"/>
  <c r="AI74" i="4"/>
  <c r="AI99" i="4"/>
  <c r="AG20" i="4"/>
  <c r="AG10" i="4"/>
  <c r="AG27" i="4"/>
  <c r="AG42" i="4"/>
  <c r="AG7" i="4"/>
  <c r="AG16" i="4"/>
  <c r="AG67" i="4"/>
  <c r="AG19" i="4"/>
  <c r="AG60" i="4"/>
  <c r="AG47" i="4"/>
  <c r="AG37" i="4"/>
  <c r="AG2" i="4"/>
  <c r="AG35" i="4"/>
  <c r="AG15" i="4"/>
  <c r="AG4" i="4"/>
  <c r="AG13" i="4"/>
  <c r="AG71" i="4"/>
  <c r="AG58" i="4"/>
  <c r="AG12" i="4"/>
  <c r="AG21" i="4"/>
  <c r="AG23" i="4"/>
  <c r="AG72" i="4"/>
  <c r="AG76" i="4"/>
  <c r="AG54" i="4"/>
  <c r="AG33" i="4"/>
  <c r="AG59" i="4"/>
  <c r="AG9" i="4"/>
  <c r="AG34" i="4"/>
  <c r="AG80" i="4"/>
  <c r="AG24" i="4"/>
  <c r="AG92" i="4"/>
  <c r="AG28" i="4"/>
  <c r="AG3" i="4"/>
  <c r="AG31" i="4"/>
  <c r="AG39" i="4"/>
  <c r="AG38" i="4"/>
  <c r="AG45" i="4"/>
  <c r="AG87" i="4"/>
  <c r="AG8" i="4"/>
  <c r="AG14" i="4"/>
  <c r="AG88" i="4"/>
  <c r="AG48" i="4"/>
  <c r="AG73" i="4"/>
  <c r="AG43" i="4"/>
  <c r="AG25" i="4"/>
  <c r="AG93" i="4"/>
  <c r="AG56" i="4"/>
  <c r="AG69" i="4"/>
  <c r="AG22" i="4"/>
  <c r="AG11" i="4"/>
  <c r="AG51" i="4"/>
  <c r="AG57" i="4"/>
  <c r="AG78" i="4"/>
  <c r="AG30" i="4"/>
  <c r="AG85" i="4"/>
  <c r="AG50" i="4"/>
  <c r="AG5" i="4"/>
  <c r="AG53" i="4"/>
  <c r="AG17" i="4"/>
  <c r="AG90" i="4"/>
  <c r="AG18" i="4"/>
  <c r="AG36" i="4"/>
  <c r="AG46" i="4"/>
  <c r="AG41" i="4"/>
  <c r="AG81" i="4"/>
  <c r="AG26" i="4"/>
  <c r="AG32" i="4"/>
  <c r="AG79" i="4"/>
  <c r="AG84" i="4"/>
  <c r="AG49" i="4"/>
  <c r="AG86" i="4"/>
  <c r="AG6" i="4"/>
  <c r="AG40" i="4"/>
  <c r="AG96" i="4"/>
  <c r="AG97" i="4"/>
  <c r="AG44" i="4"/>
  <c r="AG95" i="4"/>
  <c r="AG62" i="4"/>
  <c r="AG52" i="4"/>
  <c r="AG91" i="4"/>
  <c r="AG65" i="4"/>
  <c r="AG100" i="4"/>
  <c r="AG77" i="4"/>
  <c r="AG63" i="4"/>
  <c r="AG83" i="4"/>
  <c r="AG55" i="4"/>
  <c r="AG82" i="4"/>
  <c r="AG64" i="4"/>
  <c r="AG94" i="4"/>
  <c r="AG61" i="4"/>
  <c r="AG29" i="4"/>
  <c r="AG98" i="4"/>
  <c r="AG101" i="4"/>
  <c r="AG75" i="4"/>
  <c r="AG68" i="4"/>
  <c r="AG70" i="4"/>
  <c r="AG66" i="4"/>
  <c r="AG89" i="4"/>
  <c r="AG74" i="4"/>
  <c r="AG99" i="4"/>
  <c r="AF70" i="4"/>
  <c r="AF20" i="4"/>
  <c r="AF10" i="4"/>
  <c r="AF27" i="4"/>
  <c r="AF42" i="4"/>
  <c r="AF7" i="4"/>
  <c r="AF16" i="4"/>
  <c r="AF67" i="4"/>
  <c r="AF19" i="4"/>
  <c r="AF60" i="4"/>
  <c r="AF47" i="4"/>
  <c r="AF37" i="4"/>
  <c r="AF2" i="4"/>
  <c r="AF35" i="4"/>
  <c r="AF15" i="4"/>
  <c r="AF4" i="4"/>
  <c r="AF13" i="4"/>
  <c r="AF71" i="4"/>
  <c r="AF58" i="4"/>
  <c r="AF12" i="4"/>
  <c r="AK12" i="4" s="1"/>
  <c r="AL12" i="4" s="1"/>
  <c r="AF21" i="4"/>
  <c r="AF23" i="4"/>
  <c r="AF72" i="4"/>
  <c r="AK72" i="4" s="1"/>
  <c r="AL72" i="4" s="1"/>
  <c r="AF76" i="4"/>
  <c r="AF54" i="4"/>
  <c r="AF33" i="4"/>
  <c r="AF59" i="4"/>
  <c r="AF9" i="4"/>
  <c r="AF34" i="4"/>
  <c r="AF80" i="4"/>
  <c r="AF24" i="4"/>
  <c r="AF92" i="4"/>
  <c r="AF28" i="4"/>
  <c r="AF3" i="4"/>
  <c r="AF31" i="4"/>
  <c r="AF39" i="4"/>
  <c r="AF38" i="4"/>
  <c r="AF45" i="4"/>
  <c r="AF87" i="4"/>
  <c r="AF8" i="4"/>
  <c r="AF14" i="4"/>
  <c r="AF88" i="4"/>
  <c r="AF48" i="4"/>
  <c r="AK48" i="4" s="1"/>
  <c r="AL48" i="4" s="1"/>
  <c r="AF73" i="4"/>
  <c r="AF43" i="4"/>
  <c r="AF25" i="4"/>
  <c r="AF93" i="4"/>
  <c r="AF56" i="4"/>
  <c r="AK56" i="4" s="1"/>
  <c r="AL56" i="4" s="1"/>
  <c r="AF69" i="4"/>
  <c r="AF22" i="4"/>
  <c r="AF11" i="4"/>
  <c r="AF51" i="4"/>
  <c r="AF57" i="4"/>
  <c r="AF78" i="4"/>
  <c r="AF30" i="4"/>
  <c r="AF85" i="4"/>
  <c r="AK85" i="4" s="1"/>
  <c r="AL85" i="4" s="1"/>
  <c r="AF50" i="4"/>
  <c r="AF5" i="4"/>
  <c r="AF53" i="4"/>
  <c r="AF17" i="4"/>
  <c r="AK17" i="4" s="1"/>
  <c r="AL17" i="4" s="1"/>
  <c r="AF90" i="4"/>
  <c r="AF18" i="4"/>
  <c r="AF36" i="4"/>
  <c r="AF46" i="4"/>
  <c r="AF41" i="4"/>
  <c r="AF81" i="4"/>
  <c r="AF26" i="4"/>
  <c r="AF32" i="4"/>
  <c r="AK32" i="4" s="1"/>
  <c r="AL32" i="4" s="1"/>
  <c r="AF79" i="4"/>
  <c r="AF84" i="4"/>
  <c r="AF49" i="4"/>
  <c r="AF86" i="4"/>
  <c r="AF6" i="4"/>
  <c r="AF40" i="4"/>
  <c r="AF96" i="4"/>
  <c r="AF97" i="4"/>
  <c r="AF44" i="4"/>
  <c r="AF95" i="4"/>
  <c r="AF62" i="4"/>
  <c r="AF52" i="4"/>
  <c r="AK52" i="4" s="1"/>
  <c r="AL52" i="4" s="1"/>
  <c r="AF91" i="4"/>
  <c r="AF65" i="4"/>
  <c r="AF100" i="4"/>
  <c r="AK100" i="4" s="1"/>
  <c r="AL100" i="4" s="1"/>
  <c r="AF77" i="4"/>
  <c r="AF63" i="4"/>
  <c r="AF83" i="4"/>
  <c r="AF55" i="4"/>
  <c r="AF82" i="4"/>
  <c r="AF64" i="4"/>
  <c r="AF94" i="4"/>
  <c r="AF61" i="4"/>
  <c r="AF29" i="4"/>
  <c r="AF98" i="4"/>
  <c r="AF101" i="4"/>
  <c r="AF75" i="4"/>
  <c r="AF68" i="4"/>
  <c r="AK68" i="4" s="1"/>
  <c r="AL68" i="4" s="1"/>
  <c r="AF66" i="4"/>
  <c r="AF89" i="4"/>
  <c r="AF74" i="4"/>
  <c r="AF99" i="4"/>
  <c r="AK14" i="2" l="1"/>
  <c r="AL14" i="2" s="1"/>
  <c r="AK29" i="2"/>
  <c r="AL29" i="2" s="1"/>
  <c r="AK12" i="2"/>
  <c r="AL12" i="2" s="1"/>
  <c r="AK47" i="2"/>
  <c r="AL47" i="2" s="1"/>
  <c r="AK67" i="4"/>
  <c r="AL67" i="4" s="1"/>
  <c r="AK61" i="4"/>
  <c r="AL61" i="4" s="1"/>
  <c r="AK49" i="4"/>
  <c r="AL49" i="4" s="1"/>
  <c r="AK24" i="4"/>
  <c r="AL24" i="4" s="1"/>
  <c r="AK47" i="4"/>
  <c r="AL47" i="4" s="1"/>
  <c r="AK66" i="4"/>
  <c r="AL66" i="4" s="1"/>
  <c r="AK101" i="4"/>
  <c r="AL101" i="4" s="1"/>
  <c r="AK3" i="4"/>
  <c r="AL3" i="4" s="1"/>
  <c r="AK39" i="4"/>
  <c r="AL39" i="4" s="1"/>
  <c r="AK75" i="4"/>
  <c r="AL75" i="4" s="1"/>
  <c r="AK30" i="4"/>
  <c r="AL30" i="4" s="1"/>
  <c r="AK31" i="4"/>
  <c r="AL31" i="4" s="1"/>
  <c r="AK84" i="4"/>
  <c r="AL84" i="4" s="1"/>
  <c r="AK60" i="4"/>
  <c r="AL60" i="4" s="1"/>
  <c r="AK26" i="4"/>
  <c r="AL26" i="4" s="1"/>
  <c r="AK93" i="4"/>
  <c r="AL93" i="4" s="1"/>
  <c r="AK16" i="4"/>
  <c r="AL16" i="4" s="1"/>
  <c r="AK29" i="4"/>
  <c r="AL29" i="4" s="1"/>
  <c r="AK86" i="4"/>
  <c r="AL86" i="4" s="1"/>
  <c r="AK92" i="4"/>
  <c r="AL92" i="4" s="1"/>
  <c r="AK37" i="4"/>
  <c r="AL37" i="4" s="1"/>
  <c r="AK62" i="4"/>
  <c r="AL62" i="4" s="1"/>
  <c r="AK53" i="4"/>
  <c r="AL53" i="4" s="1"/>
  <c r="AK58" i="4"/>
  <c r="AL58" i="4" s="1"/>
  <c r="AK5" i="4"/>
  <c r="AL5" i="4" s="1"/>
  <c r="AK25" i="4"/>
  <c r="AL25" i="4" s="1"/>
  <c r="AK77" i="4"/>
  <c r="AL77" i="4" s="1"/>
  <c r="AK73" i="4"/>
  <c r="AL73" i="4" s="1"/>
  <c r="AK76" i="4"/>
  <c r="AL76" i="4" s="1"/>
  <c r="AK65" i="4"/>
  <c r="AL65" i="4" s="1"/>
  <c r="AK23" i="4"/>
  <c r="AL23" i="4" s="1"/>
  <c r="AK88" i="2"/>
  <c r="AL88" i="2" s="1"/>
  <c r="AK61" i="2"/>
  <c r="AL61" i="2" s="1"/>
  <c r="AK81" i="2"/>
  <c r="AL81" i="2" s="1"/>
  <c r="AK54" i="2"/>
  <c r="AL54" i="2" s="1"/>
  <c r="AK71" i="2"/>
  <c r="AL71" i="2" s="1"/>
  <c r="AK25" i="2"/>
  <c r="AL25" i="2" s="1"/>
  <c r="AK44" i="2"/>
  <c r="AL44" i="2" s="1"/>
  <c r="AK11" i="2"/>
  <c r="AL11" i="2" s="1"/>
  <c r="AK85" i="2"/>
  <c r="AL85" i="2" s="1"/>
  <c r="AK58" i="2"/>
  <c r="AL58" i="2" s="1"/>
  <c r="AK93" i="2"/>
  <c r="AL93" i="2" s="1"/>
  <c r="AK52" i="2"/>
  <c r="AL52" i="2" s="1"/>
  <c r="AK53" i="2"/>
  <c r="AL53" i="2" s="1"/>
  <c r="AK23" i="2"/>
  <c r="AL23" i="2" s="1"/>
  <c r="AK27" i="2"/>
  <c r="AL27" i="2" s="1"/>
  <c r="AK30" i="2"/>
  <c r="AL30" i="2" s="1"/>
  <c r="AK16" i="2"/>
  <c r="AL16" i="2" s="1"/>
  <c r="AK80" i="2"/>
  <c r="AL80" i="2" s="1"/>
  <c r="AK34" i="2"/>
  <c r="AL34" i="2" s="1"/>
  <c r="AK43" i="2"/>
  <c r="AL43" i="2" s="1"/>
  <c r="AK92" i="2"/>
  <c r="AL92" i="2" s="1"/>
  <c r="AK66" i="2"/>
  <c r="AL66" i="2" s="1"/>
  <c r="AK15" i="2"/>
  <c r="AL15" i="2" s="1"/>
  <c r="AK9" i="2"/>
  <c r="AL9" i="2" s="1"/>
  <c r="AK93" i="3"/>
  <c r="AL93" i="3" s="1"/>
  <c r="AK78" i="3"/>
  <c r="AL78" i="3" s="1"/>
  <c r="AK63" i="3"/>
  <c r="AL63" i="3" s="1"/>
  <c r="AK52" i="3"/>
  <c r="AL52" i="3" s="1"/>
  <c r="AK40" i="3"/>
  <c r="AL40" i="3" s="1"/>
  <c r="AK20" i="3"/>
  <c r="AL20" i="3" s="1"/>
  <c r="AK21" i="3"/>
  <c r="AL21" i="3" s="1"/>
  <c r="AK5" i="3"/>
  <c r="AL5" i="3" s="1"/>
  <c r="AK91" i="3"/>
  <c r="AL91" i="3" s="1"/>
  <c r="AK80" i="3"/>
  <c r="AL80" i="3" s="1"/>
  <c r="AK38" i="3"/>
  <c r="AL38" i="3" s="1"/>
  <c r="AK29" i="3"/>
  <c r="AL29" i="3" s="1"/>
  <c r="AK14" i="3"/>
  <c r="AL14" i="3" s="1"/>
  <c r="AK90" i="3"/>
  <c r="AL90" i="3" s="1"/>
  <c r="AK85" i="3"/>
  <c r="AL85" i="3" s="1"/>
  <c r="AK75" i="3"/>
  <c r="AL75" i="3" s="1"/>
  <c r="AK60" i="3"/>
  <c r="AL60" i="3" s="1"/>
  <c r="AK45" i="3"/>
  <c r="AL45" i="3" s="1"/>
  <c r="AK48" i="3"/>
  <c r="AL48" i="3" s="1"/>
  <c r="AK28" i="3"/>
  <c r="AL28" i="3" s="1"/>
  <c r="AK8" i="3"/>
  <c r="AL8" i="3" s="1"/>
  <c r="AK53" i="3"/>
  <c r="AL53" i="3" s="1"/>
  <c r="AK55" i="3"/>
  <c r="AL55" i="3" s="1"/>
  <c r="AK64" i="3"/>
  <c r="AL64" i="3" s="1"/>
  <c r="AK94" i="3"/>
  <c r="AL94" i="3" s="1"/>
  <c r="AK79" i="3"/>
  <c r="AL79" i="3" s="1"/>
  <c r="AK71" i="3"/>
  <c r="AL71" i="3" s="1"/>
  <c r="AK47" i="3"/>
  <c r="AL47" i="3" s="1"/>
  <c r="AK44" i="3"/>
  <c r="AL44" i="3" s="1"/>
  <c r="AK17" i="3"/>
  <c r="AL17" i="3" s="1"/>
  <c r="AK15" i="3"/>
  <c r="AL15" i="3" s="1"/>
  <c r="AK16" i="3"/>
  <c r="AL16" i="3" s="1"/>
  <c r="AK96" i="3"/>
  <c r="AL96" i="3" s="1"/>
  <c r="AK84" i="3"/>
  <c r="AL84" i="3" s="1"/>
  <c r="AK4" i="3"/>
  <c r="AL4" i="3" s="1"/>
  <c r="AK54" i="3"/>
  <c r="AL54" i="3" s="1"/>
  <c r="AK33" i="3"/>
  <c r="AL33" i="3" s="1"/>
  <c r="AK9" i="3"/>
  <c r="AL9" i="3" s="1"/>
  <c r="AK101" i="3"/>
  <c r="AL101" i="3" s="1"/>
  <c r="AK83" i="3"/>
  <c r="AL83" i="3" s="1"/>
  <c r="AK77" i="3"/>
  <c r="AL77" i="3" s="1"/>
  <c r="AK42" i="3"/>
  <c r="AL42" i="3" s="1"/>
  <c r="AK56" i="3"/>
  <c r="AL56" i="3" s="1"/>
  <c r="AK25" i="3"/>
  <c r="AL25" i="3" s="1"/>
  <c r="AK35" i="3"/>
  <c r="AL35" i="3" s="1"/>
  <c r="AK19" i="3"/>
  <c r="AL19" i="3" s="1"/>
  <c r="AK2" i="3"/>
  <c r="AL2" i="3" s="1"/>
  <c r="AK95" i="3"/>
  <c r="AL95" i="3" s="1"/>
  <c r="AK87" i="3"/>
  <c r="AL87" i="3" s="1"/>
  <c r="AK72" i="3"/>
  <c r="AL72" i="3" s="1"/>
  <c r="AK59" i="3"/>
  <c r="AL59" i="3" s="1"/>
  <c r="AK58" i="3"/>
  <c r="AL58" i="3" s="1"/>
  <c r="AK37" i="3"/>
  <c r="AL37" i="3" s="1"/>
  <c r="AK32" i="3"/>
  <c r="AL32" i="3" s="1"/>
  <c r="AK12" i="3"/>
  <c r="AL12" i="3" s="1"/>
  <c r="AK11" i="3"/>
  <c r="AL11" i="3" s="1"/>
  <c r="AK94" i="4"/>
  <c r="AL94" i="4" s="1"/>
  <c r="AK95" i="4"/>
  <c r="AL95" i="4" s="1"/>
  <c r="AK74" i="4"/>
  <c r="AL74" i="4" s="1"/>
  <c r="AK83" i="4"/>
  <c r="AL83" i="4" s="1"/>
  <c r="AK40" i="4"/>
  <c r="AL40" i="4" s="1"/>
  <c r="AK18" i="4"/>
  <c r="AL18" i="4" s="1"/>
  <c r="AK22" i="4"/>
  <c r="AL22" i="4" s="1"/>
  <c r="AK45" i="4"/>
  <c r="AL45" i="4" s="1"/>
  <c r="AK33" i="4"/>
  <c r="AL33" i="4" s="1"/>
  <c r="AK35" i="4"/>
  <c r="AL35" i="4" s="1"/>
  <c r="AK82" i="4"/>
  <c r="AL82" i="4" s="1"/>
  <c r="AK97" i="4"/>
  <c r="AL97" i="4" s="1"/>
  <c r="AK46" i="4"/>
  <c r="AL46" i="4" s="1"/>
  <c r="AK51" i="4"/>
  <c r="AL51" i="4" s="1"/>
  <c r="AK8" i="4"/>
  <c r="AL8" i="4" s="1"/>
  <c r="AK9" i="4"/>
  <c r="AL9" i="4" s="1"/>
  <c r="AK4" i="4"/>
  <c r="AL4" i="4" s="1"/>
  <c r="AK27" i="4"/>
  <c r="AL27" i="4" s="1"/>
  <c r="AK63" i="2"/>
  <c r="AL63" i="2" s="1"/>
  <c r="AK22" i="2"/>
  <c r="AL22" i="2" s="1"/>
  <c r="AK42" i="2"/>
  <c r="AL42" i="2" s="1"/>
  <c r="AK41" i="2"/>
  <c r="AL41" i="2" s="1"/>
  <c r="AK96" i="2"/>
  <c r="AL96" i="2" s="1"/>
  <c r="AK17" i="2"/>
  <c r="AL17" i="2" s="1"/>
  <c r="AK35" i="2"/>
  <c r="AL35" i="2" s="1"/>
  <c r="AK7" i="2"/>
  <c r="AL7" i="2" s="1"/>
  <c r="AK95" i="2"/>
  <c r="AL95" i="2" s="1"/>
  <c r="AK99" i="2"/>
  <c r="AL99" i="2" s="1"/>
  <c r="AK24" i="2"/>
  <c r="AL24" i="2" s="1"/>
  <c r="AK72" i="2"/>
  <c r="AL72" i="2" s="1"/>
  <c r="AK67" i="2"/>
  <c r="AL67" i="2" s="1"/>
  <c r="AK74" i="2"/>
  <c r="AL74" i="2" s="1"/>
  <c r="AK31" i="2"/>
  <c r="AL31" i="2" s="1"/>
  <c r="AK10" i="2"/>
  <c r="AL10" i="2" s="1"/>
  <c r="AK2" i="2"/>
  <c r="AL2" i="2" s="1"/>
  <c r="AK101" i="2"/>
  <c r="AL101" i="2" s="1"/>
  <c r="AK26" i="2"/>
  <c r="AL26" i="2" s="1"/>
  <c r="AK98" i="2"/>
  <c r="AL98" i="2" s="1"/>
  <c r="AK37" i="2"/>
  <c r="AL37" i="2" s="1"/>
  <c r="AK56" i="2"/>
  <c r="AL56" i="2" s="1"/>
  <c r="AK19" i="2"/>
  <c r="AL19" i="2" s="1"/>
  <c r="AK40" i="2"/>
  <c r="AL40" i="2" s="1"/>
  <c r="AK46" i="2"/>
  <c r="AL46" i="2" s="1"/>
  <c r="AK77" i="2"/>
  <c r="AL77" i="2" s="1"/>
  <c r="AK89" i="2"/>
  <c r="AL89" i="2" s="1"/>
  <c r="AK55" i="2"/>
  <c r="AL55" i="2" s="1"/>
  <c r="AK39" i="2"/>
  <c r="AL39" i="2" s="1"/>
  <c r="AK82" i="2"/>
  <c r="AL82" i="2" s="1"/>
  <c r="AK38" i="2"/>
  <c r="AL38" i="2" s="1"/>
  <c r="AK68" i="2"/>
  <c r="AL68" i="2" s="1"/>
  <c r="AK20" i="2"/>
  <c r="AL20" i="2" s="1"/>
  <c r="AK13" i="2"/>
  <c r="AL13" i="2" s="1"/>
  <c r="AK21" i="2"/>
  <c r="AL21" i="2" s="1"/>
  <c r="AK8" i="2"/>
  <c r="AL8" i="2" s="1"/>
  <c r="AK49" i="2"/>
  <c r="AL49" i="2" s="1"/>
  <c r="AK3" i="2"/>
  <c r="AL3" i="2" s="1"/>
  <c r="AK99" i="3"/>
  <c r="AL99" i="3" s="1"/>
  <c r="AK81" i="3"/>
  <c r="AL81" i="3" s="1"/>
  <c r="AK70" i="3"/>
  <c r="AL70" i="3" s="1"/>
  <c r="AK50" i="3"/>
  <c r="AL50" i="3" s="1"/>
  <c r="AK43" i="3"/>
  <c r="AL43" i="3" s="1"/>
  <c r="AK30" i="3"/>
  <c r="AL30" i="3" s="1"/>
  <c r="AK18" i="3"/>
  <c r="AL18" i="3" s="1"/>
  <c r="AK3" i="3"/>
  <c r="AL3" i="3" s="1"/>
  <c r="AK98" i="3"/>
  <c r="AL98" i="3" s="1"/>
  <c r="AK82" i="3"/>
  <c r="AL82" i="3" s="1"/>
  <c r="AK73" i="3"/>
  <c r="AL73" i="3" s="1"/>
  <c r="AK65" i="3"/>
  <c r="AL65" i="3" s="1"/>
  <c r="AK41" i="3"/>
  <c r="AL41" i="3" s="1"/>
  <c r="AK22" i="3"/>
  <c r="AL22" i="3" s="1"/>
  <c r="AK31" i="3"/>
  <c r="AL31" i="3" s="1"/>
  <c r="AK13" i="3"/>
  <c r="AL13" i="3" s="1"/>
  <c r="AK68" i="3"/>
  <c r="AL68" i="3" s="1"/>
  <c r="AK46" i="3"/>
  <c r="AL46" i="3" s="1"/>
  <c r="AK49" i="3"/>
  <c r="AL49" i="3" s="1"/>
  <c r="AK36" i="3"/>
  <c r="AL36" i="3" s="1"/>
  <c r="AK27" i="3"/>
  <c r="AL27" i="3" s="1"/>
  <c r="AK10" i="3"/>
  <c r="AL10" i="3" s="1"/>
  <c r="AK100" i="3"/>
  <c r="AL100" i="3" s="1"/>
  <c r="AK92" i="3"/>
  <c r="AL92" i="3" s="1"/>
  <c r="AK76" i="3"/>
  <c r="AL76" i="3" s="1"/>
  <c r="AK74" i="3"/>
  <c r="AL74" i="3" s="1"/>
  <c r="AK57" i="3"/>
  <c r="AL57" i="3" s="1"/>
  <c r="AK39" i="3"/>
  <c r="AL39" i="3" s="1"/>
  <c r="AK34" i="3"/>
  <c r="AL34" i="3" s="1"/>
  <c r="AK6" i="3"/>
  <c r="AL6" i="3" s="1"/>
  <c r="AK7" i="3"/>
  <c r="AL7" i="3" s="1"/>
  <c r="AK89" i="4"/>
  <c r="AL89" i="4" s="1"/>
  <c r="AK55" i="4"/>
  <c r="AL55" i="4" s="1"/>
  <c r="AK96" i="4"/>
  <c r="AL96" i="4" s="1"/>
  <c r="AK36" i="4"/>
  <c r="AL36" i="4" s="1"/>
  <c r="AK11" i="4"/>
  <c r="AL11" i="4" s="1"/>
  <c r="AK87" i="4"/>
  <c r="AL87" i="4" s="1"/>
  <c r="AK59" i="4"/>
  <c r="AL59" i="4" s="1"/>
  <c r="AK15" i="4"/>
  <c r="AL15" i="4" s="1"/>
  <c r="AK10" i="4"/>
  <c r="AL10" i="4" s="1"/>
  <c r="AK50" i="4"/>
  <c r="AL50" i="4" s="1"/>
  <c r="AK43" i="4"/>
  <c r="AL43" i="4" s="1"/>
  <c r="AK28" i="4"/>
  <c r="AL28" i="4" s="1"/>
  <c r="AK21" i="4"/>
  <c r="AL21" i="4" s="1"/>
  <c r="AK19" i="4"/>
  <c r="AL19" i="4" s="1"/>
  <c r="AK79" i="4"/>
  <c r="AL79" i="4" s="1"/>
  <c r="AK98" i="4"/>
  <c r="AL98" i="4" s="1"/>
  <c r="AK91" i="4"/>
  <c r="AL91" i="4" s="1"/>
  <c r="AK64" i="4"/>
  <c r="AL64" i="4" s="1"/>
  <c r="AK41" i="4"/>
  <c r="AL41" i="4" s="1"/>
  <c r="AK57" i="4"/>
  <c r="AL57" i="4" s="1"/>
  <c r="AK14" i="4"/>
  <c r="AL14" i="4" s="1"/>
  <c r="AK34" i="4"/>
  <c r="AL34" i="4" s="1"/>
  <c r="AK13" i="4"/>
  <c r="AL13" i="4" s="1"/>
  <c r="AK42" i="4"/>
  <c r="AL42" i="4" s="1"/>
  <c r="AK44" i="4"/>
  <c r="AL44" i="4" s="1"/>
  <c r="AK99" i="4"/>
  <c r="AL99" i="4" s="1"/>
  <c r="AK20" i="4"/>
  <c r="AL20" i="4" s="1"/>
  <c r="AK63" i="4"/>
  <c r="AL63" i="4" s="1"/>
  <c r="AK6" i="4"/>
  <c r="AL6" i="4" s="1"/>
  <c r="AK90" i="4"/>
  <c r="AL90" i="4" s="1"/>
  <c r="AK69" i="4"/>
  <c r="AL69" i="4" s="1"/>
  <c r="AK38" i="4"/>
  <c r="AL38" i="4" s="1"/>
  <c r="AK54" i="4"/>
  <c r="AL54" i="4" s="1"/>
  <c r="AK2" i="4"/>
  <c r="AL2" i="4" s="1"/>
  <c r="AK70" i="4"/>
  <c r="AL70" i="4" s="1"/>
  <c r="AK81" i="4"/>
  <c r="AL81" i="4" s="1"/>
  <c r="AK78" i="4"/>
  <c r="AL78" i="4" s="1"/>
  <c r="AK88" i="4"/>
  <c r="AL88" i="4" s="1"/>
  <c r="AK80" i="4"/>
  <c r="AL80" i="4" s="1"/>
  <c r="AK71" i="4"/>
  <c r="AL71" i="4" s="1"/>
  <c r="AK7" i="4"/>
  <c r="AL7" i="4" s="1"/>
</calcChain>
</file>

<file path=xl/sharedStrings.xml><?xml version="1.0" encoding="utf-8"?>
<sst xmlns="http://schemas.openxmlformats.org/spreadsheetml/2006/main" count="190" uniqueCount="79">
  <si>
    <t>CURSO-TENDENCIA-INTRADIA: Fast_Avg</t>
  </si>
  <si>
    <t>CURSO-TENDENCIA-INTRADIA: media</t>
  </si>
  <si>
    <t>Test</t>
  </si>
  <si>
    <t>All: Net Profit</t>
  </si>
  <si>
    <t>All: Gross Profit</t>
  </si>
  <si>
    <t>All: Gross Loss</t>
  </si>
  <si>
    <t>All: Total Trades</t>
  </si>
  <si>
    <t>All: % Profitable</t>
  </si>
  <si>
    <t>All: Winning Trades</t>
  </si>
  <si>
    <t>All: Losing Trades</t>
  </si>
  <si>
    <t>All: Max Winning Trade</t>
  </si>
  <si>
    <t>All: Max Losing Trade</t>
  </si>
  <si>
    <t>All: Avg Winning Trade</t>
  </si>
  <si>
    <t>All: Avg Losing Trade</t>
  </si>
  <si>
    <t>All: Win/Loss Ratio</t>
  </si>
  <si>
    <t>All: Avg Trade</t>
  </si>
  <si>
    <t>All: Max Consecutive Winners</t>
  </si>
  <si>
    <t>All: Max Consecutive Losers</t>
  </si>
  <si>
    <t>All: Avg Bars in Winner</t>
  </si>
  <si>
    <t>All: Avg Bars in Loser</t>
  </si>
  <si>
    <t>All: Max Intraday Drawdown</t>
  </si>
  <si>
    <t>All: ProfitFactor</t>
  </si>
  <si>
    <t>All: Max Contracts Held</t>
  </si>
  <si>
    <t>All: Required Account Size</t>
  </si>
  <si>
    <t>All: Return on Account</t>
  </si>
  <si>
    <t>All: TS Index</t>
  </si>
  <si>
    <t>All: Expectancy Score</t>
  </si>
  <si>
    <t>All: Pessimistic Return On Capital</t>
  </si>
  <si>
    <t>All: Perfect Profit Correlation</t>
  </si>
  <si>
    <t>All: Robustness Index</t>
  </si>
  <si>
    <t>MEJORES</t>
  </si>
  <si>
    <t>VAR TS Index</t>
  </si>
  <si>
    <t>VAR Expectancy Score</t>
  </si>
  <si>
    <t>Columna1</t>
  </si>
  <si>
    <t>VAR Perfect Profit Correlation</t>
  </si>
  <si>
    <t>VAR Robustness Index</t>
  </si>
  <si>
    <t>SUMA</t>
  </si>
  <si>
    <t>SUMA SIN ROB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</si>
  <si>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</si>
  <si>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</si>
  <si>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</si>
  <si>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</si>
  <si>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</si>
  <si>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</si>
  <si>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</si>
  <si>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</si>
  <si>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</si>
  <si>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</si>
  <si>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</si>
  <si>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Nivel de confianza(95.0%)</t>
  </si>
  <si>
    <t xml:space="preserve"> 02º/ </t>
  </si>
  <si>
    <t xml:space="preserve"> 04º/ 05º</t>
  </si>
  <si>
    <t xml:space="preserve"> 05º/ 06º</t>
  </si>
  <si>
    <t xml:space="preserve"> 07º/ </t>
  </si>
  <si>
    <t xml:space="preserve"> 08º/ </t>
  </si>
  <si>
    <t xml:space="preserve"> 10º/ </t>
  </si>
  <si>
    <t xml:space="preserve"> 04º/ </t>
  </si>
  <si>
    <t xml:space="preserve"> 05º/ </t>
  </si>
  <si>
    <t xml:space="preserve"> 09º/ </t>
  </si>
  <si>
    <t xml:space="preserve"> 01º/ 01º</t>
  </si>
  <si>
    <t xml:space="preserve"> 10º/ 02º</t>
  </si>
  <si>
    <t xml:space="preserve"> 06º/ 03º</t>
  </si>
  <si>
    <t xml:space="preserve"> / 04º</t>
  </si>
  <si>
    <t xml:space="preserve"> 09º/ 05º</t>
  </si>
  <si>
    <t xml:space="preserve"> 03º/ 06º</t>
  </si>
  <si>
    <t xml:space="preserve"> / 07º</t>
  </si>
  <si>
    <t xml:space="preserve"> / 08º</t>
  </si>
  <si>
    <t xml:space="preserve"> / 09º</t>
  </si>
  <si>
    <t xml:space="preserve"> / 10º</t>
  </si>
  <si>
    <t xml:space="preserve"> 03º/ 02º</t>
  </si>
  <si>
    <t xml:space="preserve"> 02º/ 03</t>
  </si>
  <si>
    <t xml:space="preserve"> 06º/ 04º</t>
  </si>
  <si>
    <t xml:space="preserve"> 10º/ 09º</t>
  </si>
  <si>
    <t xml:space="preserve"> 07º/ 10º</t>
  </si>
  <si>
    <t xml:space="preserve"> 02º/ 02º</t>
  </si>
  <si>
    <t xml:space="preserve"> 03º/ 03º</t>
  </si>
  <si>
    <t xml:space="preserve"> 05º/ 04º</t>
  </si>
  <si>
    <t xml:space="preserve"> 07º/ 06º</t>
  </si>
  <si>
    <t xml:space="preserve"> 06º/ 09º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</si>
</sst>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_-* #,##0.00_€_-;\-* #,##0.00_€_-;_-* &quot;-&quot;??_€_-;_-@_-"/>
    <numFmt numFmtId="165" formatCode="_-* #,##0.00&quot;€&quot;_-;\-* #,##0.00&quot;€&quot;_-;_-* &quot;-&quot;??&quot;€&quot;_-;_-@_-"/>
    <numFmt numFmtId="166" formatCode="#,##0.00_ ;[Red]\-#,##0.00\ "/>
    <numFmt numFmtId="167" formatCode="&quot;$&quot;#,##0.0_);[Red]\(&quot;$&quot;#,##0.0\)"/>
    <numFmt numFmtId="168" formatCode="[$$-409]#,##0.00_);[Red]\([$$-409]#,##0.00\)"/>
    <numFmt numFmtId="169" formatCode="#,##0.0_);[Red]\(#,##0.0\)"/>
  </numFmts>
  <fonts count="7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  <font>
      <sz val="11"/>
      <name val="Myriad Pro"/>
      <family val="2"/>
    </font>
    <font>
      <b/>
      <sz val="11"/>
      <color theme="1"/>
      <name val="Myriad Pro"/>
      <family val="2"/>
      <scheme val="minor"/>
    </font>
    <font>
      <sz val="11"/>
      <name val="Myriad Pro"/>
      <family val="2"/>
      <scheme val="minor"/>
    </font>
    <font>
      <b/>
      <sz val="11"/>
      <name val="Myriad Pro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1" applyNumberFormat="1" applyFont="1" applyFill="1" applyAlignment="1">
      <alignment horizontal="center" vertical="center" wrapText="1"/>
    </xf>
    <xf numFmtId="0" fontId="2" fillId="0" borderId="0" xfId="2" applyNumberFormat="1" applyFont="1" applyFill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 wrapText="1"/>
    </xf>
    <xf numFmtId="6" fontId="2" fillId="0" borderId="0" xfId="2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7" fontId="2" fillId="0" borderId="0" xfId="2" applyNumberFormat="1" applyFont="1" applyFill="1" applyBorder="1" applyAlignment="1">
      <alignment horizontal="center" vertical="center"/>
    </xf>
    <xf numFmtId="168" fontId="2" fillId="0" borderId="0" xfId="2" applyNumberFormat="1" applyFont="1" applyFill="1" applyBorder="1" applyAlignment="1">
      <alignment horizontal="center" vertical="center"/>
    </xf>
    <xf numFmtId="38" fontId="2" fillId="0" borderId="0" xfId="1" applyNumberFormat="1" applyFont="1" applyFill="1" applyBorder="1" applyAlignment="1">
      <alignment horizontal="center" vertical="center"/>
    </xf>
    <xf numFmtId="38" fontId="2" fillId="0" borderId="0" xfId="2" applyNumberFormat="1" applyFont="1" applyFill="1" applyBorder="1" applyAlignment="1">
      <alignment horizontal="center" vertical="center"/>
    </xf>
    <xf numFmtId="6" fontId="2" fillId="0" borderId="0" xfId="2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vertical="center"/>
    </xf>
    <xf numFmtId="168" fontId="2" fillId="0" borderId="0" xfId="2" applyNumberFormat="1" applyFont="1" applyFill="1" applyAlignment="1">
      <alignment horizontal="center" vertical="center"/>
    </xf>
    <xf numFmtId="38" fontId="2" fillId="0" borderId="0" xfId="1" applyNumberFormat="1" applyFont="1" applyFill="1" applyAlignment="1">
      <alignment horizontal="center" vertical="center"/>
    </xf>
    <xf numFmtId="38" fontId="2" fillId="0" borderId="0" xfId="2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 wrapText="1"/>
    </xf>
    <xf numFmtId="0" fontId="2" fillId="3" borderId="0" xfId="1" applyNumberFormat="1" applyFont="1" applyFill="1" applyAlignment="1">
      <alignment horizontal="center" vertical="center" wrapText="1"/>
    </xf>
    <xf numFmtId="0" fontId="3" fillId="0" borderId="0" xfId="2" applyNumberFormat="1" applyFont="1" applyAlignment="1">
      <alignment horizontal="center" vertical="center" wrapText="1"/>
    </xf>
    <xf numFmtId="0" fontId="3" fillId="4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6" fontId="2" fillId="4" borderId="0" xfId="2" applyNumberFormat="1" applyFont="1" applyFill="1" applyBorder="1" applyAlignment="1">
      <alignment horizontal="center" vertical="center"/>
    </xf>
    <xf numFmtId="166" fontId="2" fillId="4" borderId="0" xfId="1" applyNumberFormat="1" applyFont="1" applyFill="1" applyBorder="1" applyAlignment="1">
      <alignment horizontal="center" vertical="center"/>
    </xf>
    <xf numFmtId="167" fontId="2" fillId="4" borderId="0" xfId="2" applyNumberFormat="1" applyFont="1" applyFill="1" applyBorder="1" applyAlignment="1">
      <alignment horizontal="center" vertical="center"/>
    </xf>
    <xf numFmtId="168" fontId="2" fillId="4" borderId="0" xfId="2" applyNumberFormat="1" applyFont="1" applyFill="1" applyBorder="1" applyAlignment="1">
      <alignment horizontal="center" vertical="center"/>
    </xf>
    <xf numFmtId="38" fontId="2" fillId="4" borderId="0" xfId="1" applyNumberFormat="1" applyFont="1" applyFill="1" applyBorder="1" applyAlignment="1">
      <alignment horizontal="center" vertical="center"/>
    </xf>
    <xf numFmtId="38" fontId="2" fillId="4" borderId="0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6" fontId="2" fillId="2" borderId="0" xfId="2" applyNumberFormat="1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167" fontId="2" fillId="2" borderId="0" xfId="2" applyNumberFormat="1" applyFont="1" applyFill="1" applyAlignment="1">
      <alignment horizontal="center" vertical="center"/>
    </xf>
    <xf numFmtId="168" fontId="2" fillId="2" borderId="0" xfId="2" applyNumberFormat="1" applyFont="1" applyFill="1" applyAlignment="1">
      <alignment horizontal="center" vertical="center"/>
    </xf>
    <xf numFmtId="38" fontId="2" fillId="2" borderId="0" xfId="1" applyNumberFormat="1" applyFont="1" applyFill="1" applyAlignment="1">
      <alignment horizontal="center" vertical="center"/>
    </xf>
    <xf numFmtId="38" fontId="2" fillId="2" borderId="0" xfId="2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6" fontId="2" fillId="3" borderId="0" xfId="2" applyNumberFormat="1" applyFont="1" applyFill="1" applyAlignment="1">
      <alignment horizontal="center" vertical="center"/>
    </xf>
    <xf numFmtId="166" fontId="2" fillId="3" borderId="0" xfId="1" applyNumberFormat="1" applyFont="1" applyFill="1" applyAlignment="1">
      <alignment horizontal="center" vertical="center"/>
    </xf>
    <xf numFmtId="167" fontId="2" fillId="3" borderId="0" xfId="2" applyNumberFormat="1" applyFont="1" applyFill="1" applyAlignment="1">
      <alignment horizontal="center" vertical="center"/>
    </xf>
    <xf numFmtId="168" fontId="2" fillId="3" borderId="0" xfId="2" applyNumberFormat="1" applyFont="1" applyFill="1" applyAlignment="1">
      <alignment horizontal="center" vertical="center"/>
    </xf>
    <xf numFmtId="38" fontId="2" fillId="3" borderId="0" xfId="1" applyNumberFormat="1" applyFont="1" applyFill="1" applyAlignment="1">
      <alignment horizontal="center" vertical="center"/>
    </xf>
    <xf numFmtId="38" fontId="2" fillId="3" borderId="0" xfId="2" applyNumberFormat="1" applyFont="1" applyFill="1" applyAlignment="1">
      <alignment horizontal="center" vertical="center"/>
    </xf>
    <xf numFmtId="6" fontId="2" fillId="2" borderId="0" xfId="2" applyNumberFormat="1" applyFont="1" applyFill="1" applyBorder="1" applyAlignment="1">
      <alignment horizontal="center" vertical="center"/>
    </xf>
    <xf numFmtId="166" fontId="2" fillId="2" borderId="0" xfId="1" applyNumberFormat="1" applyFont="1" applyFill="1" applyBorder="1" applyAlignment="1">
      <alignment horizontal="center" vertical="center"/>
    </xf>
    <xf numFmtId="167" fontId="2" fillId="2" borderId="0" xfId="2" applyNumberFormat="1" applyFont="1" applyFill="1" applyBorder="1" applyAlignment="1">
      <alignment horizontal="center" vertical="center"/>
    </xf>
    <xf numFmtId="167" fontId="2" fillId="3" borderId="0" xfId="2" applyNumberFormat="1" applyFont="1" applyFill="1" applyBorder="1" applyAlignment="1">
      <alignment horizontal="center" vertical="center"/>
    </xf>
    <xf numFmtId="166" fontId="2" fillId="3" borderId="0" xfId="1" applyNumberFormat="1" applyFont="1" applyFill="1" applyBorder="1" applyAlignment="1">
      <alignment horizontal="center" vertical="center"/>
    </xf>
    <xf numFmtId="168" fontId="2" fillId="3" borderId="0" xfId="2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9" fontId="0" fillId="5" borderId="2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38" fontId="5" fillId="5" borderId="2" xfId="0" applyNumberFormat="1" applyFont="1" applyFill="1" applyBorder="1" applyAlignment="1">
      <alignment horizontal="center" vertical="center" wrapText="1"/>
    </xf>
    <xf numFmtId="6" fontId="0" fillId="5" borderId="2" xfId="0" applyNumberForma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40" fontId="5" fillId="5" borderId="2" xfId="0" applyNumberFormat="1" applyFont="1" applyFill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40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8" fontId="5" fillId="5" borderId="1" xfId="0" applyNumberFormat="1" applyFont="1" applyFill="1" applyBorder="1" applyAlignment="1">
      <alignment horizontal="center" vertical="center" wrapText="1"/>
    </xf>
    <xf numFmtId="6" fontId="0" fillId="5" borderId="1" xfId="0" applyNumberFormat="1" applyFill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40" fontId="5" fillId="5" borderId="1" xfId="0" applyNumberFormat="1" applyFont="1" applyFill="1" applyBorder="1" applyAlignment="1">
      <alignment horizontal="center" vertical="center" wrapText="1"/>
    </xf>
    <xf numFmtId="38" fontId="6" fillId="6" borderId="1" xfId="0" applyNumberFormat="1" applyFont="1" applyFill="1" applyBorder="1" applyAlignment="1">
      <alignment horizontal="center" vertical="center" wrapText="1"/>
    </xf>
    <xf numFmtId="40" fontId="6" fillId="7" borderId="1" xfId="0" applyNumberFormat="1" applyFont="1" applyFill="1" applyBorder="1" applyAlignment="1">
      <alignment horizontal="center" vertical="center" wrapText="1"/>
    </xf>
    <xf numFmtId="38" fontId="6" fillId="8" borderId="1" xfId="0" applyNumberFormat="1" applyFont="1" applyFill="1" applyBorder="1" applyAlignment="1">
      <alignment horizontal="center" vertical="center" wrapText="1"/>
    </xf>
    <xf numFmtId="40" fontId="5" fillId="9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0" fontId="5" fillId="10" borderId="1" xfId="0" applyNumberFormat="1" applyFont="1" applyFill="1" applyBorder="1" applyAlignment="1">
      <alignment horizontal="center" vertical="center" wrapText="1"/>
    </xf>
    <xf numFmtId="40" fontId="5" fillId="0" borderId="3" xfId="0" applyNumberFormat="1" applyFont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66" fontId="2" fillId="9" borderId="0" xfId="1" applyNumberFormat="1" applyFont="1" applyFill="1" applyAlignment="1">
      <alignment horizontal="center" vertical="center"/>
    </xf>
    <xf numFmtId="166" fontId="2" fillId="11" borderId="0" xfId="1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6" fontId="2" fillId="11" borderId="0" xfId="2" applyNumberFormat="1" applyFont="1" applyFill="1" applyAlignment="1">
      <alignment horizontal="center" vertical="center"/>
    </xf>
    <xf numFmtId="167" fontId="2" fillId="11" borderId="0" xfId="2" applyNumberFormat="1" applyFont="1" applyFill="1" applyAlignment="1">
      <alignment horizontal="center" vertical="center"/>
    </xf>
    <xf numFmtId="168" fontId="2" fillId="11" borderId="0" xfId="2" applyNumberFormat="1" applyFont="1" applyFill="1" applyAlignment="1">
      <alignment horizontal="center" vertical="center"/>
    </xf>
    <xf numFmtId="38" fontId="2" fillId="11" borderId="0" xfId="1" applyNumberFormat="1" applyFont="1" applyFill="1" applyAlignment="1">
      <alignment horizontal="center" vertical="center"/>
    </xf>
    <xf numFmtId="38" fontId="2" fillId="11" borderId="0" xfId="2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6" fontId="2" fillId="9" borderId="0" xfId="2" applyNumberFormat="1" applyFont="1" applyFill="1" applyAlignment="1">
      <alignment horizontal="center" vertical="center"/>
    </xf>
    <xf numFmtId="167" fontId="2" fillId="9" borderId="0" xfId="2" applyNumberFormat="1" applyFont="1" applyFill="1" applyAlignment="1">
      <alignment horizontal="center" vertical="center"/>
    </xf>
    <xf numFmtId="168" fontId="2" fillId="9" borderId="0" xfId="2" applyNumberFormat="1" applyFont="1" applyFill="1" applyAlignment="1">
      <alignment horizontal="center" vertical="center"/>
    </xf>
    <xf numFmtId="38" fontId="2" fillId="9" borderId="0" xfId="1" applyNumberFormat="1" applyFont="1" applyFill="1" applyAlignment="1">
      <alignment horizontal="center" vertical="center"/>
    </xf>
    <xf numFmtId="38" fontId="2" fillId="9" borderId="0" xfId="2" applyNumberFormat="1" applyFont="1" applyFill="1" applyAlignment="1">
      <alignment horizontal="center" vertical="center"/>
    </xf>
    <xf numFmtId="6" fontId="2" fillId="11" borderId="0" xfId="2" applyNumberFormat="1" applyFont="1" applyFill="1" applyBorder="1" applyAlignment="1">
      <alignment horizontal="center" vertical="center"/>
    </xf>
    <xf numFmtId="166" fontId="2" fillId="11" borderId="0" xfId="1" applyNumberFormat="1" applyFont="1" applyFill="1" applyBorder="1" applyAlignment="1">
      <alignment horizontal="center" vertical="center"/>
    </xf>
    <xf numFmtId="167" fontId="2" fillId="11" borderId="0" xfId="2" applyNumberFormat="1" applyFont="1" applyFill="1" applyBorder="1" applyAlignment="1">
      <alignment horizontal="center" vertical="center"/>
    </xf>
    <xf numFmtId="168" fontId="2" fillId="11" borderId="0" xfId="2" applyNumberFormat="1" applyFont="1" applyFill="1" applyBorder="1" applyAlignment="1">
      <alignment horizontal="center" vertical="center"/>
    </xf>
    <xf numFmtId="38" fontId="2" fillId="11" borderId="0" xfId="1" applyNumberFormat="1" applyFont="1" applyFill="1" applyBorder="1" applyAlignment="1">
      <alignment horizontal="center" vertical="center"/>
    </xf>
    <xf numFmtId="38" fontId="2" fillId="11" borderId="0" xfId="2" applyNumberFormat="1" applyFont="1" applyFill="1" applyBorder="1" applyAlignment="1">
      <alignment horizontal="center" vertical="center"/>
    </xf>
    <xf numFmtId="166" fontId="2" fillId="12" borderId="0" xfId="1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6" fontId="2" fillId="12" borderId="0" xfId="2" applyNumberFormat="1" applyFont="1" applyFill="1" applyAlignment="1">
      <alignment horizontal="center" vertical="center"/>
    </xf>
    <xf numFmtId="167" fontId="2" fillId="12" borderId="0" xfId="2" applyNumberFormat="1" applyFont="1" applyFill="1" applyAlignment="1">
      <alignment horizontal="center" vertical="center"/>
    </xf>
    <xf numFmtId="168" fontId="2" fillId="12" borderId="0" xfId="2" applyNumberFormat="1" applyFont="1" applyFill="1" applyAlignment="1">
      <alignment horizontal="center" vertical="center"/>
    </xf>
    <xf numFmtId="38" fontId="2" fillId="12" borderId="0" xfId="1" applyNumberFormat="1" applyFont="1" applyFill="1" applyAlignment="1">
      <alignment horizontal="center" vertical="center"/>
    </xf>
    <xf numFmtId="38" fontId="2" fillId="12" borderId="0" xfId="2" applyNumberFormat="1" applyFont="1" applyFill="1" applyAlignment="1">
      <alignment horizontal="center" vertical="center"/>
    </xf>
    <xf numFmtId="0" fontId="0" fillId="12" borderId="0" xfId="0" applyFill="1"/>
  </cellXfs>
  <cellStyles count="3">
    <cellStyle name="Millares 2" xfId="1" xr:uid="{DBB278E2-12E4-4F5B-B6BF-684EED6510F8}"/>
    <cellStyle name="Moneda 2" xfId="2" xr:uid="{2E7E3E8F-DBC6-476D-A958-E8DC81898D0D}"/>
    <cellStyle name="Normal" xfId="0" builtinId="0"/>
  </cellStyles>
  <dxfs count="31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BBB59"/>
      <color rgb="FFF79646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282A0-4E55-4C68-BAF1-1B22D960BC0B}" name="Opti_Medias__30_INS" displayName="Opti_Medias__30_INS" ref="A1:AL101" totalsRowShown="0" headerRowDxfId="314" dataDxfId="313" headerRowCellStyle="Millares 2" dataCellStyle="Millares 2">
  <autoFilter ref="A1:AL101" xr:uid="{5F1282A0-4E55-4C68-BAF1-1B22D960BC0B}"/>
  <sortState xmlns:xlrd2="http://schemas.microsoft.com/office/spreadsheetml/2017/richdata2" ref="A2:AL101">
    <sortCondition descending="1" ref="AK1:AK101"/>
  </sortState>
  <tableColumns count="38">
    <tableColumn id="38" xr3:uid="{7C52A42D-F90A-47EB-9996-5F06A240E515}" name="MEJORES" dataDxfId="312" dataCellStyle="Millares 2"/>
    <tableColumn id="1" xr3:uid="{63EF7296-C511-4603-BB6A-A108E0534A5B}" name="CURSO-TENDENCIA-INTRADIA: Fast_Avg" dataDxfId="311"/>
    <tableColumn id="2" xr3:uid="{977E4900-E4D6-448E-9ADC-A7F82BA19D63}" name="CURSO-TENDENCIA-INTRADIA: media" dataDxfId="310"/>
    <tableColumn id="3" xr3:uid="{CC71A59E-3E72-4CD3-8B3A-364A9CEA8D89}" name="Test" dataDxfId="309"/>
    <tableColumn id="4" xr3:uid="{7B8AC750-2A75-4AC5-97A2-AE981C8767C4}" name="All: Net Profit" dataDxfId="308" dataCellStyle="Moneda 2"/>
    <tableColumn id="5" xr3:uid="{6E6B43C2-1220-40E1-808A-07A378F3585F}" name="All: Gross Profit" dataDxfId="307" dataCellStyle="Moneda 2"/>
    <tableColumn id="6" xr3:uid="{92BE4663-9A54-481E-9DCE-E91D52CEB6AE}" name="All: Gross Loss" dataDxfId="306" dataCellStyle="Moneda 2"/>
    <tableColumn id="7" xr3:uid="{3A6661C2-4283-4887-A654-AB0AF54FDC62}" name="All: Total Trades" dataDxfId="305"/>
    <tableColumn id="8" xr3:uid="{D5BD77B1-B135-4E82-96DC-07600253EEFE}" name="All: % Profitable" dataDxfId="304" dataCellStyle="Millares 2"/>
    <tableColumn id="9" xr3:uid="{800E9D2A-67AF-4A2C-83DE-7A81B7CB1F64}" name="All: Winning Trades" dataDxfId="303"/>
    <tableColumn id="10" xr3:uid="{13888EE0-EBBC-487F-A8D1-E88EB09CCD7A}" name="All: Losing Trades" dataDxfId="302"/>
    <tableColumn id="11" xr3:uid="{F8CCC0F9-A743-4266-A4FD-15E416527234}" name="All: Max Winning Trade" dataDxfId="301" dataCellStyle="Moneda 2"/>
    <tableColumn id="12" xr3:uid="{9CBEA562-004B-4C2C-8464-197409FB7046}" name="All: Max Losing Trade" dataDxfId="300" dataCellStyle="Moneda 2"/>
    <tableColumn id="13" xr3:uid="{8ABEC10F-C23D-4D4B-B4B0-1D137DD4A482}" name="All: Avg Winning Trade" dataDxfId="299" dataCellStyle="Moneda 2"/>
    <tableColumn id="14" xr3:uid="{53981154-9E36-4B77-9277-85E11DCE4DC1}" name="All: Avg Losing Trade" dataDxfId="298" dataCellStyle="Moneda 2"/>
    <tableColumn id="15" xr3:uid="{8DEB15B7-1978-4714-BA0E-D3CF58B6321C}" name="All: Win/Loss Ratio" dataDxfId="297" dataCellStyle="Millares 2"/>
    <tableColumn id="16" xr3:uid="{1FB702C3-0962-4B83-B35E-35089B942941}" name="All: Avg Trade" dataDxfId="296" dataCellStyle="Moneda 2"/>
    <tableColumn id="17" xr3:uid="{AE788736-4892-447D-A68E-AA05249C05F3}" name="All: Max Consecutive Winners" dataDxfId="295"/>
    <tableColumn id="18" xr3:uid="{B72AA709-1516-43A8-AD4B-D5E2A810718F}" name="All: Max Consecutive Losers" dataDxfId="294"/>
    <tableColumn id="19" xr3:uid="{ECFF6B39-7932-4BEE-85E6-DDB354A79074}" name="All: Avg Bars in Winner" dataDxfId="293"/>
    <tableColumn id="20" xr3:uid="{2CDD9852-5569-4755-AE2F-4C1B6451C495}" name="All: Avg Bars in Loser" dataDxfId="292"/>
    <tableColumn id="21" xr3:uid="{59B4FE0C-AEE4-432B-AE4C-B397F080E076}" name="All: Max Intraday Drawdown" dataDxfId="291" dataCellStyle="Moneda 2"/>
    <tableColumn id="22" xr3:uid="{908AF359-EE13-4458-9FEE-43080890AEB0}" name="All: ProfitFactor" dataDxfId="290" dataCellStyle="Millares 2"/>
    <tableColumn id="23" xr3:uid="{FC1B8D09-25F7-4F21-8027-1103790BB537}" name="All: Max Contracts Held" dataDxfId="289"/>
    <tableColumn id="24" xr3:uid="{81A0623E-EB17-4C4E-93BF-46EF39E6150C}" name="All: Required Account Size" dataDxfId="288" dataCellStyle="Moneda 2"/>
    <tableColumn id="25" xr3:uid="{9ADBE090-5956-4DC8-AA4C-066F25C5DB41}" name="All: Return on Account" dataDxfId="287" dataCellStyle="Millares 2"/>
    <tableColumn id="26" xr3:uid="{175EB6FE-A51E-4ACC-8820-4FD4043FAED4}" name="All: TS Index" dataDxfId="286" dataCellStyle="Millares 2"/>
    <tableColumn id="27" xr3:uid="{041BDA90-7CF5-4A7E-B7BF-A8E1DC9AF583}" name="All: Expectancy Score" dataDxfId="285" dataCellStyle="Millares 2"/>
    <tableColumn id="28" xr3:uid="{CE17036A-A47A-452E-B5B8-7AEA6075F194}" name="All: Pessimistic Return On Capital" dataDxfId="284" dataCellStyle="Millares 2"/>
    <tableColumn id="29" xr3:uid="{0675E74A-15E2-4738-A13C-BE7FDDC1EDD3}" name="All: Perfect Profit Correlation" dataDxfId="283" dataCellStyle="Moneda 2"/>
    <tableColumn id="30" xr3:uid="{DCEA6FFD-8D4B-4E2D-BAB2-68F6624E4424}" name="All: Robustness Index" dataDxfId="282" dataCellStyle="Millares 2"/>
    <tableColumn id="31" xr3:uid="{06BC0B8F-8201-4B68-9CB2-3434F40D8D00}" name="VAR TS Index" dataDxfId="281" dataCellStyle="Millares 2">
      <calculatedColumnFormula>(Opti_Medias__30_INS[[#This Row],[All: TS Index]]-AA$114) /ABS(AA$114)</calculatedColumnFormula>
    </tableColumn>
    <tableColumn id="32" xr3:uid="{9C27856D-B181-4447-A2AE-AAF93842060E}" name="VAR Expectancy Score" dataDxfId="280" dataCellStyle="Millares 2">
      <calculatedColumnFormula>(Opti_Medias__30_INS[[#This Row],[All: Expectancy Score]]-AB$114) /ABS(AB$114)</calculatedColumnFormula>
    </tableColumn>
    <tableColumn id="33" xr3:uid="{818F7ED6-D511-4546-96D5-763387A03C6C}" name="Columna1" dataDxfId="279" dataCellStyle="Millares 2"/>
    <tableColumn id="34" xr3:uid="{C1B4F0F2-F7CB-4B5E-BBB4-D1B82448AA87}" name="VAR Perfect Profit Correlation" dataDxfId="278" dataCellStyle="Millares 2">
      <calculatedColumnFormula>(Opti_Medias__30_INS[[#This Row],[All: Perfect Profit Correlation]]-AD$114) /ABS(AD$114)</calculatedColumnFormula>
    </tableColumn>
    <tableColumn id="35" xr3:uid="{564E5EDE-0600-465D-9C9B-978E015001ED}" name="VAR Robustness Index" dataDxfId="277" dataCellStyle="Millares 2">
      <calculatedColumnFormula>(Opti_Medias__30_INS[[#This Row],[All: Robustness Index]]-AE$114) /ABS(AE$114)</calculatedColumnFormula>
    </tableColumn>
    <tableColumn id="36" xr3:uid="{93CC29F0-3283-4B34-99B6-A23A6E2EEBC8}" name="SUMA" dataDxfId="276" dataCellStyle="Millares 2">
      <calculatedColumnFormula>SUM(Opti_Medias__30_INS[[#This Row],[VAR TS Index]:[VAR Robustness Index]])</calculatedColumnFormula>
    </tableColumn>
    <tableColumn id="37" xr3:uid="{A3FB50CA-E809-4B71-AE66-CBB6D2E0541A}" name="SUMA SIN ROB" dataDxfId="275" dataCellStyle="Millares 2">
      <calculatedColumnFormula>Opti_Medias__30_INS[[#This Row],[SUMA]]-Opti_Medias__30_INS[[#This Row],[VAR Robustness Index]]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E70FDE-CFDC-46A3-87BB-1D06F157FFDA}" name="Tabla6" displayName="Tabla6" ref="A104:AE115" headerRowCount="0" totalsRowShown="0" headerRowDxfId="274" dataDxfId="273" tableBorderDxfId="272">
  <tableColumns count="31">
    <tableColumn id="1" xr3:uid="{E3D34998-AEC4-4346-8C60-6520FC1A54DD}" name="Columna1" headerRowDxfId="271" dataDxfId="270"/>
    <tableColumn id="2" xr3:uid="{FD28D94E-AAD5-451C-8170-3F43BA1101FB}" name="Columna2" headerRowDxfId="269" dataDxfId="268"/>
    <tableColumn id="3" xr3:uid="{33697C90-0847-42CF-A084-18D4B4961551}" name="Columna3" headerRowDxfId="267" dataDxfId="266"/>
    <tableColumn id="4" xr3:uid="{723669CD-2B49-41A7-9B9E-083149362023}" name="Columna4" headerRowDxfId="265" dataDxfId="264"/>
    <tableColumn id="5" xr3:uid="{305B8708-89A1-4E7A-89F5-77B8EB118A21}" name="Columna5" headerRowDxfId="263" dataDxfId="262"/>
    <tableColumn id="6" xr3:uid="{05E4540A-254D-4FF0-9FA8-7CFC3CC55C6F}" name="Columna6" headerRowDxfId="261" dataDxfId="260"/>
    <tableColumn id="7" xr3:uid="{824BBC75-E4B5-4FE7-B73E-3C1216AAAFA9}" name="Columna7" headerRowDxfId="259" dataDxfId="258"/>
    <tableColumn id="8" xr3:uid="{31379E04-FC41-4B11-BD83-74924C295846}" name="Columna8" headerRowDxfId="257" dataDxfId="256"/>
    <tableColumn id="9" xr3:uid="{2DB51FFE-BAED-4507-8DE8-60BFF850168E}" name="Columna9" headerRowDxfId="255" dataDxfId="254"/>
    <tableColumn id="10" xr3:uid="{B6C4DA7B-C950-4694-91B3-B47BA2328359}" name="Columna10" headerRowDxfId="253" dataDxfId="252"/>
    <tableColumn id="11" xr3:uid="{4393179B-9E43-42A5-A9E6-CA2BD78E7AB2}" name="Columna11" headerRowDxfId="251" dataDxfId="250"/>
    <tableColumn id="12" xr3:uid="{6A925D01-9188-433C-83BB-E2B46DFA590A}" name="Columna12" headerRowDxfId="249" dataDxfId="248"/>
    <tableColumn id="13" xr3:uid="{2325BA15-ACAD-4E4E-AC36-B0C51EEB4344}" name="Columna13" headerRowDxfId="247" dataDxfId="246"/>
    <tableColumn id="14" xr3:uid="{83195A16-BB9F-4A13-AF4B-49635F50E43A}" name="Columna14" headerRowDxfId="245" dataDxfId="244"/>
    <tableColumn id="15" xr3:uid="{6D22E1F1-8414-4AFC-B812-E5CBB90D240C}" name="Columna15" headerRowDxfId="243" dataDxfId="242"/>
    <tableColumn id="16" xr3:uid="{B3510EA7-FDDD-4EA0-B7B8-35F949B1A8B8}" name="Columna16" headerRowDxfId="241" dataDxfId="240"/>
    <tableColumn id="17" xr3:uid="{254DE57F-853C-43B9-B757-52D0E508E7F4}" name="Columna17" headerRowDxfId="239" dataDxfId="238"/>
    <tableColumn id="18" xr3:uid="{2447E880-841B-476C-B0CA-BD977E2C0A3C}" name="Columna18" headerRowDxfId="237" dataDxfId="236"/>
    <tableColumn id="19" xr3:uid="{296A7793-98F7-4E65-9F31-BAA5B7043E40}" name="Columna19" headerRowDxfId="235" dataDxfId="234"/>
    <tableColumn id="20" xr3:uid="{9A60BF2C-3DC7-4020-9FC7-F4457D7B8EFD}" name="Columna20" headerRowDxfId="233" dataDxfId="232"/>
    <tableColumn id="21" xr3:uid="{A53CEFB2-1D3C-4846-A7D2-C1C71A406795}" name="Columna21" headerRowDxfId="231" dataDxfId="230"/>
    <tableColumn id="22" xr3:uid="{B2CEEEA8-54B5-4A83-AC5C-1300299F2680}" name="Columna22" headerRowDxfId="229" dataDxfId="228"/>
    <tableColumn id="23" xr3:uid="{D9F824F4-08BE-4B8B-84B6-815DF9B06176}" name="Columna23" headerRowDxfId="227" dataDxfId="226"/>
    <tableColumn id="24" xr3:uid="{65CF7CA6-4E4B-4086-AEF6-FA0E9159F0CD}" name="Columna24" headerRowDxfId="225" dataDxfId="224"/>
    <tableColumn id="25" xr3:uid="{C671E42A-08F0-4A47-97BB-7ED3F9239B7A}" name="Columna25" headerRowDxfId="223" dataDxfId="222"/>
    <tableColumn id="26" xr3:uid="{7882068F-E4F1-45FF-96B1-9B54BFA698BB}" name="Columna26" headerRowDxfId="221" dataDxfId="220"/>
    <tableColumn id="27" xr3:uid="{2B722926-3A82-4279-9876-2909B6452E08}" name="Columna27" headerRowDxfId="219" dataDxfId="218"/>
    <tableColumn id="28" xr3:uid="{01E377E3-E904-43CB-8465-1CE35A7FDA68}" name="Columna28" headerRowDxfId="217" dataDxfId="216"/>
    <tableColumn id="29" xr3:uid="{DDC71FFE-AD98-4A3B-8DD7-472342F5E822}" name="Columna29" headerRowDxfId="215" dataDxfId="214"/>
    <tableColumn id="30" xr3:uid="{9360B577-A540-42B6-BB89-4B73B5419682}" name="Columna30" headerRowDxfId="213" dataDxfId="212"/>
    <tableColumn id="31" xr3:uid="{AC06614A-9F5E-401A-A548-5C270C552681}" name="Columna31" headerRowDxfId="211" dataDxfId="2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2CE2AB-001B-4BB1-A992-C1B72DA75083}" name="Opti_Medias__30_OOS" displayName="Opti_Medias__30_OOS" ref="A1:AL101" totalsRowShown="0" headerRowDxfId="209" dataDxfId="208" headerRowCellStyle="Millares 2" dataCellStyle="Millares 2">
  <autoFilter ref="A1:AL101" xr:uid="{552CE2AB-001B-4BB1-A992-C1B72DA75083}"/>
  <sortState xmlns:xlrd2="http://schemas.microsoft.com/office/spreadsheetml/2017/richdata2" ref="A2:AL101">
    <sortCondition descending="1" ref="AK1:AK101"/>
  </sortState>
  <tableColumns count="38">
    <tableColumn id="38" xr3:uid="{1C9543F0-D56D-4DEC-B656-26E1699A5B53}" name="MEJORES" dataDxfId="207" dataCellStyle="Millares 2"/>
    <tableColumn id="1" xr3:uid="{4D099EC5-0FD3-4305-B572-3B27B1C1BC63}" name="CURSO-TENDENCIA-INTRADIA: Fast_Avg" dataDxfId="206"/>
    <tableColumn id="2" xr3:uid="{8CB59CDC-EBFB-4E20-8077-A69FEA567B67}" name="CURSO-TENDENCIA-INTRADIA: media" dataDxfId="205"/>
    <tableColumn id="3" xr3:uid="{D4DDD712-6210-46EA-8810-5F19957CB97B}" name="Test" dataDxfId="204"/>
    <tableColumn id="4" xr3:uid="{47F07B2B-5D5D-4CFF-BD72-FE8531445A1E}" name="All: Net Profit" dataDxfId="203" dataCellStyle="Moneda 2"/>
    <tableColumn id="5" xr3:uid="{ED65ADCE-1ADC-446D-ACD5-3F71ABFA0537}" name="All: Gross Profit" dataDxfId="202" dataCellStyle="Moneda 2"/>
    <tableColumn id="6" xr3:uid="{84E50A55-B622-4781-8F46-949127A0E1EA}" name="All: Gross Loss" dataDxfId="201" dataCellStyle="Moneda 2"/>
    <tableColumn id="7" xr3:uid="{01325D22-FB9C-4F1A-98AB-A772C143FF20}" name="All: Total Trades" dataDxfId="200"/>
    <tableColumn id="8" xr3:uid="{07380430-8340-4E29-AB96-754D8B00B47B}" name="All: % Profitable" dataDxfId="199" dataCellStyle="Millares 2"/>
    <tableColumn id="9" xr3:uid="{A0B8F3BB-F9ED-4D68-9D20-02848E9391AC}" name="All: Winning Trades" dataDxfId="198"/>
    <tableColumn id="10" xr3:uid="{2F7CE077-3E15-4E4F-AEF9-C34DD6793DD9}" name="All: Losing Trades" dataDxfId="197"/>
    <tableColumn id="11" xr3:uid="{77E4DB50-37FC-4FC7-B17A-77DDE77F693A}" name="All: Max Winning Trade" dataDxfId="196" dataCellStyle="Moneda 2"/>
    <tableColumn id="12" xr3:uid="{B57408B7-7C3C-41A1-8372-C4A65B7CC0FE}" name="All: Max Losing Trade" dataDxfId="195" dataCellStyle="Moneda 2"/>
    <tableColumn id="13" xr3:uid="{9DDA1474-6625-47B6-AEF6-4ADAD13FB240}" name="All: Avg Winning Trade" dataDxfId="194" dataCellStyle="Moneda 2"/>
    <tableColumn id="14" xr3:uid="{11C5F08A-20F9-4D96-8E82-061974F1A4A8}" name="All: Avg Losing Trade" dataDxfId="193" dataCellStyle="Moneda 2"/>
    <tableColumn id="15" xr3:uid="{0B78E41E-C89A-492C-B242-4E35E3E0D6E9}" name="All: Win/Loss Ratio" dataDxfId="192" dataCellStyle="Millares 2"/>
    <tableColumn id="16" xr3:uid="{920D154B-9F60-48CE-BFDE-FCDBE20BD1D3}" name="All: Avg Trade" dataDxfId="191" dataCellStyle="Moneda 2"/>
    <tableColumn id="17" xr3:uid="{208C0A1F-ECA0-4DB3-A5FE-4C089D10C972}" name="All: Max Consecutive Winners" dataDxfId="190"/>
    <tableColumn id="18" xr3:uid="{869F7F4A-E72E-48BE-AAC0-7AD3EB04B182}" name="All: Max Consecutive Losers" dataDxfId="189"/>
    <tableColumn id="19" xr3:uid="{28ED2A2C-0CE9-4649-BA8A-A4C0D131A784}" name="All: Avg Bars in Winner" dataDxfId="188"/>
    <tableColumn id="20" xr3:uid="{D1CD0DD5-6F3B-4E4E-BEAF-B07AE943AD70}" name="All: Avg Bars in Loser" dataDxfId="187"/>
    <tableColumn id="21" xr3:uid="{00F29886-FE36-4830-B63A-00FBF1D0433C}" name="All: Max Intraday Drawdown" dataDxfId="186" dataCellStyle="Moneda 2"/>
    <tableColumn id="22" xr3:uid="{CF721BC1-C9A5-4133-8E77-EE7E4AD071E5}" name="All: ProfitFactor" dataDxfId="185" dataCellStyle="Millares 2"/>
    <tableColumn id="23" xr3:uid="{E3F0A536-EBC6-4241-B0A7-DE9E55FE1D9B}" name="All: Max Contracts Held" dataDxfId="184"/>
    <tableColumn id="24" xr3:uid="{E13DD98F-5E17-437C-A6C1-042552622F6B}" name="All: Required Account Size" dataDxfId="183" dataCellStyle="Moneda 2"/>
    <tableColumn id="25" xr3:uid="{DA83BE87-561F-4752-9936-D10EB158E7D5}" name="All: Return on Account" dataDxfId="182" dataCellStyle="Millares 2"/>
    <tableColumn id="26" xr3:uid="{38766E5B-0D10-41F5-BD46-2E063AC030C1}" name="All: TS Index" dataDxfId="181" dataCellStyle="Millares 2"/>
    <tableColumn id="27" xr3:uid="{F76C4E68-3549-445F-B1A2-AA076B53057C}" name="All: Expectancy Score" dataDxfId="180" dataCellStyle="Millares 2"/>
    <tableColumn id="28" xr3:uid="{8CC027E4-AEFC-4D17-A18F-0990C4F1A46F}" name="All: Pessimistic Return On Capital" dataDxfId="179" dataCellStyle="Millares 2"/>
    <tableColumn id="29" xr3:uid="{65C8B571-2BD4-49E7-89F6-ECF421E17E3B}" name="All: Perfect Profit Correlation" dataDxfId="178" dataCellStyle="Moneda 2"/>
    <tableColumn id="30" xr3:uid="{67FA9B7E-2259-4BDC-8A77-B4B62F9CA697}" name="All: Robustness Index" dataDxfId="177" dataCellStyle="Millares 2"/>
    <tableColumn id="31" xr3:uid="{D46C98F7-D1BC-4983-B948-5D89855B1DCC}" name="VAR TS Index" dataDxfId="176" dataCellStyle="Millares 2">
      <calculatedColumnFormula>(Opti_Medias__30_OOS[[#This Row],[All: TS Index]]-AA$114) /ABS(AA$114)</calculatedColumnFormula>
    </tableColumn>
    <tableColumn id="32" xr3:uid="{5887B3BA-A85C-4169-9AC2-94FF1C735598}" name="VAR Expectancy Score" dataDxfId="175" dataCellStyle="Millares 2">
      <calculatedColumnFormula>(Opti_Medias__30_OOS[[#This Row],[All: Expectancy Score]]-AB$114) /ABS(AB$114)</calculatedColumnFormula>
    </tableColumn>
    <tableColumn id="33" xr3:uid="{377E4004-9A00-4394-A7D6-20FFD28F1802}" name="Columna1" dataDxfId="174" dataCellStyle="Millares 2"/>
    <tableColumn id="34" xr3:uid="{E5B04897-1D2B-42BF-A7AB-B909731316E7}" name="VAR Perfect Profit Correlation" dataDxfId="173" dataCellStyle="Millares 2">
      <calculatedColumnFormula>(Opti_Medias__30_OOS[[#This Row],[All: Perfect Profit Correlation]]-AD$114) /ABS(AD$114)</calculatedColumnFormula>
    </tableColumn>
    <tableColumn id="35" xr3:uid="{3CB5000F-C75A-4BBB-B4A4-961DA3652341}" name="VAR Robustness Index" dataDxfId="172" dataCellStyle="Millares 2">
      <calculatedColumnFormula>(Opti_Medias__30_OOS[[#This Row],[All: Robustness Index]]-AE$114) /ABS(AE$114)</calculatedColumnFormula>
    </tableColumn>
    <tableColumn id="36" xr3:uid="{82930465-B82E-4C17-AC3C-3CA4CAAB3FFB}" name="SUMA" dataDxfId="171" dataCellStyle="Millares 2">
      <calculatedColumnFormula>SUM(Opti_Medias__30_OOS[[#This Row],[VAR TS Index]:[VAR Robustness Index]])</calculatedColumnFormula>
    </tableColumn>
    <tableColumn id="37" xr3:uid="{FF92E06A-7F08-495C-83CA-47D2CD5FA675}" name="SUMA SIN ROB" dataDxfId="170" dataCellStyle="Millares 2">
      <calculatedColumnFormula>Opti_Medias__30_OOS[[#This Row],[SUMA]]-Opti_Medias__30_OOS[[#This Row],[VAR Robustness Index]]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067A8B-7C9E-45B5-82FA-CBFCAE78728E}" name="Tabla5" displayName="Tabla5" ref="A104:AE115" headerRowCount="0" totalsRowShown="0" headerRowDxfId="169" dataDxfId="168" tableBorderDxfId="167">
  <tableColumns count="31">
    <tableColumn id="1" xr3:uid="{324769A9-A26B-480E-A1BC-2983FD785BDB}" name="Columna1" headerRowDxfId="166" dataDxfId="165"/>
    <tableColumn id="2" xr3:uid="{E3AD8BE5-8A36-4E83-946E-8FB75CA6F737}" name="Columna2" headerRowDxfId="164" dataDxfId="163"/>
    <tableColumn id="3" xr3:uid="{78578C0A-B1F1-4FA7-9FBC-4AC9222A73D8}" name="Columna3" headerRowDxfId="162" dataDxfId="161"/>
    <tableColumn id="4" xr3:uid="{8380620D-1E39-47B1-88B7-4EA1EDA90776}" name="Columna4" headerRowDxfId="160" dataDxfId="159"/>
    <tableColumn id="5" xr3:uid="{25B5D3FF-2128-44E1-89C5-B1BA17539EBE}" name="Columna5" headerRowDxfId="158" dataDxfId="157"/>
    <tableColumn id="6" xr3:uid="{E732590F-83AC-4D49-B4E0-26C3D941A7B6}" name="Columna6" headerRowDxfId="156" dataDxfId="155"/>
    <tableColumn id="7" xr3:uid="{BDDB8471-4B46-4B5D-80D4-7BF81411E7F9}" name="Columna7" headerRowDxfId="154" dataDxfId="153"/>
    <tableColumn id="8" xr3:uid="{B342FD52-BF24-442F-A14B-F8BC0AF07E26}" name="Columna8" headerRowDxfId="152" dataDxfId="151"/>
    <tableColumn id="9" xr3:uid="{92B68B7F-D073-4F56-AFA9-1AAB85F959EA}" name="Columna9" headerRowDxfId="150" dataDxfId="149"/>
    <tableColumn id="10" xr3:uid="{AFFFF6DC-825A-488A-8D50-EC0EC2391EDF}" name="Columna10" headerRowDxfId="148" dataDxfId="147"/>
    <tableColumn id="11" xr3:uid="{86767FFF-7D75-4A25-87D8-8277EDA4627F}" name="Columna11" headerRowDxfId="146" dataDxfId="145"/>
    <tableColumn id="12" xr3:uid="{78008334-78EB-458B-8D92-8CB37CE51B59}" name="Columna12" headerRowDxfId="144" dataDxfId="143"/>
    <tableColumn id="13" xr3:uid="{BCCBB58D-75BC-4512-A88B-ECA177BBCD05}" name="Columna13" headerRowDxfId="142" dataDxfId="141"/>
    <tableColumn id="14" xr3:uid="{CC06885B-5835-48EE-872D-09AA0032E810}" name="Columna14" headerRowDxfId="140" dataDxfId="139"/>
    <tableColumn id="15" xr3:uid="{3E34224A-BE21-4119-8985-0D5456E24C4E}" name="Columna15" headerRowDxfId="138" dataDxfId="137"/>
    <tableColumn id="16" xr3:uid="{66ADCBD6-0D64-4F9F-ABF8-8C21C9252667}" name="Columna16" headerRowDxfId="136" dataDxfId="135"/>
    <tableColumn id="17" xr3:uid="{B4B058B9-9DB3-4AF1-8788-0DC85CB85D3F}" name="Columna17" headerRowDxfId="134" dataDxfId="133"/>
    <tableColumn id="18" xr3:uid="{7E9FBA9D-DB87-4DF6-8C44-5B6FFEDB65A7}" name="Columna18" headerRowDxfId="132" dataDxfId="131"/>
    <tableColumn id="19" xr3:uid="{C8A78E46-D793-4931-B874-6370D590BDF3}" name="Columna19" headerRowDxfId="130" dataDxfId="129"/>
    <tableColumn id="20" xr3:uid="{90B90619-00FA-49D2-874C-7BC5C05EDDC3}" name="Columna20" headerRowDxfId="128" dataDxfId="127"/>
    <tableColumn id="21" xr3:uid="{EF39CC56-2DC6-4881-B7BA-16F907B2B420}" name="Columna21" headerRowDxfId="126" dataDxfId="125"/>
    <tableColumn id="22" xr3:uid="{3F81DDE8-7A33-49D5-8E40-15BC073121F1}" name="Columna22" headerRowDxfId="124" dataDxfId="123"/>
    <tableColumn id="23" xr3:uid="{C4F58759-6D5E-45BD-9BCA-4A6CD9D38762}" name="Columna23" headerRowDxfId="122" dataDxfId="121"/>
    <tableColumn id="24" xr3:uid="{B1F4FA61-8BCB-4926-AA10-1E72C7395611}" name="Columna24" headerRowDxfId="120" dataDxfId="119"/>
    <tableColumn id="25" xr3:uid="{54C59EC4-7485-4819-A0F5-8EEAD1501CF2}" name="Columna25" headerRowDxfId="118" dataDxfId="117"/>
    <tableColumn id="26" xr3:uid="{DD608AFD-1062-48BE-A8DE-2CA2B123A457}" name="Columna26" headerRowDxfId="116" dataDxfId="115"/>
    <tableColumn id="27" xr3:uid="{0558E7B2-D656-44AF-8E30-85E62F6D1243}" name="Columna27" headerRowDxfId="114" dataDxfId="113"/>
    <tableColumn id="28" xr3:uid="{7422DDDB-0291-4C11-8E46-C519DC77BDFC}" name="Columna28" headerRowDxfId="112" dataDxfId="111"/>
    <tableColumn id="29" xr3:uid="{9B3BD2F1-A846-4075-9C77-28623C567A97}" name="Columna29" headerRowDxfId="110" dataDxfId="109"/>
    <tableColumn id="30" xr3:uid="{44B0C9AD-2C55-436D-A86A-9AD1D1A0A46C}" name="Columna30" headerRowDxfId="108" dataDxfId="107"/>
    <tableColumn id="31" xr3:uid="{7E46595D-EB52-4594-BC84-4B2B948AB03A}" name="Columna31" headerRowDxfId="106" dataDxfId="1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70C94-0E5C-440B-9C5C-0A718CACEB43}" name="Opti_Medias__30_ALL_Data" displayName="Opti_Medias__30_ALL_Data" ref="A1:AL101" totalsRowShown="0" headerRowDxfId="104" dataDxfId="103" dataCellStyle="Millares 2">
  <autoFilter ref="A1:AL101" xr:uid="{4E870C94-0E5C-440B-9C5C-0A718CACEB43}"/>
  <sortState xmlns:xlrd2="http://schemas.microsoft.com/office/spreadsheetml/2017/richdata2" ref="A2:AL101">
    <sortCondition descending="1" ref="AK1:AK101"/>
  </sortState>
  <tableColumns count="38">
    <tableColumn id="38" xr3:uid="{BE0F6C66-9E72-4300-9661-5E077B1F56F8}" name="MEJORES" dataDxfId="102" dataCellStyle="Millares 2"/>
    <tableColumn id="1" xr3:uid="{CA6F6C7A-322A-4D12-A563-D901181D73CF}" name="CURSO-TENDENCIA-INTRADIA: Fast_Avg" dataDxfId="101"/>
    <tableColumn id="2" xr3:uid="{7A8E1217-C55C-4252-B821-B64003720D05}" name="CURSO-TENDENCIA-INTRADIA: media" dataDxfId="100"/>
    <tableColumn id="3" xr3:uid="{3F0680D7-A49C-42DA-BA5B-AA323C8F3EA1}" name="Test" dataDxfId="99"/>
    <tableColumn id="4" xr3:uid="{B8E346FB-90AB-4B60-B5A1-1535189D01AA}" name="All: Net Profit" dataDxfId="98" dataCellStyle="Moneda 2"/>
    <tableColumn id="5" xr3:uid="{48415CED-5FA2-4C65-9A02-94C6B17CA266}" name="All: Gross Profit" dataDxfId="97" dataCellStyle="Moneda 2"/>
    <tableColumn id="6" xr3:uid="{3DDCD9EC-E8DB-4EFD-92CA-412971B9004A}" name="All: Gross Loss" dataDxfId="96" dataCellStyle="Moneda 2"/>
    <tableColumn id="7" xr3:uid="{41D410CF-55BF-4B57-A4DE-09026C7CEFF5}" name="All: Total Trades" dataDxfId="95"/>
    <tableColumn id="8" xr3:uid="{FBC86147-F7C3-46DD-B145-133D1AB0CDE5}" name="All: % Profitable" dataDxfId="94" dataCellStyle="Millares 2"/>
    <tableColumn id="9" xr3:uid="{EDEE1ED5-669D-4493-B081-AB35338B7337}" name="All: Winning Trades" dataDxfId="93"/>
    <tableColumn id="10" xr3:uid="{D1950025-762F-413E-B56D-722DD0EA5674}" name="All: Losing Trades" dataDxfId="92"/>
    <tableColumn id="11" xr3:uid="{95904CF6-F1C8-4B94-9E70-07118E3DC9CB}" name="All: Max Winning Trade" dataDxfId="91" dataCellStyle="Moneda 2"/>
    <tableColumn id="12" xr3:uid="{8D8BD41D-CA67-40A7-9B4F-A3776F6F839A}" name="All: Max Losing Trade" dataDxfId="90" dataCellStyle="Moneda 2"/>
    <tableColumn id="13" xr3:uid="{A94A13E1-E7F7-469B-ABC1-AD11A31C441D}" name="All: Avg Winning Trade" dataDxfId="89" dataCellStyle="Moneda 2"/>
    <tableColumn id="14" xr3:uid="{989277F9-944F-4DFF-8F51-D19EF09FCAE4}" name="All: Avg Losing Trade" dataDxfId="88" dataCellStyle="Moneda 2"/>
    <tableColumn id="15" xr3:uid="{095C65C3-AFED-4AAE-919C-A0EE26FD91BC}" name="All: Win/Loss Ratio" dataDxfId="87" dataCellStyle="Millares 2"/>
    <tableColumn id="16" xr3:uid="{126F4563-E352-4EE2-B730-0422B97A98F6}" name="All: Avg Trade" dataDxfId="86" dataCellStyle="Moneda 2"/>
    <tableColumn id="17" xr3:uid="{C7392B29-3DF3-40A6-8250-C7B2D1C5BC29}" name="All: Max Consecutive Winners" dataDxfId="85"/>
    <tableColumn id="18" xr3:uid="{C5608AA1-4873-4C74-914D-22CCD51A7EF0}" name="All: Max Consecutive Losers" dataDxfId="84"/>
    <tableColumn id="19" xr3:uid="{A77A0DF5-0FD9-4848-9473-8C926D3AE488}" name="All: Avg Bars in Winner" dataDxfId="83"/>
    <tableColumn id="20" xr3:uid="{7788F811-7E54-46C8-A9C5-56F4B474D0F5}" name="All: Avg Bars in Loser" dataDxfId="82"/>
    <tableColumn id="21" xr3:uid="{4E6BF4D6-2290-4A2E-BC35-E80ADD843913}" name="All: Max Intraday Drawdown" dataDxfId="81" dataCellStyle="Moneda 2"/>
    <tableColumn id="22" xr3:uid="{D7A5E37E-C901-495D-8DF3-7945DE576DC5}" name="All: ProfitFactor" dataDxfId="80" dataCellStyle="Millares 2"/>
    <tableColumn id="23" xr3:uid="{31BE9DC8-8D9B-4375-841C-1BF3DAB6B40D}" name="All: Max Contracts Held" dataDxfId="79"/>
    <tableColumn id="24" xr3:uid="{071698B8-71E3-491E-9F43-05655F666C11}" name="All: Required Account Size" dataDxfId="78" dataCellStyle="Moneda 2"/>
    <tableColumn id="25" xr3:uid="{1FF9685B-71BF-487E-BFD4-00F1259C7C02}" name="All: Return on Account" dataDxfId="77" dataCellStyle="Millares 2"/>
    <tableColumn id="26" xr3:uid="{7DB0CBE1-EF6F-4A2E-9833-6265BEB2035B}" name="All: TS Index" dataDxfId="76" dataCellStyle="Millares 2"/>
    <tableColumn id="27" xr3:uid="{658D02A7-A0DD-48F3-BDC3-80BDC619F098}" name="All: Expectancy Score" dataDxfId="75" dataCellStyle="Millares 2"/>
    <tableColumn id="28" xr3:uid="{AB9E225E-31E5-4057-B914-1F913E4089F1}" name="All: Pessimistic Return On Capital" dataDxfId="74" dataCellStyle="Millares 2"/>
    <tableColumn id="29" xr3:uid="{1886C44D-3D77-424F-A53D-8318FB9A056D}" name="All: Perfect Profit Correlation" dataDxfId="73" dataCellStyle="Moneda 2"/>
    <tableColumn id="30" xr3:uid="{4EDEF6A7-7BD0-4BBC-8223-07EE8B6D6617}" name="All: Robustness Index" dataDxfId="72" dataCellStyle="Millares 2"/>
    <tableColumn id="31" xr3:uid="{7895266A-2D4D-432C-8241-B817774CCDC6}" name="VAR TS Index" dataDxfId="71" dataCellStyle="Millares 2">
      <calculatedColumnFormula>(Opti_Medias__30_ALL_Data[[#This Row],[All: TS Index]]-AA$114) /ABS(AA$114)</calculatedColumnFormula>
    </tableColumn>
    <tableColumn id="32" xr3:uid="{FF4578A0-DC00-48A0-8D7D-0BAAD31D61DC}" name="VAR Expectancy Score" dataDxfId="70" dataCellStyle="Millares 2">
      <calculatedColumnFormula>(Opti_Medias__30_ALL_Data[[#This Row],[All: Expectancy Score]]-AB$114) /ABS(AB$114)</calculatedColumnFormula>
    </tableColumn>
    <tableColumn id="33" xr3:uid="{06E657E5-DC30-45F2-9FE8-DEEDBF954E02}" name="Columna1" dataDxfId="69" dataCellStyle="Millares 2"/>
    <tableColumn id="34" xr3:uid="{A2D5D8EC-90B2-4BCE-9FD7-BC12D3AD8F67}" name="VAR Perfect Profit Correlation" dataDxfId="68" dataCellStyle="Millares 2">
      <calculatedColumnFormula>(Opti_Medias__30_ALL_Data[[#This Row],[All: Perfect Profit Correlation]]-AD$114) /ABS(AD$114)</calculatedColumnFormula>
    </tableColumn>
    <tableColumn id="35" xr3:uid="{EA062F22-BAA6-4451-9B61-8961B86538C5}" name="VAR Robustness Index" dataDxfId="67" dataCellStyle="Millares 2">
      <calculatedColumnFormula>(Opti_Medias__30_ALL_Data[[#This Row],[All: Robustness Index]]-AE$114) /ABS(AE$114)</calculatedColumnFormula>
    </tableColumn>
    <tableColumn id="36" xr3:uid="{62554779-4A37-45CE-B2D4-C8F24EB3AD53}" name="SUMA" dataDxfId="66" dataCellStyle="Millares 2">
      <calculatedColumnFormula>SUM(Opti_Medias__30_ALL_Data[[#This Row],[VAR TS Index]:[VAR Robustness Index]])</calculatedColumnFormula>
    </tableColumn>
    <tableColumn id="37" xr3:uid="{99DE2275-6D24-48F2-A70A-754180E825A8}" name="SUMA SIN ROB" dataDxfId="65" dataCellStyle="Millares 2">
      <calculatedColumnFormula>Opti_Medias__30_ALL_Data[[#This Row],[SUMA]]-Opti_Medias__30_ALL_Data[[#This Row],[VAR Robustness Index]]</calculatedColumnFormula>
    </tableColumn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A1D66E-9AC8-4364-BCB5-A03346275946}" name="Tabla4" displayName="Tabla4" ref="A104:AE115" headerRowCount="0" totalsRowShown="0" headerRowDxfId="64" dataDxfId="63" tableBorderDxfId="62">
  <tableColumns count="31">
    <tableColumn id="1" xr3:uid="{EBD36647-08F8-4F6D-93A2-5F6EEE9889B6}" name="Columna1" headerRowDxfId="61" dataDxfId="60"/>
    <tableColumn id="2" xr3:uid="{AF1DF80D-B719-46A2-ACCC-B87414E13CDB}" name="Columna2" headerRowDxfId="59" dataDxfId="58"/>
    <tableColumn id="3" xr3:uid="{781D32C2-5943-448E-BE9A-F9C2007852F8}" name="Columna3" headerRowDxfId="57" dataDxfId="56"/>
    <tableColumn id="4" xr3:uid="{2C9C2E0B-57AB-47C2-B2A6-5740CB3DE5DF}" name="Columna4" headerRowDxfId="55" dataDxfId="54"/>
    <tableColumn id="5" xr3:uid="{020A650A-4C3F-4F1C-8A79-9E14004EA389}" name="Columna5" headerRowDxfId="53" dataDxfId="52"/>
    <tableColumn id="6" xr3:uid="{0FE4200E-515D-4C6D-8003-7AA653F14B4A}" name="Columna6" headerRowDxfId="51" dataDxfId="50"/>
    <tableColumn id="7" xr3:uid="{97852940-274A-4DEB-97B6-44EE61BE5F05}" name="Columna7" headerRowDxfId="49" dataDxfId="48"/>
    <tableColumn id="8" xr3:uid="{6DFBD9C7-FAA6-42AC-BEC5-A43A70D7C6A2}" name="Columna8" headerRowDxfId="47" dataDxfId="46"/>
    <tableColumn id="9" xr3:uid="{18B4A516-AE70-40B4-9258-CFCBD5279023}" name="Columna9" headerRowDxfId="45" dataDxfId="44"/>
    <tableColumn id="10" xr3:uid="{08472DA4-0F57-4D95-9699-AE93EC0D91FE}" name="Columna10" headerRowDxfId="43" dataDxfId="42"/>
    <tableColumn id="11" xr3:uid="{7E24AB28-19D7-435F-9C0C-2F5E448F17D2}" name="Columna11" headerRowDxfId="41" dataDxfId="40"/>
    <tableColumn id="12" xr3:uid="{E75EFB88-2940-45FD-A562-A0500FEA0D26}" name="Columna12" headerRowDxfId="39" dataDxfId="38"/>
    <tableColumn id="13" xr3:uid="{739AF391-2C4B-49BB-BBB7-F9FD0932E524}" name="Columna13" headerRowDxfId="37" dataDxfId="36"/>
    <tableColumn id="14" xr3:uid="{59305BE1-C0B9-4ABE-840B-5D8092318E8C}" name="Columna14" headerRowDxfId="35" dataDxfId="34"/>
    <tableColumn id="15" xr3:uid="{096F0C87-3A4B-4607-ACB7-E6DF6FE5B41B}" name="Columna15" headerRowDxfId="33" dataDxfId="32"/>
    <tableColumn id="16" xr3:uid="{05E2DAAA-8599-4816-A745-2880401F4DE2}" name="Columna16" headerRowDxfId="31" dataDxfId="30"/>
    <tableColumn id="17" xr3:uid="{39285D4F-BE96-4F59-8E6F-6B28A5558A8C}" name="Columna17" headerRowDxfId="29" dataDxfId="28"/>
    <tableColumn id="18" xr3:uid="{AE02D81F-452D-4422-9A44-187917818905}" name="Columna18" headerRowDxfId="27" dataDxfId="26"/>
    <tableColumn id="19" xr3:uid="{05236533-DFCC-4237-B955-6B5801036015}" name="Columna19" headerRowDxfId="25" dataDxfId="24"/>
    <tableColumn id="20" xr3:uid="{0E5441DA-B271-4AEF-88C9-344AAF0ED3CF}" name="Columna20" headerRowDxfId="23" dataDxfId="22"/>
    <tableColumn id="21" xr3:uid="{FFCB4F95-F514-4640-8F5E-10C59C486CD6}" name="Columna21" headerRowDxfId="21" dataDxfId="20"/>
    <tableColumn id="22" xr3:uid="{7388B055-6240-4FBC-A825-9C11E2D91675}" name="Columna22" headerRowDxfId="19" dataDxfId="18"/>
    <tableColumn id="23" xr3:uid="{34E54875-8D88-4B03-841E-3B31B5F18013}" name="Columna23" headerRowDxfId="17" dataDxfId="16"/>
    <tableColumn id="24" xr3:uid="{CFE085A3-3D37-403A-A8D7-2D7D979EECDF}" name="Columna24" headerRowDxfId="15" dataDxfId="14"/>
    <tableColumn id="25" xr3:uid="{222AD46B-69C6-417B-9F36-2A1816F90C5D}" name="Columna25" headerRowDxfId="13" dataDxfId="12"/>
    <tableColumn id="26" xr3:uid="{C71204A3-9CF6-4002-9EFC-A384445DC26A}" name="Columna26" headerRowDxfId="11" dataDxfId="10"/>
    <tableColumn id="27" xr3:uid="{CC4DD68B-C480-48B0-8563-DC744551E6A2}" name="Columna27" headerRowDxfId="9" dataDxfId="8"/>
    <tableColumn id="28" xr3:uid="{5A631DE2-59EE-4154-BCC6-BE8D8CB19DDF}" name="Columna28" headerRowDxfId="7" dataDxfId="6"/>
    <tableColumn id="29" xr3:uid="{5544D1E4-4D9F-43DA-A9D3-9FF7970F59C9}" name="Columna29" headerRowDxfId="5" dataDxfId="4"/>
    <tableColumn id="30" xr3:uid="{584EFE0A-553E-415F-BB3C-8007001343EA}" name="Columna30" headerRowDxfId="3" dataDxfId="2"/>
    <tableColumn id="31" xr3:uid="{05BBD71F-FA3C-4721-B73E-48A090F833E1}" name="Columna31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8DFD-12DA-41E7-8449-FF876C73D5B2}">
  <dimension ref="A1:AL115"/>
  <sheetViews>
    <sheetView workbookViewId="0">
      <pane xSplit="3" ySplit="1" topLeftCell="S2" activePane="bottomRight" state="frozen"/>
      <selection pane="topRight" activeCell="D1" sqref="D1"/>
      <selection pane="bottomLeft" activeCell="A2" sqref="A2"/>
      <selection pane="bottomRight" activeCell="T12" sqref="T12"/>
    </sheetView>
  </sheetViews>
  <sheetFormatPr baseColWidth="10" defaultColWidth="1.375" defaultRowHeight="15" x14ac:dyDescent="0.25"/>
  <cols>
    <col min="1" max="1" width="11.125" customWidth="1"/>
    <col min="2" max="2" width="12.75" bestFit="1" customWidth="1"/>
    <col min="3" max="3" width="11.75" bestFit="1" customWidth="1"/>
    <col min="4" max="4" width="4.875" bestFit="1" customWidth="1"/>
    <col min="5" max="5" width="8.75" bestFit="1" customWidth="1"/>
    <col min="6" max="6" width="10.125" bestFit="1" customWidth="1"/>
    <col min="7" max="7" width="10.625" bestFit="1" customWidth="1"/>
    <col min="8" max="8" width="7.625" bestFit="1" customWidth="1"/>
    <col min="9" max="9" width="7.5" bestFit="1" customWidth="1"/>
    <col min="10" max="10" width="8.375" bestFit="1" customWidth="1"/>
    <col min="11" max="11" width="7.625" bestFit="1" customWidth="1"/>
    <col min="12" max="15" width="9.25" bestFit="1" customWidth="1"/>
    <col min="16" max="16" width="8.625" bestFit="1" customWidth="1"/>
    <col min="17" max="17" width="7.375" bestFit="1" customWidth="1"/>
    <col min="18" max="18" width="11" bestFit="1" customWidth="1"/>
    <col min="19" max="19" width="9.875" bestFit="1" customWidth="1"/>
    <col min="20" max="20" width="10" bestFit="1" customWidth="1"/>
    <col min="21" max="21" width="9.125" bestFit="1" customWidth="1"/>
    <col min="22" max="22" width="11" bestFit="1" customWidth="1"/>
    <col min="23" max="23" width="7.5" bestFit="1" customWidth="1"/>
    <col min="24" max="24" width="8.625" bestFit="1" customWidth="1"/>
    <col min="25" max="25" width="10.125" bestFit="1" customWidth="1"/>
    <col min="26" max="26" width="8.875" bestFit="1" customWidth="1"/>
    <col min="27" max="27" width="7.375" bestFit="1" customWidth="1"/>
    <col min="28" max="28" width="9.25" bestFit="1" customWidth="1"/>
    <col min="29" max="29" width="12.375" bestFit="1" customWidth="1"/>
    <col min="30" max="30" width="10.125" bestFit="1" customWidth="1"/>
    <col min="31" max="31" width="9.25" bestFit="1" customWidth="1"/>
    <col min="32" max="32" width="10.125" bestFit="1" customWidth="1"/>
    <col min="33" max="33" width="13" bestFit="1" customWidth="1"/>
    <col min="34" max="34" width="10.125" bestFit="1" customWidth="1"/>
    <col min="35" max="35" width="14" bestFit="1" customWidth="1"/>
    <col min="36" max="36" width="13.125" bestFit="1" customWidth="1"/>
    <col min="37" max="37" width="8.5" bestFit="1" customWidth="1"/>
    <col min="38" max="38" width="11.125" bestFit="1" customWidth="1"/>
  </cols>
  <sheetData>
    <row r="1" spans="1:38" ht="83.25" customHeight="1" x14ac:dyDescent="0.25">
      <c r="A1" s="1" t="s">
        <v>30</v>
      </c>
      <c r="B1" s="16" t="s">
        <v>0</v>
      </c>
      <c r="C1" s="16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16" t="s">
        <v>7</v>
      </c>
      <c r="J1" s="1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2" t="s">
        <v>19</v>
      </c>
      <c r="V1" s="2" t="s">
        <v>20</v>
      </c>
      <c r="W1" s="16" t="s">
        <v>21</v>
      </c>
      <c r="X1" s="2" t="s">
        <v>22</v>
      </c>
      <c r="Y1" s="2" t="s">
        <v>23</v>
      </c>
      <c r="Z1" s="1" t="s">
        <v>24</v>
      </c>
      <c r="AA1" s="18" t="s">
        <v>25</v>
      </c>
      <c r="AB1" s="19" t="s">
        <v>26</v>
      </c>
      <c r="AC1" s="20" t="s">
        <v>27</v>
      </c>
      <c r="AD1" s="21" t="s">
        <v>28</v>
      </c>
      <c r="AE1" s="22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81" t="s">
        <v>59</v>
      </c>
      <c r="B2" s="83">
        <v>7</v>
      </c>
      <c r="C2" s="83">
        <v>3</v>
      </c>
      <c r="D2" s="83">
        <v>97</v>
      </c>
      <c r="E2" s="84">
        <v>221620</v>
      </c>
      <c r="F2" s="84">
        <v>1570960</v>
      </c>
      <c r="G2" s="84">
        <v>-1349340</v>
      </c>
      <c r="H2" s="83">
        <v>3744</v>
      </c>
      <c r="I2" s="82">
        <v>45.833333333333336</v>
      </c>
      <c r="J2" s="83">
        <v>1716</v>
      </c>
      <c r="K2" s="83">
        <v>1991</v>
      </c>
      <c r="L2" s="85">
        <v>13680</v>
      </c>
      <c r="M2" s="85">
        <v>-6560</v>
      </c>
      <c r="N2" s="85">
        <v>915.47784423828125</v>
      </c>
      <c r="O2" s="85">
        <v>-677.7197265625</v>
      </c>
      <c r="P2" s="82">
        <v>1.35082071298371</v>
      </c>
      <c r="Q2" s="86">
        <v>59.193376068376068</v>
      </c>
      <c r="R2" s="83">
        <v>11</v>
      </c>
      <c r="S2" s="83">
        <v>15</v>
      </c>
      <c r="T2" s="83">
        <v>48</v>
      </c>
      <c r="U2" s="83">
        <v>32</v>
      </c>
      <c r="V2" s="85">
        <v>-38835</v>
      </c>
      <c r="W2" s="82">
        <v>1.164243259667689</v>
      </c>
      <c r="X2" s="83">
        <v>1</v>
      </c>
      <c r="Y2" s="85">
        <v>38835</v>
      </c>
      <c r="Z2" s="82">
        <v>570.67078666151667</v>
      </c>
      <c r="AA2" s="87">
        <v>9792.7106991116252</v>
      </c>
      <c r="AB2" s="82">
        <v>5.2364858503288279</v>
      </c>
      <c r="AC2" s="82">
        <v>2.1393694522841269</v>
      </c>
      <c r="AD2" s="88">
        <v>202104.24467974852</v>
      </c>
      <c r="AE2" s="82">
        <v>52.190662286403864</v>
      </c>
      <c r="AF2" s="11">
        <f>(Opti_Medias__30_INS[[#This Row],[All: TS Index]]-AA$114) /ABS(AA$114)</f>
        <v>-0.15159800285519903</v>
      </c>
      <c r="AG2" s="11">
        <f>(Opti_Medias__30_INS[[#This Row],[All: Expectancy Score]]-AB$114) /ABS(AB$114)</f>
        <v>-0.15659066197145777</v>
      </c>
      <c r="AH2" s="11"/>
      <c r="AI2" s="11">
        <f>(Opti_Medias__30_INS[[#This Row],[All: Perfect Profit Correlation]]-AD$114) /ABS(AD$114)</f>
        <v>-0.3038259304300352</v>
      </c>
      <c r="AJ2" s="11">
        <f>(Opti_Medias__30_INS[[#This Row],[All: Robustness Index]]-AE$114) /ABS(AE$114)</f>
        <v>-0.63526946229409909</v>
      </c>
      <c r="AK2" s="11">
        <f>SUM(Opti_Medias__30_INS[[#This Row],[VAR TS Index]:[VAR Robustness Index]])</f>
        <v>-1.2472840575507911</v>
      </c>
      <c r="AL2" s="11">
        <f>Opti_Medias__30_INS[[#This Row],[SUMA]]-Opti_Medias__30_INS[[#This Row],[VAR Robustness Index]]</f>
        <v>-0.612014595256692</v>
      </c>
    </row>
    <row r="3" spans="1:38" x14ac:dyDescent="0.25">
      <c r="A3" s="81" t="s">
        <v>74</v>
      </c>
      <c r="B3" s="30">
        <v>6</v>
      </c>
      <c r="C3" s="30">
        <v>3</v>
      </c>
      <c r="D3" s="30">
        <v>96</v>
      </c>
      <c r="E3" s="31">
        <v>224410</v>
      </c>
      <c r="F3" s="31">
        <v>1592430</v>
      </c>
      <c r="G3" s="31">
        <v>-1368020</v>
      </c>
      <c r="H3" s="30">
        <v>3930</v>
      </c>
      <c r="I3" s="32">
        <v>46.284987277353693</v>
      </c>
      <c r="J3" s="30">
        <v>1819</v>
      </c>
      <c r="K3" s="30">
        <v>2081</v>
      </c>
      <c r="L3" s="33">
        <v>14060</v>
      </c>
      <c r="M3" s="33">
        <v>-6620</v>
      </c>
      <c r="N3" s="33">
        <v>875.44256591796875</v>
      </c>
      <c r="O3" s="33">
        <v>-657.3858642578125</v>
      </c>
      <c r="P3" s="32">
        <v>1.331702754068711</v>
      </c>
      <c r="Q3" s="34">
        <v>57.101781170483463</v>
      </c>
      <c r="R3" s="30">
        <v>9</v>
      </c>
      <c r="S3" s="30">
        <v>15</v>
      </c>
      <c r="T3" s="30">
        <v>44</v>
      </c>
      <c r="U3" s="30">
        <v>32</v>
      </c>
      <c r="V3" s="33">
        <v>-35365</v>
      </c>
      <c r="W3" s="32">
        <v>1.1640399994152131</v>
      </c>
      <c r="X3" s="30">
        <v>1</v>
      </c>
      <c r="Y3" s="33">
        <v>35365</v>
      </c>
      <c r="Z3" s="32">
        <v>634.55393750883638</v>
      </c>
      <c r="AA3" s="35">
        <v>11542.536123285734</v>
      </c>
      <c r="AB3" s="32">
        <v>4.0919604074294336</v>
      </c>
      <c r="AC3" s="32">
        <v>2.1706122098055021</v>
      </c>
      <c r="AD3" s="36">
        <v>206776.90890352352</v>
      </c>
      <c r="AE3" s="32">
        <v>52.789530231736094</v>
      </c>
      <c r="AF3" s="11">
        <f>(Opti_Medias__30_INS[[#This Row],[All: TS Index]]-AA$114) /ABS(AA$114)</f>
        <v>0</v>
      </c>
      <c r="AG3" s="11">
        <f>(Opti_Medias__30_INS[[#This Row],[All: Expectancy Score]]-AB$114) /ABS(AB$114)</f>
        <v>-0.34093250376063888</v>
      </c>
      <c r="AH3" s="11"/>
      <c r="AI3" s="11">
        <f>(Opti_Medias__30_INS[[#This Row],[All: Perfect Profit Correlation]]-AD$114) /ABS(AD$114)</f>
        <v>-0.28773033741785448</v>
      </c>
      <c r="AJ3" s="11">
        <f>(Opti_Medias__30_INS[[#This Row],[All: Robustness Index]]-AE$114) /ABS(AE$114)</f>
        <v>-0.63108431847436341</v>
      </c>
      <c r="AK3" s="11">
        <f>SUM(Opti_Medias__30_INS[[#This Row],[VAR TS Index]:[VAR Robustness Index]])</f>
        <v>-1.2597471596528567</v>
      </c>
      <c r="AL3" s="11">
        <f>Opti_Medias__30_INS[[#This Row],[SUMA]]-Opti_Medias__30_INS[[#This Row],[VAR Robustness Index]]</f>
        <v>-0.62866284117849325</v>
      </c>
    </row>
    <row r="4" spans="1:38" x14ac:dyDescent="0.25">
      <c r="A4" s="81" t="s">
        <v>75</v>
      </c>
      <c r="B4" s="37">
        <v>5</v>
      </c>
      <c r="C4" s="37">
        <v>3</v>
      </c>
      <c r="D4" s="37">
        <v>95</v>
      </c>
      <c r="E4" s="38">
        <v>187570</v>
      </c>
      <c r="F4" s="38">
        <v>1635930</v>
      </c>
      <c r="G4" s="38">
        <v>-1448360</v>
      </c>
      <c r="H4" s="37">
        <v>4247</v>
      </c>
      <c r="I4" s="39">
        <v>45.844125264892867</v>
      </c>
      <c r="J4" s="37">
        <v>1947</v>
      </c>
      <c r="K4" s="37">
        <v>2257</v>
      </c>
      <c r="L4" s="40">
        <v>14060</v>
      </c>
      <c r="M4" s="40">
        <v>-6620</v>
      </c>
      <c r="N4" s="40">
        <v>840.23114013671875</v>
      </c>
      <c r="O4" s="40">
        <v>-641.7191162109375</v>
      </c>
      <c r="P4" s="39">
        <v>1.3093441022887169</v>
      </c>
      <c r="Q4" s="41">
        <v>44.165293148104546</v>
      </c>
      <c r="R4" s="37">
        <v>10</v>
      </c>
      <c r="S4" s="37">
        <v>11</v>
      </c>
      <c r="T4" s="37">
        <v>41</v>
      </c>
      <c r="U4" s="37">
        <v>30</v>
      </c>
      <c r="V4" s="40">
        <v>-46135</v>
      </c>
      <c r="W4" s="39">
        <v>1.1295050954182659</v>
      </c>
      <c r="X4" s="37">
        <v>1</v>
      </c>
      <c r="Y4" s="40">
        <v>46135</v>
      </c>
      <c r="Z4" s="39">
        <v>406.56768180340305</v>
      </c>
      <c r="AA4" s="42">
        <v>7915.8727647122578</v>
      </c>
      <c r="AB4" s="39">
        <v>6.2087122044072238</v>
      </c>
      <c r="AC4" s="39">
        <v>1.809816732336557</v>
      </c>
      <c r="AD4" s="43">
        <v>167911.44475543409</v>
      </c>
      <c r="AE4" s="39">
        <v>37.705560198785172</v>
      </c>
      <c r="AF4" s="11">
        <f>(Opti_Medias__30_INS[[#This Row],[All: TS Index]]-AA$114) /ABS(AA$114)</f>
        <v>-0.31419987079417511</v>
      </c>
      <c r="AG4" s="11">
        <f>(Opti_Medias__30_INS[[#This Row],[All: Expectancy Score]]-AB$114) /ABS(AB$114)</f>
        <v>0</v>
      </c>
      <c r="AH4" s="11"/>
      <c r="AI4" s="11">
        <f>(Opti_Medias__30_INS[[#This Row],[All: Perfect Profit Correlation]]-AD$114) /ABS(AD$114)</f>
        <v>-0.4216074283447438</v>
      </c>
      <c r="AJ4" s="11">
        <f>(Opti_Medias__30_INS[[#This Row],[All: Robustness Index]]-AE$114) /ABS(AE$114)</f>
        <v>-0.7364975142423561</v>
      </c>
      <c r="AK4" s="11">
        <f>SUM(Opti_Medias__30_INS[[#This Row],[VAR TS Index]:[VAR Robustness Index]])</f>
        <v>-1.4723048133812751</v>
      </c>
      <c r="AL4" s="11">
        <f>Opti_Medias__30_INS[[#This Row],[SUMA]]-Opti_Medias__30_INS[[#This Row],[VAR Robustness Index]]</f>
        <v>-0.73580729913891896</v>
      </c>
    </row>
    <row r="5" spans="1:38" x14ac:dyDescent="0.25">
      <c r="A5" s="81" t="s">
        <v>51</v>
      </c>
      <c r="B5" s="83">
        <v>8</v>
      </c>
      <c r="C5" s="83">
        <v>3</v>
      </c>
      <c r="D5" s="83">
        <v>98</v>
      </c>
      <c r="E5" s="84">
        <v>231000</v>
      </c>
      <c r="F5" s="84">
        <v>1574950</v>
      </c>
      <c r="G5" s="84">
        <v>-1343950</v>
      </c>
      <c r="H5" s="83">
        <v>3572</v>
      </c>
      <c r="I5" s="82">
        <v>45.520716685330349</v>
      </c>
      <c r="J5" s="83">
        <v>1626</v>
      </c>
      <c r="K5" s="83">
        <v>1914</v>
      </c>
      <c r="L5" s="85">
        <v>13900</v>
      </c>
      <c r="M5" s="85">
        <v>-6560</v>
      </c>
      <c r="N5" s="85">
        <v>968.60394287109375</v>
      </c>
      <c r="O5" s="85">
        <v>-702.168212890625</v>
      </c>
      <c r="P5" s="82">
        <v>1.379447153957069</v>
      </c>
      <c r="Q5" s="86">
        <v>64.66965285554312</v>
      </c>
      <c r="R5" s="83">
        <v>8</v>
      </c>
      <c r="S5" s="83">
        <v>9</v>
      </c>
      <c r="T5" s="83">
        <v>51</v>
      </c>
      <c r="U5" s="83">
        <v>33</v>
      </c>
      <c r="V5" s="85">
        <v>-43265</v>
      </c>
      <c r="W5" s="82">
        <v>1.1718813943971129</v>
      </c>
      <c r="X5" s="83">
        <v>1</v>
      </c>
      <c r="Y5" s="85">
        <v>43265</v>
      </c>
      <c r="Z5" s="82">
        <v>533.91887206749107</v>
      </c>
      <c r="AA5" s="87">
        <v>8681.5208598174049</v>
      </c>
      <c r="AB5" s="82">
        <v>4.1625588600805088</v>
      </c>
      <c r="AC5" s="82">
        <v>2.2266167354020689</v>
      </c>
      <c r="AD5" s="88">
        <v>210560.65914714558</v>
      </c>
      <c r="AE5" s="82">
        <v>32.13176106374447</v>
      </c>
      <c r="AF5" s="11">
        <f>(Opti_Medias__30_INS[[#This Row],[All: TS Index]]-AA$114) /ABS(AA$114)</f>
        <v>-0.24786712667908062</v>
      </c>
      <c r="AG5" s="11">
        <f>(Opti_Medias__30_INS[[#This Row],[All: Expectancy Score]]-AB$114) /ABS(AB$114)</f>
        <v>-0.32956163483858425</v>
      </c>
      <c r="AH5" s="11"/>
      <c r="AI5" s="11">
        <f>(Opti_Medias__30_INS[[#This Row],[All: Perfect Profit Correlation]]-AD$114) /ABS(AD$114)</f>
        <v>-0.27469672296055919</v>
      </c>
      <c r="AJ5" s="11">
        <f>(Opti_Medias__30_INS[[#This Row],[All: Robustness Index]]-AE$114) /ABS(AE$114)</f>
        <v>-0.77544959238292566</v>
      </c>
      <c r="AK5" s="11">
        <f>SUM(Opti_Medias__30_INS[[#This Row],[VAR TS Index]:[VAR Robustness Index]])</f>
        <v>-1.6275750768611497</v>
      </c>
      <c r="AL5" s="11">
        <f>Opti_Medias__30_INS[[#This Row],[SUMA]]-Opti_Medias__30_INS[[#This Row],[VAR Robustness Index]]</f>
        <v>-0.852125484478224</v>
      </c>
    </row>
    <row r="6" spans="1:38" x14ac:dyDescent="0.25">
      <c r="A6" s="81" t="s">
        <v>76</v>
      </c>
      <c r="B6" s="83">
        <v>11</v>
      </c>
      <c r="C6" s="83">
        <v>3</v>
      </c>
      <c r="D6" s="83">
        <v>101</v>
      </c>
      <c r="E6" s="84">
        <v>248360</v>
      </c>
      <c r="F6" s="84">
        <v>1551320</v>
      </c>
      <c r="G6" s="84">
        <v>-1302960</v>
      </c>
      <c r="H6" s="83">
        <v>3273</v>
      </c>
      <c r="I6" s="82">
        <v>45.065688970363581</v>
      </c>
      <c r="J6" s="83">
        <v>1475</v>
      </c>
      <c r="K6" s="83">
        <v>1770</v>
      </c>
      <c r="L6" s="85">
        <v>18390</v>
      </c>
      <c r="M6" s="85">
        <v>-7000</v>
      </c>
      <c r="N6" s="85">
        <v>1051.742431640625</v>
      </c>
      <c r="O6" s="85">
        <v>-736.1356201171875</v>
      </c>
      <c r="P6" s="82">
        <v>1.4287346012045921</v>
      </c>
      <c r="Q6" s="86">
        <v>75.881454323250836</v>
      </c>
      <c r="R6" s="83">
        <v>7</v>
      </c>
      <c r="S6" s="83">
        <v>10</v>
      </c>
      <c r="T6" s="83">
        <v>56</v>
      </c>
      <c r="U6" s="83">
        <v>36</v>
      </c>
      <c r="V6" s="85">
        <v>-54555</v>
      </c>
      <c r="W6" s="82">
        <v>1.190612144655246</v>
      </c>
      <c r="X6" s="83">
        <v>1</v>
      </c>
      <c r="Y6" s="85">
        <v>54555</v>
      </c>
      <c r="Z6" s="82">
        <v>455.24699844193935</v>
      </c>
      <c r="AA6" s="87">
        <v>6714.8932270186051</v>
      </c>
      <c r="AB6" s="82">
        <v>5.3868544157652849</v>
      </c>
      <c r="AC6" s="82">
        <v>2.3893729911654948</v>
      </c>
      <c r="AD6" s="88">
        <v>225324.62761243602</v>
      </c>
      <c r="AE6" s="82">
        <v>7.638212455606805</v>
      </c>
      <c r="AF6" s="11">
        <f>(Opti_Medias__30_INS[[#This Row],[All: TS Index]]-AA$114) /ABS(AA$114)</f>
        <v>-0.41824802146626311</v>
      </c>
      <c r="AG6" s="11">
        <f>(Opti_Medias__30_INS[[#This Row],[All: Expectancy Score]]-AB$114) /ABS(AB$114)</f>
        <v>-0.13237169989270034</v>
      </c>
      <c r="AH6" s="11"/>
      <c r="AI6" s="11">
        <f>(Opti_Medias__30_INS[[#This Row],[All: Perfect Profit Correlation]]-AD$114) /ABS(AD$114)</f>
        <v>-0.22384033433907968</v>
      </c>
      <c r="AJ6" s="11">
        <f>(Opti_Medias__30_INS[[#This Row],[All: Robustness Index]]-AE$114) /ABS(AE$114)</f>
        <v>-0.94662092385880436</v>
      </c>
      <c r="AK6" s="11">
        <f>SUM(Opti_Medias__30_INS[[#This Row],[VAR TS Index]:[VAR Robustness Index]])</f>
        <v>-1.7210809795568474</v>
      </c>
      <c r="AL6" s="11">
        <f>Opti_Medias__30_INS[[#This Row],[SUMA]]-Opti_Medias__30_INS[[#This Row],[VAR Robustness Index]]</f>
        <v>-0.77446005569804299</v>
      </c>
    </row>
    <row r="7" spans="1:38" x14ac:dyDescent="0.25">
      <c r="A7" s="81" t="s">
        <v>78</v>
      </c>
      <c r="B7" s="83">
        <v>10</v>
      </c>
      <c r="C7" s="83">
        <v>8</v>
      </c>
      <c r="D7" s="83">
        <v>325</v>
      </c>
      <c r="E7" s="84">
        <v>238010</v>
      </c>
      <c r="F7" s="84">
        <v>1606580</v>
      </c>
      <c r="G7" s="84">
        <v>-1368570</v>
      </c>
      <c r="H7" s="83">
        <v>3844</v>
      </c>
      <c r="I7" s="82">
        <v>37.643080124869925</v>
      </c>
      <c r="J7" s="83">
        <v>1447</v>
      </c>
      <c r="K7" s="83">
        <v>2383</v>
      </c>
      <c r="L7" s="85">
        <v>18490</v>
      </c>
      <c r="M7" s="85">
        <v>-4630</v>
      </c>
      <c r="N7" s="85">
        <v>1110.2833251953125</v>
      </c>
      <c r="O7" s="85">
        <v>-574.30548095703125</v>
      </c>
      <c r="P7" s="82">
        <v>1.933262631143829</v>
      </c>
      <c r="Q7" s="86">
        <v>61.917273673257021</v>
      </c>
      <c r="R7" s="83">
        <v>7</v>
      </c>
      <c r="S7" s="83">
        <v>16</v>
      </c>
      <c r="T7" s="83">
        <v>61</v>
      </c>
      <c r="U7" s="83">
        <v>24</v>
      </c>
      <c r="V7" s="85">
        <v>-38065</v>
      </c>
      <c r="W7" s="82">
        <v>1.1739114550223959</v>
      </c>
      <c r="X7" s="83">
        <v>1</v>
      </c>
      <c r="Y7" s="85">
        <v>38065</v>
      </c>
      <c r="Z7" s="82">
        <v>625.27256009457506</v>
      </c>
      <c r="AA7" s="87">
        <v>9047.693944568502</v>
      </c>
      <c r="AB7" s="82">
        <v>2.2657042310043991</v>
      </c>
      <c r="AC7" s="82">
        <v>2.2381071489841471</v>
      </c>
      <c r="AD7" s="88">
        <v>228732.02747945301</v>
      </c>
      <c r="AE7" s="82">
        <v>41.655693230979821</v>
      </c>
      <c r="AF7" s="11">
        <f>(Opti_Medias__30_INS[[#This Row],[All: TS Index]]-AA$114) /ABS(AA$114)</f>
        <v>-0.2161433286471745</v>
      </c>
      <c r="AG7" s="11">
        <f>(Opti_Medias__30_INS[[#This Row],[All: Expectancy Score]]-AB$114) /ABS(AB$114)</f>
        <v>-0.63507662194486969</v>
      </c>
      <c r="AH7" s="11"/>
      <c r="AI7" s="11">
        <f>(Opti_Medias__30_INS[[#This Row],[All: Perfect Profit Correlation]]-AD$114) /ABS(AD$114)</f>
        <v>-0.21210310716786293</v>
      </c>
      <c r="AJ7" s="11">
        <f>(Opti_Medias__30_INS[[#This Row],[All: Robustness Index]]-AE$114) /ABS(AE$114)</f>
        <v>-0.70889230515464707</v>
      </c>
      <c r="AK7" s="11">
        <f>SUM(Opti_Medias__30_INS[[#This Row],[VAR TS Index]:[VAR Robustness Index]])</f>
        <v>-1.7722153629145541</v>
      </c>
      <c r="AL7" s="11">
        <f>Opti_Medias__30_INS[[#This Row],[SUMA]]-Opti_Medias__30_INS[[#This Row],[VAR Robustness Index]]</f>
        <v>-1.0633230577599071</v>
      </c>
    </row>
    <row r="8" spans="1:38" x14ac:dyDescent="0.25">
      <c r="A8" s="81" t="s">
        <v>77</v>
      </c>
      <c r="B8" s="23">
        <v>1</v>
      </c>
      <c r="C8" s="23">
        <v>8</v>
      </c>
      <c r="D8" s="23">
        <v>316</v>
      </c>
      <c r="E8" s="24">
        <v>300110</v>
      </c>
      <c r="F8" s="24">
        <v>1694470</v>
      </c>
      <c r="G8" s="24">
        <v>-1394360</v>
      </c>
      <c r="H8" s="23">
        <v>3924</v>
      </c>
      <c r="I8" s="25">
        <v>42.55861365953109</v>
      </c>
      <c r="J8" s="23">
        <v>1670</v>
      </c>
      <c r="K8" s="23">
        <v>2231</v>
      </c>
      <c r="L8" s="26">
        <v>7</v>
      </c>
      <c r="M8" s="26">
        <v>-6630</v>
      </c>
      <c r="N8" s="26">
        <v>1014.6527099609375</v>
      </c>
      <c r="O8" s="26">
        <v>-624.9932861328125</v>
      </c>
      <c r="P8" s="25">
        <v>1.623461775468291</v>
      </c>
      <c r="Q8" s="27">
        <v>76.480632008154942</v>
      </c>
      <c r="R8" s="23">
        <v>8</v>
      </c>
      <c r="S8" s="23">
        <v>11</v>
      </c>
      <c r="T8" s="23">
        <v>52</v>
      </c>
      <c r="U8" s="23">
        <v>27</v>
      </c>
      <c r="V8" s="26">
        <v>-45495</v>
      </c>
      <c r="W8" s="25">
        <v>1.2152313606242291</v>
      </c>
      <c r="X8" s="23">
        <v>1</v>
      </c>
      <c r="Y8" s="26">
        <v>45495</v>
      </c>
      <c r="Z8" s="25">
        <v>659.65490713265194</v>
      </c>
      <c r="AA8" s="28">
        <v>11016.236949115288</v>
      </c>
      <c r="AB8" s="25">
        <v>0.52815486303528103</v>
      </c>
      <c r="AC8" s="25">
        <v>2.8816617149416941</v>
      </c>
      <c r="AD8" s="29">
        <v>290307.0561139842</v>
      </c>
      <c r="AE8" s="25">
        <v>21.171421282582116</v>
      </c>
      <c r="AF8" s="11">
        <f>(Opti_Medias__30_INS[[#This Row],[All: TS Index]]-AA$114) /ABS(AA$114)</f>
        <v>-4.5596493573773489E-2</v>
      </c>
      <c r="AG8" s="11">
        <f>(Opti_Medias__30_INS[[#This Row],[All: Expectancy Score]]-AB$114) /ABS(AB$114)</f>
        <v>-0.91493326705329114</v>
      </c>
      <c r="AH8" s="11"/>
      <c r="AI8" s="11">
        <f>(Opti_Medias__30_INS[[#This Row],[All: Perfect Profit Correlation]]-AD$114) /ABS(AD$114)</f>
        <v>0</v>
      </c>
      <c r="AJ8" s="11">
        <f>(Opti_Medias__30_INS[[#This Row],[All: Robustness Index]]-AE$114) /ABS(AE$114)</f>
        <v>-0.85204510672772316</v>
      </c>
      <c r="AK8" s="11">
        <f>SUM(Opti_Medias__30_INS[[#This Row],[VAR TS Index]:[VAR Robustness Index]])</f>
        <v>-1.8125748673547877</v>
      </c>
      <c r="AL8" s="11">
        <f>Opti_Medias__30_INS[[#This Row],[SUMA]]-Opti_Medias__30_INS[[#This Row],[VAR Robustness Index]]</f>
        <v>-0.96052976062706452</v>
      </c>
    </row>
    <row r="9" spans="1:38" x14ac:dyDescent="0.25">
      <c r="A9" s="82" t="s">
        <v>54</v>
      </c>
      <c r="B9" s="83">
        <v>4</v>
      </c>
      <c r="C9" s="83">
        <v>8</v>
      </c>
      <c r="D9" s="83">
        <v>319</v>
      </c>
      <c r="E9" s="84">
        <v>277250</v>
      </c>
      <c r="F9" s="84">
        <v>1683730</v>
      </c>
      <c r="G9" s="84">
        <v>-1406480</v>
      </c>
      <c r="H9" s="83">
        <v>3946</v>
      </c>
      <c r="I9" s="82">
        <v>40.420679168778513</v>
      </c>
      <c r="J9" s="83">
        <v>1595</v>
      </c>
      <c r="K9" s="83">
        <v>2338</v>
      </c>
      <c r="L9" s="85">
        <v>17990</v>
      </c>
      <c r="M9" s="85">
        <v>-6230</v>
      </c>
      <c r="N9" s="85">
        <v>1055.630126953125</v>
      </c>
      <c r="O9" s="85">
        <v>-601.573974609375</v>
      </c>
      <c r="P9" s="82">
        <v>1.7547802456690149</v>
      </c>
      <c r="Q9" s="86">
        <v>70.261023821591479</v>
      </c>
      <c r="R9" s="83">
        <v>8</v>
      </c>
      <c r="S9" s="83">
        <v>15</v>
      </c>
      <c r="T9" s="83">
        <v>55</v>
      </c>
      <c r="U9" s="83">
        <v>26</v>
      </c>
      <c r="V9" s="85">
        <v>-55055</v>
      </c>
      <c r="W9" s="82">
        <v>1.1971233149422671</v>
      </c>
      <c r="X9" s="83">
        <v>1</v>
      </c>
      <c r="Y9" s="85">
        <v>55055</v>
      </c>
      <c r="Z9" s="82">
        <v>503.58732176913998</v>
      </c>
      <c r="AA9" s="87">
        <v>8032.2177822177819</v>
      </c>
      <c r="AB9" s="82">
        <v>1.4784057295182951</v>
      </c>
      <c r="AC9" s="82">
        <v>2.6417865368182261</v>
      </c>
      <c r="AD9" s="88">
        <v>267405.98298447742</v>
      </c>
      <c r="AE9" s="82">
        <v>44.689531920847223</v>
      </c>
      <c r="AF9" s="11">
        <f>(Opti_Medias__30_INS[[#This Row],[All: TS Index]]-AA$114) /ABS(AA$114)</f>
        <v>-0.3041201953863753</v>
      </c>
      <c r="AG9" s="11">
        <f>(Opti_Medias__30_INS[[#This Row],[All: Expectancy Score]]-AB$114) /ABS(AB$114)</f>
        <v>-0.76188206493629129</v>
      </c>
      <c r="AH9" s="11"/>
      <c r="AI9" s="11">
        <f>(Opti_Medias__30_INS[[#This Row],[All: Perfect Profit Correlation]]-AD$114) /ABS(AD$114)</f>
        <v>-7.8885692397759222E-2</v>
      </c>
      <c r="AJ9" s="11">
        <f>(Opti_Medias__30_INS[[#This Row],[All: Robustness Index]]-AE$114) /ABS(AE$114)</f>
        <v>-0.68769055050750261</v>
      </c>
      <c r="AK9" s="11">
        <f>SUM(Opti_Medias__30_INS[[#This Row],[VAR TS Index]:[VAR Robustness Index]])</f>
        <v>-1.8325785032279285</v>
      </c>
      <c r="AL9" s="11">
        <f>Opti_Medias__30_INS[[#This Row],[SUMA]]-Opti_Medias__30_INS[[#This Row],[VAR Robustness Index]]</f>
        <v>-1.1448879527204259</v>
      </c>
    </row>
    <row r="10" spans="1:38" x14ac:dyDescent="0.25">
      <c r="A10" s="82" t="s">
        <v>58</v>
      </c>
      <c r="B10" s="83">
        <v>22</v>
      </c>
      <c r="C10" s="83">
        <v>8</v>
      </c>
      <c r="D10" s="83">
        <v>337</v>
      </c>
      <c r="E10" s="95">
        <v>195390</v>
      </c>
      <c r="F10" s="95">
        <v>1464790</v>
      </c>
      <c r="G10" s="95">
        <v>-1269400</v>
      </c>
      <c r="H10" s="83">
        <v>3492</v>
      </c>
      <c r="I10" s="96">
        <v>35.366552119129437</v>
      </c>
      <c r="J10" s="83">
        <v>1235</v>
      </c>
      <c r="K10" s="83">
        <v>2246</v>
      </c>
      <c r="L10" s="97">
        <v>17090</v>
      </c>
      <c r="M10" s="97">
        <v>-4100</v>
      </c>
      <c r="N10" s="97">
        <v>1186.0648193359375</v>
      </c>
      <c r="O10" s="97">
        <v>-565.18255615234375</v>
      </c>
      <c r="P10" s="96">
        <v>2.0985517093988939</v>
      </c>
      <c r="Q10" s="98">
        <v>55.953608247422679</v>
      </c>
      <c r="R10" s="83">
        <v>11</v>
      </c>
      <c r="S10" s="83">
        <v>15</v>
      </c>
      <c r="T10" s="83">
        <v>73</v>
      </c>
      <c r="U10" s="83">
        <v>25</v>
      </c>
      <c r="V10" s="97">
        <v>-28365</v>
      </c>
      <c r="W10" s="96">
        <v>1.153923113281865</v>
      </c>
      <c r="X10" s="83">
        <v>1</v>
      </c>
      <c r="Y10" s="97">
        <v>28365</v>
      </c>
      <c r="Z10" s="96">
        <v>688.84188260179803</v>
      </c>
      <c r="AA10" s="99">
        <v>8507.1972501322052</v>
      </c>
      <c r="AB10" s="96">
        <v>1.319687063868175</v>
      </c>
      <c r="AC10" s="96">
        <v>1.804937606888213</v>
      </c>
      <c r="AD10" s="100">
        <v>188588.01883802706</v>
      </c>
      <c r="AE10" s="96">
        <v>75.318790567901999</v>
      </c>
      <c r="AF10" s="11">
        <f>(Opti_Medias__30_INS[[#This Row],[All: TS Index]]-AA$114) /ABS(AA$114)</f>
        <v>-0.26296983962043513</v>
      </c>
      <c r="AG10" s="11">
        <f>(Opti_Medias__30_INS[[#This Row],[All: Expectancy Score]]-AB$114) /ABS(AB$114)</f>
        <v>-0.78744592752561449</v>
      </c>
      <c r="AH10" s="11"/>
      <c r="AI10" s="11">
        <f>(Opti_Medias__30_INS[[#This Row],[All: Perfect Profit Correlation]]-AD$114) /ABS(AD$114)</f>
        <v>-0.35038430907452306</v>
      </c>
      <c r="AJ10" s="11">
        <f>(Opti_Medias__30_INS[[#This Row],[All: Robustness Index]]-AE$114) /ABS(AE$114)</f>
        <v>-0.47364026858985664</v>
      </c>
      <c r="AK10" s="11">
        <f>SUM(Opti_Medias__30_INS[[#This Row],[VAR TS Index]:[VAR Robustness Index]])</f>
        <v>-1.8744403448104294</v>
      </c>
      <c r="AL10" s="11">
        <f>Opti_Medias__30_INS[[#This Row],[SUMA]]-Opti_Medias__30_INS[[#This Row],[VAR Robustness Index]]</f>
        <v>-1.4008000762205728</v>
      </c>
    </row>
    <row r="11" spans="1:38" x14ac:dyDescent="0.25">
      <c r="A11" s="82" t="s">
        <v>55</v>
      </c>
      <c r="B11" s="83">
        <v>21</v>
      </c>
      <c r="C11" s="83">
        <v>8</v>
      </c>
      <c r="D11" s="83">
        <v>336</v>
      </c>
      <c r="E11" s="84">
        <v>196030</v>
      </c>
      <c r="F11" s="84">
        <v>1475690</v>
      </c>
      <c r="G11" s="84">
        <v>-1279660</v>
      </c>
      <c r="H11" s="83">
        <v>3514</v>
      </c>
      <c r="I11" s="82">
        <v>35.37279453614115</v>
      </c>
      <c r="J11" s="83">
        <v>1243</v>
      </c>
      <c r="K11" s="83">
        <v>2257</v>
      </c>
      <c r="L11" s="85">
        <v>17090</v>
      </c>
      <c r="M11" s="85">
        <v>-4210</v>
      </c>
      <c r="N11" s="85">
        <v>1187.2003173828125</v>
      </c>
      <c r="O11" s="85">
        <v>-566.973876953125</v>
      </c>
      <c r="P11" s="82">
        <v>2.0939241923503391</v>
      </c>
      <c r="Q11" s="86">
        <v>55.785429709732497</v>
      </c>
      <c r="R11" s="83">
        <v>11</v>
      </c>
      <c r="S11" s="83">
        <v>13</v>
      </c>
      <c r="T11" s="83">
        <v>73</v>
      </c>
      <c r="U11" s="83">
        <v>25</v>
      </c>
      <c r="V11" s="85">
        <v>-28055</v>
      </c>
      <c r="W11" s="82">
        <v>1.1531891283622211</v>
      </c>
      <c r="X11" s="83">
        <v>1</v>
      </c>
      <c r="Y11" s="85">
        <v>28055</v>
      </c>
      <c r="Z11" s="82">
        <v>698.73462840848333</v>
      </c>
      <c r="AA11" s="87">
        <v>8685.2714311174477</v>
      </c>
      <c r="AB11" s="82">
        <v>1.6823559224477389</v>
      </c>
      <c r="AC11" s="82">
        <v>1.811095559719706</v>
      </c>
      <c r="AD11" s="88">
        <v>188578.63687436245</v>
      </c>
      <c r="AE11" s="82">
        <v>61.860441680839493</v>
      </c>
      <c r="AF11" s="11">
        <f>(Opti_Medias__30_INS[[#This Row],[All: TS Index]]-AA$114) /ABS(AA$114)</f>
        <v>-0.24754219191084745</v>
      </c>
      <c r="AG11" s="11">
        <f>(Opti_Medias__30_INS[[#This Row],[All: Expectancy Score]]-AB$114) /ABS(AB$114)</f>
        <v>-0.72903303180109924</v>
      </c>
      <c r="AH11" s="11"/>
      <c r="AI11" s="11">
        <f>(Opti_Medias__30_INS[[#This Row],[All: Perfect Profit Correlation]]-AD$114) /ABS(AD$114)</f>
        <v>-0.35041662645526533</v>
      </c>
      <c r="AJ11" s="11">
        <f>(Opti_Medias__30_INS[[#This Row],[All: Robustness Index]]-AE$114) /ABS(AE$114)</f>
        <v>-0.56769293263299281</v>
      </c>
      <c r="AK11" s="11">
        <f>SUM(Opti_Medias__30_INS[[#This Row],[VAR TS Index]:[VAR Robustness Index]])</f>
        <v>-1.8946847828002049</v>
      </c>
      <c r="AL11" s="11">
        <f>Opti_Medias__30_INS[[#This Row],[SUMA]]-Opti_Medias__30_INS[[#This Row],[VAR Robustness Index]]</f>
        <v>-1.3269918501672122</v>
      </c>
    </row>
    <row r="12" spans="1:38" x14ac:dyDescent="0.25">
      <c r="A12" s="11"/>
      <c r="B12" s="17">
        <v>20</v>
      </c>
      <c r="C12" s="17">
        <v>11</v>
      </c>
      <c r="D12" s="17">
        <v>470</v>
      </c>
      <c r="E12" s="10">
        <v>157150</v>
      </c>
      <c r="F12" s="10">
        <v>1495070</v>
      </c>
      <c r="G12" s="10">
        <v>-1337920</v>
      </c>
      <c r="H12" s="17">
        <v>3656</v>
      </c>
      <c r="I12" s="11">
        <v>44.173960612691467</v>
      </c>
      <c r="J12" s="17">
        <v>1615</v>
      </c>
      <c r="K12" s="17">
        <v>2022</v>
      </c>
      <c r="L12" s="12">
        <v>16440</v>
      </c>
      <c r="M12" s="12">
        <v>-4790</v>
      </c>
      <c r="N12" s="12">
        <v>925.73992919921875</v>
      </c>
      <c r="O12" s="12">
        <v>-661.6815185546875</v>
      </c>
      <c r="P12" s="11">
        <v>1.3990717637411341</v>
      </c>
      <c r="Q12" s="13">
        <v>42.98413566739606</v>
      </c>
      <c r="R12" s="17">
        <v>9</v>
      </c>
      <c r="S12" s="17">
        <v>12</v>
      </c>
      <c r="T12" s="17">
        <v>57</v>
      </c>
      <c r="U12" s="17">
        <v>27</v>
      </c>
      <c r="V12" s="12">
        <v>-46845</v>
      </c>
      <c r="W12" s="11">
        <v>1.1174584429562311</v>
      </c>
      <c r="X12" s="17">
        <v>1</v>
      </c>
      <c r="Y12" s="12">
        <v>46845</v>
      </c>
      <c r="Z12" s="11">
        <v>335.46803287437291</v>
      </c>
      <c r="AA12" s="14">
        <v>5417.8087309211232</v>
      </c>
      <c r="AB12" s="11">
        <v>1.9538470998664781</v>
      </c>
      <c r="AC12" s="11">
        <v>1.497008345925412</v>
      </c>
      <c r="AD12" s="15">
        <v>147923.41745273961</v>
      </c>
      <c r="AE12" s="11">
        <v>115.28000349603751</v>
      </c>
      <c r="AF12" s="11">
        <f>(Opti_Medias__30_INS[[#This Row],[All: TS Index]]-AA$114) /ABS(AA$114)</f>
        <v>-0.53062232831211853</v>
      </c>
      <c r="AG12" s="11">
        <f>(Opti_Medias__30_INS[[#This Row],[All: Expectancy Score]]-AB$114) /ABS(AB$114)</f>
        <v>-0.68530557778478607</v>
      </c>
      <c r="AH12" s="11"/>
      <c r="AI12" s="11">
        <f>(Opti_Medias__30_INS[[#This Row],[All: Perfect Profit Correlation]]-AD$114) /ABS(AD$114)</f>
        <v>-0.49045875965667207</v>
      </c>
      <c r="AJ12" s="11">
        <f>(Opti_Medias__30_INS[[#This Row],[All: Robustness Index]]-AE$114) /ABS(AE$114)</f>
        <v>-0.19437432253467885</v>
      </c>
      <c r="AK12" s="11">
        <f>SUM(Opti_Medias__30_INS[[#This Row],[VAR TS Index]:[VAR Robustness Index]])</f>
        <v>-1.9007609882882555</v>
      </c>
      <c r="AL12" s="11">
        <f>Opti_Medias__30_INS[[#This Row],[SUMA]]-Opti_Medias__30_INS[[#This Row],[VAR Robustness Index]]</f>
        <v>-1.7063866657535767</v>
      </c>
    </row>
    <row r="13" spans="1:38" x14ac:dyDescent="0.25">
      <c r="A13" s="11"/>
      <c r="B13" s="17">
        <v>2</v>
      </c>
      <c r="C13" s="17">
        <v>8</v>
      </c>
      <c r="D13" s="17">
        <v>317</v>
      </c>
      <c r="E13" s="10">
        <v>291160</v>
      </c>
      <c r="F13" s="10">
        <v>1703330</v>
      </c>
      <c r="G13" s="10">
        <v>-1412170</v>
      </c>
      <c r="H13" s="17">
        <v>3952</v>
      </c>
      <c r="I13" s="11">
        <v>41.928137651821864</v>
      </c>
      <c r="J13" s="17">
        <v>1657</v>
      </c>
      <c r="K13" s="17">
        <v>2279</v>
      </c>
      <c r="L13" s="12">
        <v>19180</v>
      </c>
      <c r="M13" s="12">
        <v>-6410</v>
      </c>
      <c r="N13" s="12">
        <v>1027.960205078125</v>
      </c>
      <c r="O13" s="12">
        <v>-619.64459228515625</v>
      </c>
      <c r="P13" s="11">
        <v>1.6589513051137299</v>
      </c>
      <c r="Q13" s="13">
        <v>73.674089068825907</v>
      </c>
      <c r="R13" s="17">
        <v>8</v>
      </c>
      <c r="S13" s="17">
        <v>15</v>
      </c>
      <c r="T13" s="17">
        <v>53</v>
      </c>
      <c r="U13" s="17">
        <v>26</v>
      </c>
      <c r="V13" s="12">
        <v>-48335</v>
      </c>
      <c r="W13" s="11">
        <v>1.2061791427377719</v>
      </c>
      <c r="X13" s="17">
        <v>1</v>
      </c>
      <c r="Y13" s="12">
        <v>48335</v>
      </c>
      <c r="Z13" s="11">
        <v>602.37922830247237</v>
      </c>
      <c r="AA13" s="14">
        <v>9981.423812971967</v>
      </c>
      <c r="AB13" s="11">
        <v>0.28639483880711603</v>
      </c>
      <c r="AC13" s="11">
        <v>2.7889671506733751</v>
      </c>
      <c r="AD13" s="15">
        <v>280841.08692693349</v>
      </c>
      <c r="AE13" s="11">
        <v>29.491641608254941</v>
      </c>
      <c r="AF13" s="11">
        <f>(Opti_Medias__30_INS[[#This Row],[All: TS Index]]-AA$114) /ABS(AA$114)</f>
        <v>-0.13524863978241344</v>
      </c>
      <c r="AG13" s="11">
        <f>(Opti_Medias__30_INS[[#This Row],[All: Expectancy Score]]-AB$114) /ABS(AB$114)</f>
        <v>-0.95387210271981682</v>
      </c>
      <c r="AH13" s="11"/>
      <c r="AI13" s="11">
        <f>(Opti_Medias__30_INS[[#This Row],[All: Perfect Profit Correlation]]-AD$114) /ABS(AD$114)</f>
        <v>-3.2606748570844432E-2</v>
      </c>
      <c r="AJ13" s="11">
        <f>(Opti_Medias__30_INS[[#This Row],[All: Robustness Index]]-AE$114) /ABS(AE$114)</f>
        <v>-0.79389986962455716</v>
      </c>
      <c r="AK13" s="11">
        <f>SUM(Opti_Medias__30_INS[[#This Row],[VAR TS Index]:[VAR Robustness Index]])</f>
        <v>-1.9156273606976317</v>
      </c>
      <c r="AL13" s="11">
        <f>Opti_Medias__30_INS[[#This Row],[SUMA]]-Opti_Medias__30_INS[[#This Row],[VAR Robustness Index]]</f>
        <v>-1.1217274910730746</v>
      </c>
    </row>
    <row r="14" spans="1:38" x14ac:dyDescent="0.25">
      <c r="A14" s="11"/>
      <c r="B14" s="17">
        <v>23</v>
      </c>
      <c r="C14" s="17">
        <v>8</v>
      </c>
      <c r="D14" s="17">
        <v>338</v>
      </c>
      <c r="E14" s="10">
        <v>184050</v>
      </c>
      <c r="F14" s="10">
        <v>1462570</v>
      </c>
      <c r="G14" s="10">
        <v>-1278520</v>
      </c>
      <c r="H14" s="17">
        <v>3504</v>
      </c>
      <c r="I14" s="11">
        <v>34.874429223744293</v>
      </c>
      <c r="J14" s="17">
        <v>1222</v>
      </c>
      <c r="K14" s="17">
        <v>2272</v>
      </c>
      <c r="L14" s="12">
        <v>17090</v>
      </c>
      <c r="M14" s="12">
        <v>-4100</v>
      </c>
      <c r="N14" s="12">
        <v>1196.8658447265625</v>
      </c>
      <c r="O14" s="12">
        <v>-562.7288818359375</v>
      </c>
      <c r="P14" s="11">
        <v>2.1268960655115379</v>
      </c>
      <c r="Q14" s="13">
        <v>52.525684931506852</v>
      </c>
      <c r="R14" s="17">
        <v>11</v>
      </c>
      <c r="S14" s="17">
        <v>12</v>
      </c>
      <c r="T14" s="17">
        <v>74</v>
      </c>
      <c r="U14" s="17">
        <v>25</v>
      </c>
      <c r="V14" s="12">
        <v>-27435</v>
      </c>
      <c r="W14" s="11">
        <v>1.1439555110596631</v>
      </c>
      <c r="X14" s="17">
        <v>1</v>
      </c>
      <c r="Y14" s="12">
        <v>27435</v>
      </c>
      <c r="Z14" s="11">
        <v>670.85839256424276</v>
      </c>
      <c r="AA14" s="14">
        <v>8197.8895571350458</v>
      </c>
      <c r="AB14" s="11">
        <v>1.394628241441112</v>
      </c>
      <c r="AC14" s="11">
        <v>1.6903377666437349</v>
      </c>
      <c r="AD14" s="15">
        <v>177499.99734904568</v>
      </c>
      <c r="AE14" s="11">
        <v>76.003957295547892</v>
      </c>
      <c r="AF14" s="11">
        <f>(Opti_Medias__30_INS[[#This Row],[All: TS Index]]-AA$114) /ABS(AA$114)</f>
        <v>-0.28976704343192394</v>
      </c>
      <c r="AG14" s="11">
        <f>(Opti_Medias__30_INS[[#This Row],[All: Expectancy Score]]-AB$114) /ABS(AB$114)</f>
        <v>-0.77537560197247646</v>
      </c>
      <c r="AH14" s="11"/>
      <c r="AI14" s="11">
        <f>(Opti_Medias__30_INS[[#This Row],[All: Perfect Profit Correlation]]-AD$114) /ABS(AD$114)</f>
        <v>-0.38857842546082216</v>
      </c>
      <c r="AJ14" s="11">
        <f>(Opti_Medias__30_INS[[#This Row],[All: Robustness Index]]-AE$114) /ABS(AE$114)</f>
        <v>-0.46885203218808214</v>
      </c>
      <c r="AK14" s="11">
        <f>SUM(Opti_Medias__30_INS[[#This Row],[VAR TS Index]:[VAR Robustness Index]])</f>
        <v>-1.9225731030533049</v>
      </c>
      <c r="AL14" s="11">
        <f>Opti_Medias__30_INS[[#This Row],[SUMA]]-Opti_Medias__30_INS[[#This Row],[VAR Robustness Index]]</f>
        <v>-1.4537210708652228</v>
      </c>
    </row>
    <row r="15" spans="1:38" x14ac:dyDescent="0.25">
      <c r="A15" s="11"/>
      <c r="B15" s="17">
        <v>34</v>
      </c>
      <c r="C15" s="17">
        <v>11</v>
      </c>
      <c r="D15" s="17">
        <v>484</v>
      </c>
      <c r="E15" s="10">
        <v>192420</v>
      </c>
      <c r="F15" s="10">
        <v>1480820</v>
      </c>
      <c r="G15" s="10">
        <v>-1288400</v>
      </c>
      <c r="H15" s="17">
        <v>3610</v>
      </c>
      <c r="I15" s="11">
        <v>37.617728531855953</v>
      </c>
      <c r="J15" s="17">
        <v>1358</v>
      </c>
      <c r="K15" s="17">
        <v>2233</v>
      </c>
      <c r="L15" s="12">
        <v>18960</v>
      </c>
      <c r="M15" s="12">
        <v>-4300</v>
      </c>
      <c r="N15" s="12">
        <v>1090.4417724609375</v>
      </c>
      <c r="O15" s="12">
        <v>-576.98162841796875</v>
      </c>
      <c r="P15" s="11">
        <v>1.889907266979765</v>
      </c>
      <c r="Q15" s="13">
        <v>53.301939058171747</v>
      </c>
      <c r="R15" s="17">
        <v>9</v>
      </c>
      <c r="S15" s="17">
        <v>15</v>
      </c>
      <c r="T15" s="17">
        <v>68</v>
      </c>
      <c r="U15" s="17">
        <v>24</v>
      </c>
      <c r="V15" s="12">
        <v>-35115</v>
      </c>
      <c r="W15" s="11">
        <v>1.1493480285625579</v>
      </c>
      <c r="X15" s="17">
        <v>1</v>
      </c>
      <c r="Y15" s="12">
        <v>35115</v>
      </c>
      <c r="Z15" s="11">
        <v>547.9709525843657</v>
      </c>
      <c r="AA15" s="14">
        <v>7441.4455360956854</v>
      </c>
      <c r="AB15" s="11">
        <v>9.1012729345456997E-2</v>
      </c>
      <c r="AC15" s="11">
        <v>1.795011255804964</v>
      </c>
      <c r="AD15" s="15">
        <v>183871.5052673569</v>
      </c>
      <c r="AE15" s="11">
        <v>106.03342216901936</v>
      </c>
      <c r="AF15" s="11">
        <f>(Opti_Medias__30_INS[[#This Row],[All: TS Index]]-AA$114) /ABS(AA$114)</f>
        <v>-0.35530238271609754</v>
      </c>
      <c r="AG15" s="11">
        <f>(Opti_Medias__30_INS[[#This Row],[All: Expectancy Score]]-AB$114) /ABS(AB$114)</f>
        <v>-0.98534112609039082</v>
      </c>
      <c r="AH15" s="11"/>
      <c r="AI15" s="11">
        <f>(Opti_Medias__30_INS[[#This Row],[All: Perfect Profit Correlation]]-AD$114) /ABS(AD$114)</f>
        <v>-0.36663094680288161</v>
      </c>
      <c r="AJ15" s="11">
        <f>(Opti_Medias__30_INS[[#This Row],[All: Robustness Index]]-AE$114) /ABS(AE$114)</f>
        <v>-0.25899336417162011</v>
      </c>
      <c r="AK15" s="11">
        <f>SUM(Opti_Medias__30_INS[[#This Row],[VAR TS Index]:[VAR Robustness Index]])</f>
        <v>-1.96626781978099</v>
      </c>
      <c r="AL15" s="11">
        <f>Opti_Medias__30_INS[[#This Row],[SUMA]]-Opti_Medias__30_INS[[#This Row],[VAR Robustness Index]]</f>
        <v>-1.7072744556093697</v>
      </c>
    </row>
    <row r="16" spans="1:38" x14ac:dyDescent="0.25">
      <c r="A16" s="11"/>
      <c r="B16" s="17">
        <v>29</v>
      </c>
      <c r="C16" s="17">
        <v>8</v>
      </c>
      <c r="D16" s="17">
        <v>344</v>
      </c>
      <c r="E16" s="10">
        <v>197910</v>
      </c>
      <c r="F16" s="10">
        <v>1480320</v>
      </c>
      <c r="G16" s="10">
        <v>-1282410</v>
      </c>
      <c r="H16" s="17">
        <v>3586</v>
      </c>
      <c r="I16" s="11">
        <v>33.937534857780257</v>
      </c>
      <c r="J16" s="17">
        <v>1217</v>
      </c>
      <c r="K16" s="17">
        <v>2358</v>
      </c>
      <c r="L16" s="12">
        <v>17090</v>
      </c>
      <c r="M16" s="12">
        <v>-4100</v>
      </c>
      <c r="N16" s="12">
        <v>1216.3681640625</v>
      </c>
      <c r="O16" s="12">
        <v>-543.85498046875</v>
      </c>
      <c r="P16" s="11">
        <v>2.2365671139282561</v>
      </c>
      <c r="Q16" s="13">
        <v>55.18962632459565</v>
      </c>
      <c r="R16" s="17">
        <v>11</v>
      </c>
      <c r="S16" s="17">
        <v>11</v>
      </c>
      <c r="T16" s="17">
        <v>75</v>
      </c>
      <c r="U16" s="17">
        <v>23</v>
      </c>
      <c r="V16" s="12">
        <v>-25925</v>
      </c>
      <c r="W16" s="11">
        <v>1.1543266194118891</v>
      </c>
      <c r="X16" s="17">
        <v>1</v>
      </c>
      <c r="Y16" s="12">
        <v>25925</v>
      </c>
      <c r="Z16" s="11">
        <v>763.39440694310508</v>
      </c>
      <c r="AA16" s="14">
        <v>9290.509932497589</v>
      </c>
      <c r="AB16" s="11">
        <v>1.5896981578651559</v>
      </c>
      <c r="AC16" s="11">
        <v>1.8188554185911689</v>
      </c>
      <c r="AD16" s="15">
        <v>191676.25018582182</v>
      </c>
      <c r="AE16" s="11">
        <v>44.248002013823182</v>
      </c>
      <c r="AF16" s="11">
        <f>(Opti_Medias__30_INS[[#This Row],[All: TS Index]]-AA$114) /ABS(AA$114)</f>
        <v>-0.19510670503728744</v>
      </c>
      <c r="AG16" s="11">
        <f>(Opti_Medias__30_INS[[#This Row],[All: Expectancy Score]]-AB$114) /ABS(AB$114)</f>
        <v>-0.74395686166018193</v>
      </c>
      <c r="AH16" s="11"/>
      <c r="AI16" s="11">
        <f>(Opti_Medias__30_INS[[#This Row],[All: Perfect Profit Correlation]]-AD$114) /ABS(AD$114)</f>
        <v>-0.33974649892573278</v>
      </c>
      <c r="AJ16" s="11">
        <f>(Opti_Medias__30_INS[[#This Row],[All: Robustness Index]]-AE$114) /ABS(AE$114)</f>
        <v>-0.69077614922089681</v>
      </c>
      <c r="AK16" s="11">
        <f>SUM(Opti_Medias__30_INS[[#This Row],[VAR TS Index]:[VAR Robustness Index]])</f>
        <v>-1.969586214844099</v>
      </c>
      <c r="AL16" s="11">
        <f>Opti_Medias__30_INS[[#This Row],[SUMA]]-Opti_Medias__30_INS[[#This Row],[VAR Robustness Index]]</f>
        <v>-1.2788100656232022</v>
      </c>
    </row>
    <row r="17" spans="1:38" x14ac:dyDescent="0.25">
      <c r="A17" s="11"/>
      <c r="B17" s="17">
        <v>3</v>
      </c>
      <c r="C17" s="17">
        <v>8</v>
      </c>
      <c r="D17" s="17">
        <v>318</v>
      </c>
      <c r="E17" s="10">
        <v>259490</v>
      </c>
      <c r="F17" s="10">
        <v>1679770</v>
      </c>
      <c r="G17" s="10">
        <v>-1420280</v>
      </c>
      <c r="H17" s="17">
        <v>3954</v>
      </c>
      <c r="I17" s="11">
        <v>40.591805766312596</v>
      </c>
      <c r="J17" s="17">
        <v>1605</v>
      </c>
      <c r="K17" s="17">
        <v>2332</v>
      </c>
      <c r="L17" s="12">
        <v>18060</v>
      </c>
      <c r="M17" s="12">
        <v>-7100</v>
      </c>
      <c r="N17" s="12">
        <v>1046.585693359375</v>
      </c>
      <c r="O17" s="12">
        <v>-609.0394287109375</v>
      </c>
      <c r="P17" s="11">
        <v>1.7184202598746789</v>
      </c>
      <c r="Q17" s="13">
        <v>65.627212948912501</v>
      </c>
      <c r="R17" s="17">
        <v>7</v>
      </c>
      <c r="S17" s="17">
        <v>15</v>
      </c>
      <c r="T17" s="17">
        <v>54</v>
      </c>
      <c r="U17" s="17">
        <v>26</v>
      </c>
      <c r="V17" s="12">
        <v>-53635</v>
      </c>
      <c r="W17" s="11">
        <v>1.182703410595094</v>
      </c>
      <c r="X17" s="17">
        <v>1</v>
      </c>
      <c r="Y17" s="12">
        <v>53635</v>
      </c>
      <c r="Z17" s="11">
        <v>483.80721543768061</v>
      </c>
      <c r="AA17" s="14">
        <v>7765.1058077747739</v>
      </c>
      <c r="AB17" s="11">
        <v>1.5280097655027489</v>
      </c>
      <c r="AC17" s="11">
        <v>2.4697220634802219</v>
      </c>
      <c r="AD17" s="15">
        <v>249285.80557918843</v>
      </c>
      <c r="AE17" s="11">
        <v>34.565718802114304</v>
      </c>
      <c r="AF17" s="11">
        <f>(Opti_Medias__30_INS[[#This Row],[All: TS Index]]-AA$114) /ABS(AA$114)</f>
        <v>-0.32726172785289626</v>
      </c>
      <c r="AG17" s="11">
        <f>(Opti_Medias__30_INS[[#This Row],[All: Expectancy Score]]-AB$114) /ABS(AB$114)</f>
        <v>-0.75389264066417849</v>
      </c>
      <c r="AH17" s="11"/>
      <c r="AI17" s="11">
        <f>(Opti_Medias__30_INS[[#This Row],[All: Perfect Profit Correlation]]-AD$114) /ABS(AD$114)</f>
        <v>-0.1413029744571192</v>
      </c>
      <c r="AJ17" s="11">
        <f>(Opti_Medias__30_INS[[#This Row],[All: Robustness Index]]-AE$114) /ABS(AE$114)</f>
        <v>-0.7584400608732953</v>
      </c>
      <c r="AK17" s="11">
        <f>SUM(Opti_Medias__30_INS[[#This Row],[VAR TS Index]:[VAR Robustness Index]])</f>
        <v>-1.9808974038474894</v>
      </c>
      <c r="AL17" s="11">
        <f>Opti_Medias__30_INS[[#This Row],[SUMA]]-Opti_Medias__30_INS[[#This Row],[VAR Robustness Index]]</f>
        <v>-1.2224573429741941</v>
      </c>
    </row>
    <row r="18" spans="1:38" x14ac:dyDescent="0.25">
      <c r="A18" s="11"/>
      <c r="B18" s="17">
        <v>35</v>
      </c>
      <c r="C18" s="17">
        <v>1</v>
      </c>
      <c r="D18" s="17">
        <v>35</v>
      </c>
      <c r="E18" s="10">
        <v>201560</v>
      </c>
      <c r="F18" s="10">
        <v>1520880</v>
      </c>
      <c r="G18" s="10">
        <v>-1319320</v>
      </c>
      <c r="H18" s="17">
        <v>3871</v>
      </c>
      <c r="I18" s="11">
        <v>34.461379488504264</v>
      </c>
      <c r="J18" s="17">
        <v>1334</v>
      </c>
      <c r="K18" s="17">
        <v>2518</v>
      </c>
      <c r="L18" s="12">
        <v>18070</v>
      </c>
      <c r="M18" s="12">
        <v>-4450</v>
      </c>
      <c r="N18" s="12">
        <v>1140.0899658203125</v>
      </c>
      <c r="O18" s="12">
        <v>-523.95550537109375</v>
      </c>
      <c r="P18" s="11">
        <v>2.1759289751385258</v>
      </c>
      <c r="Q18" s="13">
        <v>52.069232756393696</v>
      </c>
      <c r="R18" s="17">
        <v>7</v>
      </c>
      <c r="S18" s="17">
        <v>17</v>
      </c>
      <c r="T18" s="17">
        <v>68</v>
      </c>
      <c r="U18" s="17">
        <v>22</v>
      </c>
      <c r="V18" s="12">
        <v>-32915</v>
      </c>
      <c r="W18" s="11">
        <v>1.1527756723160421</v>
      </c>
      <c r="X18" s="17">
        <v>1</v>
      </c>
      <c r="Y18" s="12">
        <v>32915</v>
      </c>
      <c r="Z18" s="11">
        <v>612.36518304724291</v>
      </c>
      <c r="AA18" s="14">
        <v>8168.9515418502206</v>
      </c>
      <c r="AB18" s="11">
        <v>2.3530436713791198</v>
      </c>
      <c r="AC18" s="11">
        <v>1.8621131354063281</v>
      </c>
      <c r="AD18" s="15">
        <v>195209.27683935885</v>
      </c>
      <c r="AE18" s="11">
        <v>36.91756168196919</v>
      </c>
      <c r="AF18" s="11">
        <f>(Opti_Medias__30_INS[[#This Row],[All: TS Index]]-AA$114) /ABS(AA$114)</f>
        <v>-0.29227411943114445</v>
      </c>
      <c r="AG18" s="11">
        <f>(Opti_Medias__30_INS[[#This Row],[All: Expectancy Score]]-AB$114) /ABS(AB$114)</f>
        <v>-0.62100938263673688</v>
      </c>
      <c r="AH18" s="11"/>
      <c r="AI18" s="11">
        <f>(Opti_Medias__30_INS[[#This Row],[All: Perfect Profit Correlation]]-AD$114) /ABS(AD$114)</f>
        <v>-0.32757653412766791</v>
      </c>
      <c r="AJ18" s="11">
        <f>(Opti_Medias__30_INS[[#This Row],[All: Robustness Index]]-AE$114) /ABS(AE$114)</f>
        <v>-0.74200438290733994</v>
      </c>
      <c r="AK18" s="11">
        <f>SUM(Opti_Medias__30_INS[[#This Row],[VAR TS Index]:[VAR Robustness Index]])</f>
        <v>-1.9828644191028892</v>
      </c>
      <c r="AL18" s="11">
        <f>Opti_Medias__30_INS[[#This Row],[SUMA]]-Opti_Medias__30_INS[[#This Row],[VAR Robustness Index]]</f>
        <v>-1.2408600361955493</v>
      </c>
    </row>
    <row r="19" spans="1:38" x14ac:dyDescent="0.25">
      <c r="A19" s="81" t="s">
        <v>65</v>
      </c>
      <c r="B19" s="89">
        <v>6</v>
      </c>
      <c r="C19" s="89">
        <v>8</v>
      </c>
      <c r="D19" s="89">
        <v>321</v>
      </c>
      <c r="E19" s="90">
        <v>286270</v>
      </c>
      <c r="F19" s="90">
        <v>1672490</v>
      </c>
      <c r="G19" s="90">
        <v>-1386220</v>
      </c>
      <c r="H19" s="89">
        <v>3934</v>
      </c>
      <c r="I19" s="81">
        <v>39.755973563802748</v>
      </c>
      <c r="J19" s="89">
        <v>1564</v>
      </c>
      <c r="K19" s="89">
        <v>2356</v>
      </c>
      <c r="L19" s="91">
        <v>17740</v>
      </c>
      <c r="M19" s="91">
        <v>-6950</v>
      </c>
      <c r="N19" s="91">
        <v>1069.3670654296875</v>
      </c>
      <c r="O19" s="91">
        <v>-588.37860107421875</v>
      </c>
      <c r="P19" s="81">
        <v>1.81748123313342</v>
      </c>
      <c r="Q19" s="92">
        <v>72.768174885612609</v>
      </c>
      <c r="R19" s="89">
        <v>8</v>
      </c>
      <c r="S19" s="89">
        <v>17</v>
      </c>
      <c r="T19" s="89">
        <v>56</v>
      </c>
      <c r="U19" s="89">
        <v>25</v>
      </c>
      <c r="V19" s="91">
        <v>-57875</v>
      </c>
      <c r="W19" s="81">
        <v>1.2065112319833791</v>
      </c>
      <c r="X19" s="89">
        <v>1</v>
      </c>
      <c r="Y19" s="91">
        <v>57875</v>
      </c>
      <c r="Z19" s="81">
        <v>494.63498920086391</v>
      </c>
      <c r="AA19" s="93">
        <v>7736.0912311015118</v>
      </c>
      <c r="AB19" s="81">
        <v>2.4220206877795971</v>
      </c>
      <c r="AC19" s="81">
        <v>2.7253837258467222</v>
      </c>
      <c r="AD19" s="94">
        <v>274445.80617888464</v>
      </c>
      <c r="AE19" s="81">
        <v>-2.1599956450971058</v>
      </c>
      <c r="AF19" s="11">
        <f>(Opti_Medias__30_INS[[#This Row],[All: TS Index]]-AA$114) /ABS(AA$114)</f>
        <v>-0.32977543683013988</v>
      </c>
      <c r="AG19" s="11">
        <f>(Opti_Medias__30_INS[[#This Row],[All: Expectancy Score]]-AB$114) /ABS(AB$114)</f>
        <v>-0.60989966871707513</v>
      </c>
      <c r="AH19" s="11"/>
      <c r="AI19" s="11">
        <f>(Opti_Medias__30_INS[[#This Row],[All: Perfect Profit Correlation]]-AD$114) /ABS(AD$114)</f>
        <v>-5.4636115798962562E-2</v>
      </c>
      <c r="AJ19" s="11">
        <f>(Opti_Medias__30_INS[[#This Row],[All: Robustness Index]]-AE$114) /ABS(AE$114)</f>
        <v>-1.0150949679227179</v>
      </c>
      <c r="AK19" s="11">
        <f>SUM(Opti_Medias__30_INS[[#This Row],[VAR TS Index]:[VAR Robustness Index]])</f>
        <v>-2.0094061892688955</v>
      </c>
      <c r="AL19" s="11">
        <f>Opti_Medias__30_INS[[#This Row],[SUMA]]-Opti_Medias__30_INS[[#This Row],[VAR Robustness Index]]</f>
        <v>-0.99431122134617755</v>
      </c>
    </row>
    <row r="20" spans="1:38" x14ac:dyDescent="0.25">
      <c r="A20" s="11"/>
      <c r="B20" s="17">
        <v>14</v>
      </c>
      <c r="C20" s="17">
        <v>8</v>
      </c>
      <c r="D20" s="17">
        <v>329</v>
      </c>
      <c r="E20" s="10">
        <v>199510</v>
      </c>
      <c r="F20" s="10">
        <v>1532650</v>
      </c>
      <c r="G20" s="10">
        <v>-1333140</v>
      </c>
      <c r="H20" s="17">
        <v>3668</v>
      </c>
      <c r="I20" s="11">
        <v>36.832061068702288</v>
      </c>
      <c r="J20" s="17">
        <v>1351</v>
      </c>
      <c r="K20" s="17">
        <v>2300</v>
      </c>
      <c r="L20" s="12">
        <v>17820</v>
      </c>
      <c r="M20" s="12">
        <v>-5140</v>
      </c>
      <c r="N20" s="12">
        <v>1134.4559326171875</v>
      </c>
      <c r="O20" s="12">
        <v>-579.6260986328125</v>
      </c>
      <c r="P20" s="11">
        <v>1.957220241278083</v>
      </c>
      <c r="Q20" s="13">
        <v>54.392039258451469</v>
      </c>
      <c r="R20" s="17">
        <v>6</v>
      </c>
      <c r="S20" s="17">
        <v>14</v>
      </c>
      <c r="T20" s="17">
        <v>66</v>
      </c>
      <c r="U20" s="17">
        <v>25</v>
      </c>
      <c r="V20" s="12">
        <v>-31635</v>
      </c>
      <c r="W20" s="11">
        <v>1.14965419985898</v>
      </c>
      <c r="X20" s="17">
        <v>1</v>
      </c>
      <c r="Y20" s="12">
        <v>31635</v>
      </c>
      <c r="Z20" s="11">
        <v>630.662241188557</v>
      </c>
      <c r="AA20" s="14">
        <v>8520.2468784574048</v>
      </c>
      <c r="AB20" s="11">
        <v>1.9803948124440309</v>
      </c>
      <c r="AC20" s="11">
        <v>1.8560988195166011</v>
      </c>
      <c r="AD20" s="15">
        <v>192150.44548740759</v>
      </c>
      <c r="AE20" s="11">
        <v>38.349489550203067</v>
      </c>
      <c r="AF20" s="11">
        <f>(Opti_Medias__30_INS[[#This Row],[All: TS Index]]-AA$114) /ABS(AA$114)</f>
        <v>-0.26183927107069732</v>
      </c>
      <c r="AG20" s="11">
        <f>(Opti_Medias__30_INS[[#This Row],[All: Expectancy Score]]-AB$114) /ABS(AB$114)</f>
        <v>-0.6810296971023625</v>
      </c>
      <c r="AH20" s="11"/>
      <c r="AI20" s="11">
        <f>(Opti_Medias__30_INS[[#This Row],[All: Perfect Profit Correlation]]-AD$114) /ABS(AD$114)</f>
        <v>-0.33811307220874803</v>
      </c>
      <c r="AJ20" s="11">
        <f>(Opti_Medias__30_INS[[#This Row],[All: Robustness Index]]-AE$114) /ABS(AE$114)</f>
        <v>-0.73199746215835648</v>
      </c>
      <c r="AK20" s="11">
        <f>SUM(Opti_Medias__30_INS[[#This Row],[VAR TS Index]:[VAR Robustness Index]])</f>
        <v>-2.0129795025401642</v>
      </c>
      <c r="AL20" s="11">
        <f>Opti_Medias__30_INS[[#This Row],[SUMA]]-Opti_Medias__30_INS[[#This Row],[VAR Robustness Index]]</f>
        <v>-1.2809820403818077</v>
      </c>
    </row>
    <row r="21" spans="1:38" x14ac:dyDescent="0.25">
      <c r="A21" s="11"/>
      <c r="B21" s="17">
        <v>19</v>
      </c>
      <c r="C21" s="17">
        <v>8</v>
      </c>
      <c r="D21" s="17">
        <v>334</v>
      </c>
      <c r="E21" s="10">
        <v>212770</v>
      </c>
      <c r="F21" s="10">
        <v>1491400</v>
      </c>
      <c r="G21" s="10">
        <v>-1278630</v>
      </c>
      <c r="H21" s="17">
        <v>3552</v>
      </c>
      <c r="I21" s="11">
        <v>35.501126126126124</v>
      </c>
      <c r="J21" s="17">
        <v>1261</v>
      </c>
      <c r="K21" s="17">
        <v>2281</v>
      </c>
      <c r="L21" s="12">
        <v>16840</v>
      </c>
      <c r="M21" s="12">
        <v>-4570</v>
      </c>
      <c r="N21" s="12">
        <v>1182.712158203125</v>
      </c>
      <c r="O21" s="12">
        <v>-560.5567626953125</v>
      </c>
      <c r="P21" s="11">
        <v>2.1098883055416491</v>
      </c>
      <c r="Q21" s="13">
        <v>59.901463963963963</v>
      </c>
      <c r="R21" s="17">
        <v>6</v>
      </c>
      <c r="S21" s="17">
        <v>13</v>
      </c>
      <c r="T21" s="17">
        <v>71</v>
      </c>
      <c r="U21" s="17">
        <v>25</v>
      </c>
      <c r="V21" s="12">
        <v>-31425</v>
      </c>
      <c r="W21" s="11">
        <v>1.1664046674956789</v>
      </c>
      <c r="X21" s="17">
        <v>1</v>
      </c>
      <c r="Y21" s="12">
        <v>31425</v>
      </c>
      <c r="Z21" s="11">
        <v>677.07239459029438</v>
      </c>
      <c r="AA21" s="14">
        <v>8537.8828957836122</v>
      </c>
      <c r="AB21" s="11">
        <v>1.3161164344317671</v>
      </c>
      <c r="AC21" s="11">
        <v>1.975433159002056</v>
      </c>
      <c r="AD21" s="15">
        <v>204188.63111976022</v>
      </c>
      <c r="AE21" s="11">
        <v>46.750663476842583</v>
      </c>
      <c r="AF21" s="11">
        <f>(Opti_Medias__30_INS[[#This Row],[All: TS Index]]-AA$114) /ABS(AA$114)</f>
        <v>-0.26031135578952885</v>
      </c>
      <c r="AG21" s="11">
        <f>(Opti_Medias__30_INS[[#This Row],[All: Expectancy Score]]-AB$114) /ABS(AB$114)</f>
        <v>-0.78802102737222568</v>
      </c>
      <c r="AH21" s="11"/>
      <c r="AI21" s="11">
        <f>(Opti_Medias__30_INS[[#This Row],[All: Perfect Profit Correlation]]-AD$114) /ABS(AD$114)</f>
        <v>-0.29664599320111262</v>
      </c>
      <c r="AJ21" s="11">
        <f>(Opti_Medias__30_INS[[#This Row],[All: Robustness Index]]-AE$114) /ABS(AE$114)</f>
        <v>-0.67328648687298875</v>
      </c>
      <c r="AK21" s="11">
        <f>SUM(Opti_Medias__30_INS[[#This Row],[VAR TS Index]:[VAR Robustness Index]])</f>
        <v>-2.018264863235856</v>
      </c>
      <c r="AL21" s="11">
        <f>Opti_Medias__30_INS[[#This Row],[SUMA]]-Opti_Medias__30_INS[[#This Row],[VAR Robustness Index]]</f>
        <v>-1.3449783763628673</v>
      </c>
    </row>
    <row r="22" spans="1:38" x14ac:dyDescent="0.25">
      <c r="A22" s="11"/>
      <c r="B22" s="17">
        <v>19</v>
      </c>
      <c r="C22" s="17">
        <v>11</v>
      </c>
      <c r="D22" s="17">
        <v>469</v>
      </c>
      <c r="E22" s="10">
        <v>143090</v>
      </c>
      <c r="F22" s="10">
        <v>1491610</v>
      </c>
      <c r="G22" s="10">
        <v>-1348520</v>
      </c>
      <c r="H22" s="17">
        <v>3640</v>
      </c>
      <c r="I22" s="11">
        <v>43.928571428571431</v>
      </c>
      <c r="J22" s="17">
        <v>1599</v>
      </c>
      <c r="K22" s="17">
        <v>2019</v>
      </c>
      <c r="L22" s="12">
        <v>16410</v>
      </c>
      <c r="M22" s="12">
        <v>-4670</v>
      </c>
      <c r="N22" s="12">
        <v>932.83929443359375</v>
      </c>
      <c r="O22" s="12">
        <v>-667.914794921875</v>
      </c>
      <c r="P22" s="11">
        <v>1.3966441551017099</v>
      </c>
      <c r="Q22" s="13">
        <v>39.310439560439562</v>
      </c>
      <c r="R22" s="17">
        <v>9</v>
      </c>
      <c r="S22" s="17">
        <v>12</v>
      </c>
      <c r="T22" s="17">
        <v>57</v>
      </c>
      <c r="U22" s="17">
        <v>27</v>
      </c>
      <c r="V22" s="12">
        <v>-49905</v>
      </c>
      <c r="W22" s="11">
        <v>1.106108919407943</v>
      </c>
      <c r="X22" s="17">
        <v>1</v>
      </c>
      <c r="Y22" s="12">
        <v>49905</v>
      </c>
      <c r="Z22" s="11">
        <v>286.72477707644526</v>
      </c>
      <c r="AA22" s="14">
        <v>4584.7291854523592</v>
      </c>
      <c r="AB22" s="11">
        <v>0.65819969802115497</v>
      </c>
      <c r="AC22" s="11">
        <v>1.357996970642523</v>
      </c>
      <c r="AD22" s="15">
        <v>132493.6182063673</v>
      </c>
      <c r="AE22" s="11">
        <v>143.09375522728399</v>
      </c>
      <c r="AF22" s="11">
        <f>(Opti_Medias__30_INS[[#This Row],[All: TS Index]]-AA$114) /ABS(AA$114)</f>
        <v>-0.60279706847066328</v>
      </c>
      <c r="AG22" s="11">
        <f>(Opti_Medias__30_INS[[#This Row],[All: Expectancy Score]]-AB$114) /ABS(AB$114)</f>
        <v>-0.89398772622220501</v>
      </c>
      <c r="AH22" s="11"/>
      <c r="AI22" s="11">
        <f>(Opti_Medias__30_INS[[#This Row],[All: Perfect Profit Correlation]]-AD$114) /ABS(AD$114)</f>
        <v>-0.54360868805632512</v>
      </c>
      <c r="AJ22" s="11">
        <f>(Opti_Medias__30_INS[[#This Row],[All: Robustness Index]]-AE$114) /ABS(AE$114)</f>
        <v>0</v>
      </c>
      <c r="AK22" s="11">
        <f>SUM(Opti_Medias__30_INS[[#This Row],[VAR TS Index]:[VAR Robustness Index]])</f>
        <v>-2.0403934827491934</v>
      </c>
      <c r="AL22" s="11">
        <f>Opti_Medias__30_INS[[#This Row],[SUMA]]-Opti_Medias__30_INS[[#This Row],[VAR Robustness Index]]</f>
        <v>-2.0403934827491934</v>
      </c>
    </row>
    <row r="23" spans="1:38" x14ac:dyDescent="0.25">
      <c r="A23" s="11"/>
      <c r="B23" s="17">
        <v>15</v>
      </c>
      <c r="C23" s="17">
        <v>8</v>
      </c>
      <c r="D23" s="17">
        <v>330</v>
      </c>
      <c r="E23" s="10">
        <v>212020</v>
      </c>
      <c r="F23" s="10">
        <v>1518650</v>
      </c>
      <c r="G23" s="10">
        <v>-1306630</v>
      </c>
      <c r="H23" s="17">
        <v>3622</v>
      </c>
      <c r="I23" s="11">
        <v>36.250690226394255</v>
      </c>
      <c r="J23" s="17">
        <v>1313</v>
      </c>
      <c r="K23" s="17">
        <v>2288</v>
      </c>
      <c r="L23" s="12">
        <v>16640</v>
      </c>
      <c r="M23" s="12">
        <v>-5140</v>
      </c>
      <c r="N23" s="12">
        <v>1156.6260986328125</v>
      </c>
      <c r="O23" s="12">
        <v>-571.07952880859375</v>
      </c>
      <c r="P23" s="11">
        <v>2.025332795671746</v>
      </c>
      <c r="Q23" s="13">
        <v>58.536720044174487</v>
      </c>
      <c r="R23" s="17">
        <v>6</v>
      </c>
      <c r="S23" s="17">
        <v>16</v>
      </c>
      <c r="T23" s="17">
        <v>67</v>
      </c>
      <c r="U23" s="17">
        <v>25</v>
      </c>
      <c r="V23" s="12">
        <v>-36245</v>
      </c>
      <c r="W23" s="11">
        <v>1.162264757429418</v>
      </c>
      <c r="X23" s="17">
        <v>1</v>
      </c>
      <c r="Y23" s="12">
        <v>36245</v>
      </c>
      <c r="Z23" s="11">
        <v>584.96344323354947</v>
      </c>
      <c r="AA23" s="14">
        <v>7680.5700096565042</v>
      </c>
      <c r="AB23" s="11">
        <v>2.0987432339700631</v>
      </c>
      <c r="AC23" s="11">
        <v>1.9742573220857651</v>
      </c>
      <c r="AD23" s="15">
        <v>203771.10158440957</v>
      </c>
      <c r="AE23" s="11">
        <v>35.107240347511102</v>
      </c>
      <c r="AF23" s="11">
        <f>(Opti_Medias__30_INS[[#This Row],[All: TS Index]]-AA$114) /ABS(AA$114)</f>
        <v>-0.3345855774138024</v>
      </c>
      <c r="AG23" s="11">
        <f>(Opti_Medias__30_INS[[#This Row],[All: Expectancy Score]]-AB$114) /ABS(AB$114)</f>
        <v>-0.66196802736640281</v>
      </c>
      <c r="AH23" s="11"/>
      <c r="AI23" s="11">
        <f>(Opti_Medias__30_INS[[#This Row],[All: Perfect Profit Correlation]]-AD$114) /ABS(AD$114)</f>
        <v>-0.29808422739679374</v>
      </c>
      <c r="AJ23" s="11">
        <f>(Opti_Medias__30_INS[[#This Row],[All: Robustness Index]]-AE$114) /ABS(AE$114)</f>
        <v>-0.75465567807799683</v>
      </c>
      <c r="AK23" s="11">
        <f>SUM(Opti_Medias__30_INS[[#This Row],[VAR TS Index]:[VAR Robustness Index]])</f>
        <v>-2.0492935102549961</v>
      </c>
      <c r="AL23" s="11">
        <f>Opti_Medias__30_INS[[#This Row],[SUMA]]-Opti_Medias__30_INS[[#This Row],[VAR Robustness Index]]</f>
        <v>-1.2946378321769991</v>
      </c>
    </row>
    <row r="24" spans="1:38" x14ac:dyDescent="0.25">
      <c r="A24" s="11"/>
      <c r="B24" s="17">
        <v>21</v>
      </c>
      <c r="C24" s="17">
        <v>11</v>
      </c>
      <c r="D24" s="17">
        <v>471</v>
      </c>
      <c r="E24" s="10">
        <v>159960</v>
      </c>
      <c r="F24" s="10">
        <v>1498040</v>
      </c>
      <c r="G24" s="10">
        <v>-1338080</v>
      </c>
      <c r="H24" s="17">
        <v>3670</v>
      </c>
      <c r="I24" s="11">
        <v>43.242506811989102</v>
      </c>
      <c r="J24" s="17">
        <v>1587</v>
      </c>
      <c r="K24" s="17">
        <v>2071</v>
      </c>
      <c r="L24" s="12">
        <v>16700</v>
      </c>
      <c r="M24" s="12">
        <v>-4960</v>
      </c>
      <c r="N24" s="12">
        <v>943.94451904296875</v>
      </c>
      <c r="O24" s="12">
        <v>-646.10333251953125</v>
      </c>
      <c r="P24" s="11">
        <v>1.460980730995431</v>
      </c>
      <c r="Q24" s="13">
        <v>43.585831062670302</v>
      </c>
      <c r="R24" s="17">
        <v>9</v>
      </c>
      <c r="S24" s="17">
        <v>13</v>
      </c>
      <c r="T24" s="17">
        <v>57</v>
      </c>
      <c r="U24" s="17">
        <v>27</v>
      </c>
      <c r="V24" s="12">
        <v>-53715</v>
      </c>
      <c r="W24" s="11">
        <v>1.1195444218581849</v>
      </c>
      <c r="X24" s="17">
        <v>1</v>
      </c>
      <c r="Y24" s="12">
        <v>53715</v>
      </c>
      <c r="Z24" s="11">
        <v>297.79391231499579</v>
      </c>
      <c r="AA24" s="14">
        <v>4725.989388438984</v>
      </c>
      <c r="AB24" s="11">
        <v>1.612171759859625</v>
      </c>
      <c r="AC24" s="11">
        <v>1.5175894799709739</v>
      </c>
      <c r="AD24" s="15">
        <v>145640.93359356371</v>
      </c>
      <c r="AE24" s="11">
        <v>111.38773267765994</v>
      </c>
      <c r="AF24" s="11">
        <f>(Opti_Medias__30_INS[[#This Row],[All: TS Index]]-AA$114) /ABS(AA$114)</f>
        <v>-0.59055883923942454</v>
      </c>
      <c r="AG24" s="11">
        <f>(Opti_Medias__30_INS[[#This Row],[All: Expectancy Score]]-AB$114) /ABS(AB$114)</f>
        <v>-0.74033717350995387</v>
      </c>
      <c r="AH24" s="11"/>
      <c r="AI24" s="11">
        <f>(Opti_Medias__30_INS[[#This Row],[All: Perfect Profit Correlation]]-AD$114) /ABS(AD$114)</f>
        <v>-0.49832106892923667</v>
      </c>
      <c r="AJ24" s="11">
        <f>(Opti_Medias__30_INS[[#This Row],[All: Robustness Index]]-AE$114) /ABS(AE$114)</f>
        <v>-0.2215751658712399</v>
      </c>
      <c r="AK24" s="11">
        <f>SUM(Opti_Medias__30_INS[[#This Row],[VAR TS Index]:[VAR Robustness Index]])</f>
        <v>-2.0507922475498552</v>
      </c>
      <c r="AL24" s="11">
        <f>Opti_Medias__30_INS[[#This Row],[SUMA]]-Opti_Medias__30_INS[[#This Row],[VAR Robustness Index]]</f>
        <v>-1.8292170816786153</v>
      </c>
    </row>
    <row r="25" spans="1:38" x14ac:dyDescent="0.25">
      <c r="A25" s="81" t="s">
        <v>68</v>
      </c>
      <c r="B25" s="89">
        <v>7</v>
      </c>
      <c r="C25" s="89">
        <v>8</v>
      </c>
      <c r="D25" s="89">
        <v>322</v>
      </c>
      <c r="E25" s="90">
        <v>264630</v>
      </c>
      <c r="F25" s="90">
        <v>1651960</v>
      </c>
      <c r="G25" s="90">
        <v>-1387330</v>
      </c>
      <c r="H25" s="89">
        <v>3914</v>
      </c>
      <c r="I25" s="81">
        <v>39.678078691875321</v>
      </c>
      <c r="J25" s="89">
        <v>1553</v>
      </c>
      <c r="K25" s="89">
        <v>2344</v>
      </c>
      <c r="L25" s="91">
        <v>17740</v>
      </c>
      <c r="M25" s="91">
        <v>-6580</v>
      </c>
      <c r="N25" s="91">
        <v>1063.7218017578125</v>
      </c>
      <c r="O25" s="91">
        <v>-591.86431884765625</v>
      </c>
      <c r="P25" s="81">
        <v>1.797239279145683</v>
      </c>
      <c r="Q25" s="92">
        <v>67.611139499233516</v>
      </c>
      <c r="R25" s="89">
        <v>8</v>
      </c>
      <c r="S25" s="89">
        <v>17</v>
      </c>
      <c r="T25" s="89">
        <v>57</v>
      </c>
      <c r="U25" s="89">
        <v>25</v>
      </c>
      <c r="V25" s="91">
        <v>-54055</v>
      </c>
      <c r="W25" s="81">
        <v>1.1907476952131071</v>
      </c>
      <c r="X25" s="89">
        <v>1</v>
      </c>
      <c r="Y25" s="91">
        <v>54055</v>
      </c>
      <c r="Z25" s="81">
        <v>489.55693275367679</v>
      </c>
      <c r="AA25" s="93">
        <v>7602.8191656646013</v>
      </c>
      <c r="AB25" s="81">
        <v>2.2851901318329948</v>
      </c>
      <c r="AC25" s="81">
        <v>2.513657585027909</v>
      </c>
      <c r="AD25" s="94">
        <v>253142.04313752902</v>
      </c>
      <c r="AE25" s="81">
        <v>6.9217103176129777</v>
      </c>
      <c r="AF25" s="11">
        <f>(Opti_Medias__30_INS[[#This Row],[All: TS Index]]-AA$114) /ABS(AA$114)</f>
        <v>-0.34132160519499771</v>
      </c>
      <c r="AG25" s="11">
        <f>(Opti_Medias__30_INS[[#This Row],[All: Expectancy Score]]-AB$114) /ABS(AB$114)</f>
        <v>-0.63193814488439903</v>
      </c>
      <c r="AH25" s="11"/>
      <c r="AI25" s="11">
        <f>(Opti_Medias__30_INS[[#This Row],[All: Perfect Profit Correlation]]-AD$114) /ABS(AD$114)</f>
        <v>-0.12801966811947885</v>
      </c>
      <c r="AJ25" s="11">
        <f>(Opti_Medias__30_INS[[#This Row],[All: Robustness Index]]-AE$114) /ABS(AE$114)</f>
        <v>-0.9516281454308132</v>
      </c>
      <c r="AK25" s="11">
        <f>SUM(Opti_Medias__30_INS[[#This Row],[VAR TS Index]:[VAR Robustness Index]])</f>
        <v>-2.0529075636296885</v>
      </c>
      <c r="AL25" s="11">
        <f>Opti_Medias__30_INS[[#This Row],[SUMA]]-Opti_Medias__30_INS[[#This Row],[VAR Robustness Index]]</f>
        <v>-1.1012794181988754</v>
      </c>
    </row>
    <row r="26" spans="1:38" x14ac:dyDescent="0.25">
      <c r="A26" s="11"/>
      <c r="B26" s="17">
        <v>35</v>
      </c>
      <c r="C26" s="17">
        <v>11</v>
      </c>
      <c r="D26" s="17">
        <v>485</v>
      </c>
      <c r="E26" s="10">
        <v>149790</v>
      </c>
      <c r="F26" s="10">
        <v>1480890</v>
      </c>
      <c r="G26" s="10">
        <v>-1331100</v>
      </c>
      <c r="H26" s="17">
        <v>3702</v>
      </c>
      <c r="I26" s="11">
        <v>36.520799567801191</v>
      </c>
      <c r="J26" s="17">
        <v>1352</v>
      </c>
      <c r="K26" s="17">
        <v>2331</v>
      </c>
      <c r="L26" s="12">
        <v>18780</v>
      </c>
      <c r="M26" s="12">
        <v>-4310</v>
      </c>
      <c r="N26" s="12">
        <v>1095.3328857421875</v>
      </c>
      <c r="O26" s="12">
        <v>-571.04248046875</v>
      </c>
      <c r="P26" s="11">
        <v>1.918128551212275</v>
      </c>
      <c r="Q26" s="13">
        <v>40.461912479740683</v>
      </c>
      <c r="R26" s="17">
        <v>9</v>
      </c>
      <c r="S26" s="17">
        <v>17</v>
      </c>
      <c r="T26" s="17">
        <v>68</v>
      </c>
      <c r="U26" s="17">
        <v>23</v>
      </c>
      <c r="V26" s="12">
        <v>-45225</v>
      </c>
      <c r="W26" s="11">
        <v>1.112530989407257</v>
      </c>
      <c r="X26" s="17">
        <v>1</v>
      </c>
      <c r="Y26" s="12">
        <v>45225</v>
      </c>
      <c r="Z26" s="11">
        <v>331.21061359867332</v>
      </c>
      <c r="AA26" s="14">
        <v>4477.9674958540627</v>
      </c>
      <c r="AB26" s="11">
        <v>0.54109720197546995</v>
      </c>
      <c r="AC26" s="11">
        <v>1.370852780101139</v>
      </c>
      <c r="AD26" s="15">
        <v>141823.26049262247</v>
      </c>
      <c r="AE26" s="11">
        <v>139.34146226011583</v>
      </c>
      <c r="AF26" s="11">
        <f>(Opti_Medias__30_INS[[#This Row],[All: TS Index]]-AA$114) /ABS(AA$114)</f>
        <v>-0.61204648198412126</v>
      </c>
      <c r="AG26" s="11">
        <f>(Opti_Medias__30_INS[[#This Row],[All: Expectancy Score]]-AB$114) /ABS(AB$114)</f>
        <v>-0.91284872222111135</v>
      </c>
      <c r="AH26" s="11"/>
      <c r="AI26" s="11">
        <f>(Opti_Medias__30_INS[[#This Row],[All: Perfect Profit Correlation]]-AD$114) /ABS(AD$114)</f>
        <v>-0.51147153503241771</v>
      </c>
      <c r="AJ26" s="11">
        <f>(Opti_Medias__30_INS[[#This Row],[All: Robustness Index]]-AE$114) /ABS(AE$114)</f>
        <v>-2.6222618598611646E-2</v>
      </c>
      <c r="AK26" s="11">
        <f>SUM(Opti_Medias__30_INS[[#This Row],[VAR TS Index]:[VAR Robustness Index]])</f>
        <v>-2.062589357836262</v>
      </c>
      <c r="AL26" s="11">
        <f>Opti_Medias__30_INS[[#This Row],[SUMA]]-Opti_Medias__30_INS[[#This Row],[VAR Robustness Index]]</f>
        <v>-2.0363667392376503</v>
      </c>
    </row>
    <row r="27" spans="1:38" x14ac:dyDescent="0.25">
      <c r="A27" s="11"/>
      <c r="B27" s="17">
        <v>30</v>
      </c>
      <c r="C27" s="17">
        <v>8</v>
      </c>
      <c r="D27" s="17">
        <v>345</v>
      </c>
      <c r="E27" s="10">
        <v>184340</v>
      </c>
      <c r="F27" s="10">
        <v>1485230</v>
      </c>
      <c r="G27" s="10">
        <v>-1300890</v>
      </c>
      <c r="H27" s="17">
        <v>3618</v>
      </c>
      <c r="I27" s="11">
        <v>33.554449972360423</v>
      </c>
      <c r="J27" s="17">
        <v>1214</v>
      </c>
      <c r="K27" s="17">
        <v>2389</v>
      </c>
      <c r="L27" s="12">
        <v>16890</v>
      </c>
      <c r="M27" s="12">
        <v>-4100</v>
      </c>
      <c r="N27" s="12">
        <v>1223.41845703125</v>
      </c>
      <c r="O27" s="12">
        <v>-544.53326416015625</v>
      </c>
      <c r="P27" s="11">
        <v>2.2467285977802489</v>
      </c>
      <c r="Q27" s="13">
        <v>50.950801547816475</v>
      </c>
      <c r="R27" s="17">
        <v>11</v>
      </c>
      <c r="S27" s="17">
        <v>11</v>
      </c>
      <c r="T27" s="17">
        <v>75</v>
      </c>
      <c r="U27" s="17">
        <v>23</v>
      </c>
      <c r="V27" s="12">
        <v>-27185</v>
      </c>
      <c r="W27" s="11">
        <v>1.1417029879544009</v>
      </c>
      <c r="X27" s="17">
        <v>1</v>
      </c>
      <c r="Y27" s="12">
        <v>27185</v>
      </c>
      <c r="Z27" s="11">
        <v>678.09453742872904</v>
      </c>
      <c r="AA27" s="14">
        <v>8232.0676843847705</v>
      </c>
      <c r="AB27" s="11">
        <v>1.864055237834171</v>
      </c>
      <c r="AC27" s="11">
        <v>1.6832840873885691</v>
      </c>
      <c r="AD27" s="15">
        <v>178516.10182730772</v>
      </c>
      <c r="AE27" s="11">
        <v>43.68257344230706</v>
      </c>
      <c r="AF27" s="11">
        <f>(Opti_Medias__30_INS[[#This Row],[All: TS Index]]-AA$114) /ABS(AA$114)</f>
        <v>-0.2868059847109749</v>
      </c>
      <c r="AG27" s="11">
        <f>(Opti_Medias__30_INS[[#This Row],[All: Expectancy Score]]-AB$114) /ABS(AB$114)</f>
        <v>-0.69976781392589271</v>
      </c>
      <c r="AH27" s="11"/>
      <c r="AI27" s="11">
        <f>(Opti_Medias__30_INS[[#This Row],[All: Perfect Profit Correlation]]-AD$114) /ABS(AD$114)</f>
        <v>-0.38507832287336358</v>
      </c>
      <c r="AJ27" s="11">
        <f>(Opti_Medias__30_INS[[#This Row],[All: Robustness Index]]-AE$114) /ABS(AE$114)</f>
        <v>-0.6947276044791505</v>
      </c>
      <c r="AK27" s="11">
        <f>SUM(Opti_Medias__30_INS[[#This Row],[VAR TS Index]:[VAR Robustness Index]])</f>
        <v>-2.0663797259893819</v>
      </c>
      <c r="AL27" s="11">
        <f>Opti_Medias__30_INS[[#This Row],[SUMA]]-Opti_Medias__30_INS[[#This Row],[VAR Robustness Index]]</f>
        <v>-1.3716521215102313</v>
      </c>
    </row>
    <row r="28" spans="1:38" x14ac:dyDescent="0.25">
      <c r="A28" s="11"/>
      <c r="B28" s="17">
        <v>16</v>
      </c>
      <c r="C28" s="17">
        <v>8</v>
      </c>
      <c r="D28" s="17">
        <v>331</v>
      </c>
      <c r="E28" s="10">
        <v>218400</v>
      </c>
      <c r="F28" s="10">
        <v>1516630</v>
      </c>
      <c r="G28" s="10">
        <v>-1298230</v>
      </c>
      <c r="H28" s="17">
        <v>3612</v>
      </c>
      <c r="I28" s="11">
        <v>36.018826135105208</v>
      </c>
      <c r="J28" s="17">
        <v>1301</v>
      </c>
      <c r="K28" s="17">
        <v>2298</v>
      </c>
      <c r="L28" s="12">
        <v>16640</v>
      </c>
      <c r="M28" s="12">
        <v>-4570</v>
      </c>
      <c r="N28" s="12">
        <v>1165.74169921875</v>
      </c>
      <c r="O28" s="12">
        <v>-564.9390869140625</v>
      </c>
      <c r="P28" s="11">
        <v>2.063482110233382</v>
      </c>
      <c r="Q28" s="13">
        <v>60.465116279069768</v>
      </c>
      <c r="R28" s="17">
        <v>6</v>
      </c>
      <c r="S28" s="17">
        <v>13</v>
      </c>
      <c r="T28" s="17">
        <v>68</v>
      </c>
      <c r="U28" s="17">
        <v>25</v>
      </c>
      <c r="V28" s="12">
        <v>-34265</v>
      </c>
      <c r="W28" s="11">
        <v>1.168229050322362</v>
      </c>
      <c r="X28" s="17">
        <v>1</v>
      </c>
      <c r="Y28" s="12">
        <v>34265</v>
      </c>
      <c r="Z28" s="11">
        <v>637.38508682328904</v>
      </c>
      <c r="AA28" s="14">
        <v>8292.3799795709911</v>
      </c>
      <c r="AB28" s="11">
        <v>1.148532472566526</v>
      </c>
      <c r="AC28" s="11">
        <v>2.0343416511510641</v>
      </c>
      <c r="AD28" s="15">
        <v>210764.04746322983</v>
      </c>
      <c r="AE28" s="11">
        <v>42.201443009566944</v>
      </c>
      <c r="AF28" s="11">
        <f>(Opti_Medias__30_INS[[#This Row],[All: TS Index]]-AA$114) /ABS(AA$114)</f>
        <v>-0.281580764313826</v>
      </c>
      <c r="AG28" s="11">
        <f>(Opti_Medias__30_INS[[#This Row],[All: Expectancy Score]]-AB$114) /ABS(AB$114)</f>
        <v>-0.81501276999902728</v>
      </c>
      <c r="AH28" s="11"/>
      <c r="AI28" s="11">
        <f>(Opti_Medias__30_INS[[#This Row],[All: Perfect Profit Correlation]]-AD$114) /ABS(AD$114)</f>
        <v>-0.27399612574185295</v>
      </c>
      <c r="AJ28" s="11">
        <f>(Opti_Medias__30_INS[[#This Row],[All: Robustness Index]]-AE$114) /ABS(AE$114)</f>
        <v>-0.70507837366811721</v>
      </c>
      <c r="AK28" s="11">
        <f>SUM(Opti_Medias__30_INS[[#This Row],[VAR TS Index]:[VAR Robustness Index]])</f>
        <v>-2.0756680337228235</v>
      </c>
      <c r="AL28" s="11">
        <f>Opti_Medias__30_INS[[#This Row],[SUMA]]-Opti_Medias__30_INS[[#This Row],[VAR Robustness Index]]</f>
        <v>-1.3705896600547063</v>
      </c>
    </row>
    <row r="29" spans="1:38" x14ac:dyDescent="0.25">
      <c r="A29" s="11"/>
      <c r="B29" s="17">
        <v>18</v>
      </c>
      <c r="C29" s="17">
        <v>8</v>
      </c>
      <c r="D29" s="17">
        <v>333</v>
      </c>
      <c r="E29" s="10">
        <v>222850</v>
      </c>
      <c r="F29" s="10">
        <v>1505160</v>
      </c>
      <c r="G29" s="10">
        <v>-1282310</v>
      </c>
      <c r="H29" s="17">
        <v>3542</v>
      </c>
      <c r="I29" s="11">
        <v>35.996612083568607</v>
      </c>
      <c r="J29" s="17">
        <v>1275</v>
      </c>
      <c r="K29" s="17">
        <v>2258</v>
      </c>
      <c r="L29" s="12">
        <v>16840</v>
      </c>
      <c r="M29" s="12">
        <v>-4640</v>
      </c>
      <c r="N29" s="12">
        <v>1180.5177001953125</v>
      </c>
      <c r="O29" s="12">
        <v>-567.8963623046875</v>
      </c>
      <c r="P29" s="11">
        <v>2.0787555239910862</v>
      </c>
      <c r="Q29" s="13">
        <v>62.916431394692268</v>
      </c>
      <c r="R29" s="17">
        <v>8</v>
      </c>
      <c r="S29" s="17">
        <v>13</v>
      </c>
      <c r="T29" s="17">
        <v>71</v>
      </c>
      <c r="U29" s="17">
        <v>25</v>
      </c>
      <c r="V29" s="12">
        <v>-29985</v>
      </c>
      <c r="W29" s="11">
        <v>1.173787929595808</v>
      </c>
      <c r="X29" s="17">
        <v>1</v>
      </c>
      <c r="Y29" s="12">
        <v>29985</v>
      </c>
      <c r="Z29" s="11">
        <v>743.204935801234</v>
      </c>
      <c r="AA29" s="14">
        <v>9475.8629314657337</v>
      </c>
      <c r="AB29" s="11">
        <v>0.19911500272354199</v>
      </c>
      <c r="AC29" s="11">
        <v>2.076826252978845</v>
      </c>
      <c r="AD29" s="15">
        <v>215070.12930397165</v>
      </c>
      <c r="AE29" s="11">
        <v>46.730140633997074</v>
      </c>
      <c r="AF29" s="11">
        <f>(Opti_Medias__30_INS[[#This Row],[All: TS Index]]-AA$114) /ABS(AA$114)</f>
        <v>-0.17904844912295537</v>
      </c>
      <c r="AG29" s="11">
        <f>(Opti_Medias__30_INS[[#This Row],[All: Expectancy Score]]-AB$114) /ABS(AB$114)</f>
        <v>-0.96792974192261616</v>
      </c>
      <c r="AH29" s="11"/>
      <c r="AI29" s="11">
        <f>(Opti_Medias__30_INS[[#This Row],[All: Perfect Profit Correlation]]-AD$114) /ABS(AD$114)</f>
        <v>-0.25916327290533381</v>
      </c>
      <c r="AJ29" s="11">
        <f>(Opti_Medias__30_INS[[#This Row],[All: Robustness Index]]-AE$114) /ABS(AE$114)</f>
        <v>-0.67342990922438983</v>
      </c>
      <c r="AK29" s="11">
        <f>SUM(Opti_Medias__30_INS[[#This Row],[VAR TS Index]:[VAR Robustness Index]])</f>
        <v>-2.0795713731752956</v>
      </c>
      <c r="AL29" s="11">
        <f>Opti_Medias__30_INS[[#This Row],[SUMA]]-Opti_Medias__30_INS[[#This Row],[VAR Robustness Index]]</f>
        <v>-1.4061414639509058</v>
      </c>
    </row>
    <row r="30" spans="1:38" x14ac:dyDescent="0.25">
      <c r="A30" s="11"/>
      <c r="B30" s="17">
        <v>20</v>
      </c>
      <c r="C30" s="17">
        <v>8</v>
      </c>
      <c r="D30" s="17">
        <v>335</v>
      </c>
      <c r="E30" s="10">
        <v>208860</v>
      </c>
      <c r="F30" s="10">
        <v>1484310</v>
      </c>
      <c r="G30" s="10">
        <v>-1275450</v>
      </c>
      <c r="H30" s="17">
        <v>3514</v>
      </c>
      <c r="I30" s="11">
        <v>35.600455321570863</v>
      </c>
      <c r="J30" s="17">
        <v>1251</v>
      </c>
      <c r="K30" s="17">
        <v>2247</v>
      </c>
      <c r="L30" s="12">
        <v>16840</v>
      </c>
      <c r="M30" s="12">
        <v>-4210</v>
      </c>
      <c r="N30" s="12">
        <v>1186.498779296875</v>
      </c>
      <c r="O30" s="12">
        <v>-567.62347412109375</v>
      </c>
      <c r="P30" s="11">
        <v>2.0902919512517442</v>
      </c>
      <c r="Q30" s="13">
        <v>59.436539556061469</v>
      </c>
      <c r="R30" s="17">
        <v>6</v>
      </c>
      <c r="S30" s="17">
        <v>13</v>
      </c>
      <c r="T30" s="17">
        <v>72</v>
      </c>
      <c r="U30" s="17">
        <v>25</v>
      </c>
      <c r="V30" s="12">
        <v>-29495</v>
      </c>
      <c r="W30" s="11">
        <v>1.163753969187346</v>
      </c>
      <c r="X30" s="17">
        <v>1</v>
      </c>
      <c r="Y30" s="12">
        <v>29495</v>
      </c>
      <c r="Z30" s="11">
        <v>708.12002034243096</v>
      </c>
      <c r="AA30" s="14">
        <v>8858.5814544838104</v>
      </c>
      <c r="AB30" s="11">
        <v>0.457983146589237</v>
      </c>
      <c r="AC30" s="11">
        <v>1.9380094711443761</v>
      </c>
      <c r="AD30" s="15">
        <v>200995.75858497157</v>
      </c>
      <c r="AE30" s="11">
        <v>52.776119554542888</v>
      </c>
      <c r="AF30" s="11">
        <f>(Opti_Medias__30_INS[[#This Row],[All: TS Index]]-AA$114) /ABS(AA$114)</f>
        <v>-0.23252729210761186</v>
      </c>
      <c r="AG30" s="11">
        <f>(Opti_Medias__30_INS[[#This Row],[All: Expectancy Score]]-AB$114) /ABS(AB$114)</f>
        <v>-0.92623540413676442</v>
      </c>
      <c r="AH30" s="11"/>
      <c r="AI30" s="11">
        <f>(Opti_Medias__30_INS[[#This Row],[All: Perfect Profit Correlation]]-AD$114) /ABS(AD$114)</f>
        <v>-0.30764425337958734</v>
      </c>
      <c r="AJ30" s="11">
        <f>(Opti_Medias__30_INS[[#This Row],[All: Robustness Index]]-AE$114) /ABS(AE$114)</f>
        <v>-0.6311780379883416</v>
      </c>
      <c r="AK30" s="11">
        <f>SUM(Opti_Medias__30_INS[[#This Row],[VAR TS Index]:[VAR Robustness Index]])</f>
        <v>-2.0975849876123052</v>
      </c>
      <c r="AL30" s="11">
        <f>Opti_Medias__30_INS[[#This Row],[SUMA]]-Opti_Medias__30_INS[[#This Row],[VAR Robustness Index]]</f>
        <v>-1.4664069496239636</v>
      </c>
    </row>
    <row r="31" spans="1:38" x14ac:dyDescent="0.25">
      <c r="A31" s="11"/>
      <c r="B31" s="17">
        <v>25</v>
      </c>
      <c r="C31" s="17">
        <v>8</v>
      </c>
      <c r="D31" s="17">
        <v>340</v>
      </c>
      <c r="E31" s="10">
        <v>191430</v>
      </c>
      <c r="F31" s="10">
        <v>1463300</v>
      </c>
      <c r="G31" s="10">
        <v>-1271870</v>
      </c>
      <c r="H31" s="17">
        <v>3490</v>
      </c>
      <c r="I31" s="11">
        <v>34.813753581661892</v>
      </c>
      <c r="J31" s="17">
        <v>1215</v>
      </c>
      <c r="K31" s="17">
        <v>2264</v>
      </c>
      <c r="L31" s="12">
        <v>17090</v>
      </c>
      <c r="M31" s="12">
        <v>-4100</v>
      </c>
      <c r="N31" s="12">
        <v>1204.3621826171875</v>
      </c>
      <c r="O31" s="12">
        <v>-561.780029296875</v>
      </c>
      <c r="P31" s="11">
        <v>2.1438323183623482</v>
      </c>
      <c r="Q31" s="13">
        <v>54.851002865329512</v>
      </c>
      <c r="R31" s="17">
        <v>11</v>
      </c>
      <c r="S31" s="17">
        <v>10</v>
      </c>
      <c r="T31" s="17">
        <v>75</v>
      </c>
      <c r="U31" s="17">
        <v>24</v>
      </c>
      <c r="V31" s="12">
        <v>-29265</v>
      </c>
      <c r="W31" s="11">
        <v>1.1505106653981929</v>
      </c>
      <c r="X31" s="17">
        <v>1</v>
      </c>
      <c r="Y31" s="12">
        <v>29265</v>
      </c>
      <c r="Z31" s="11">
        <v>654.12608918503327</v>
      </c>
      <c r="AA31" s="14">
        <v>7947.6319835981549</v>
      </c>
      <c r="AB31" s="11">
        <v>1.3434637068630551</v>
      </c>
      <c r="AC31" s="11">
        <v>1.761800712185833</v>
      </c>
      <c r="AD31" s="15">
        <v>185257.22921007033</v>
      </c>
      <c r="AE31" s="11">
        <v>50.865254873449793</v>
      </c>
      <c r="AF31" s="11">
        <f>(Opti_Medias__30_INS[[#This Row],[All: TS Index]]-AA$114) /ABS(AA$114)</f>
        <v>-0.31144837679435761</v>
      </c>
      <c r="AG31" s="11">
        <f>(Opti_Medias__30_INS[[#This Row],[All: Expectancy Score]]-AB$114) /ABS(AB$114)</f>
        <v>-0.78361636638441645</v>
      </c>
      <c r="AH31" s="11"/>
      <c r="AI31" s="11">
        <f>(Opti_Medias__30_INS[[#This Row],[All: Perfect Profit Correlation]]-AD$114) /ABS(AD$114)</f>
        <v>-0.36185764242212498</v>
      </c>
      <c r="AJ31" s="11">
        <f>(Opti_Medias__30_INS[[#This Row],[All: Robustness Index]]-AE$114) /ABS(AE$114)</f>
        <v>-0.6445319728128065</v>
      </c>
      <c r="AK31" s="11">
        <f>SUM(Opti_Medias__30_INS[[#This Row],[VAR TS Index]:[VAR Robustness Index]])</f>
        <v>-2.1014543584137053</v>
      </c>
      <c r="AL31" s="11">
        <f>Opti_Medias__30_INS[[#This Row],[SUMA]]-Opti_Medias__30_INS[[#This Row],[VAR Robustness Index]]</f>
        <v>-1.4569223856008988</v>
      </c>
    </row>
    <row r="32" spans="1:38" x14ac:dyDescent="0.25">
      <c r="A32" s="11"/>
      <c r="B32" s="17">
        <v>36</v>
      </c>
      <c r="C32" s="17">
        <v>5</v>
      </c>
      <c r="D32" s="17">
        <v>216</v>
      </c>
      <c r="E32" s="10">
        <v>156340</v>
      </c>
      <c r="F32" s="10">
        <v>1392450</v>
      </c>
      <c r="G32" s="10">
        <v>-1236110</v>
      </c>
      <c r="H32" s="17">
        <v>3709</v>
      </c>
      <c r="I32" s="11">
        <v>31.248314909679159</v>
      </c>
      <c r="J32" s="17">
        <v>1159</v>
      </c>
      <c r="K32" s="17">
        <v>2526</v>
      </c>
      <c r="L32" s="12">
        <v>17360</v>
      </c>
      <c r="M32" s="12">
        <v>-4450</v>
      </c>
      <c r="N32" s="12">
        <v>1201.423583984375</v>
      </c>
      <c r="O32" s="12">
        <v>-489.35470581054688</v>
      </c>
      <c r="P32" s="11">
        <v>2.4551180763540161</v>
      </c>
      <c r="Q32" s="13">
        <v>42.151523321650039</v>
      </c>
      <c r="R32" s="17">
        <v>7</v>
      </c>
      <c r="S32" s="17">
        <v>19</v>
      </c>
      <c r="T32" s="17">
        <v>80</v>
      </c>
      <c r="U32" s="17">
        <v>21</v>
      </c>
      <c r="V32" s="12">
        <v>-26965</v>
      </c>
      <c r="W32" s="11">
        <v>1.126477417058352</v>
      </c>
      <c r="X32" s="17">
        <v>1</v>
      </c>
      <c r="Y32" s="12">
        <v>26965</v>
      </c>
      <c r="Z32" s="11">
        <v>579.7886148711292</v>
      </c>
      <c r="AA32" s="14">
        <v>6719.7500463563883</v>
      </c>
      <c r="AB32" s="11">
        <v>1.081723284499678</v>
      </c>
      <c r="AC32" s="11">
        <v>1.400332652437408</v>
      </c>
      <c r="AD32" s="15">
        <v>149999.65122800475</v>
      </c>
      <c r="AE32" s="11">
        <v>88.310898062181082</v>
      </c>
      <c r="AF32" s="11">
        <f>(Opti_Medias__30_INS[[#This Row],[All: TS Index]]-AA$114) /ABS(AA$114)</f>
        <v>-0.41782724571248531</v>
      </c>
      <c r="AG32" s="11">
        <f>(Opti_Medias__30_INS[[#This Row],[All: Expectancy Score]]-AB$114) /ABS(AB$114)</f>
        <v>-0.82577332482381416</v>
      </c>
      <c r="AH32" s="11"/>
      <c r="AI32" s="11">
        <f>(Opti_Medias__30_INS[[#This Row],[All: Perfect Profit Correlation]]-AD$114) /ABS(AD$114)</f>
        <v>-0.48330690533023113</v>
      </c>
      <c r="AJ32" s="11">
        <f>(Opti_Medias__30_INS[[#This Row],[All: Robustness Index]]-AE$114) /ABS(AE$114)</f>
        <v>-0.38284589762906263</v>
      </c>
      <c r="AK32" s="11">
        <f>SUM(Opti_Medias__30_INS[[#This Row],[VAR TS Index]:[VAR Robustness Index]])</f>
        <v>-2.1097533734955931</v>
      </c>
      <c r="AL32" s="11">
        <f>Opti_Medias__30_INS[[#This Row],[SUMA]]-Opti_Medias__30_INS[[#This Row],[VAR Robustness Index]]</f>
        <v>-1.7269074758665304</v>
      </c>
    </row>
    <row r="33" spans="1:38" x14ac:dyDescent="0.25">
      <c r="A33" s="11"/>
      <c r="B33" s="17">
        <v>28</v>
      </c>
      <c r="C33" s="17">
        <v>8</v>
      </c>
      <c r="D33" s="17">
        <v>343</v>
      </c>
      <c r="E33" s="10">
        <v>205250</v>
      </c>
      <c r="F33" s="10">
        <v>1472850</v>
      </c>
      <c r="G33" s="10">
        <v>-1267600</v>
      </c>
      <c r="H33" s="17">
        <v>3532</v>
      </c>
      <c r="I33" s="11">
        <v>34.144960362400909</v>
      </c>
      <c r="J33" s="17">
        <v>1206</v>
      </c>
      <c r="K33" s="17">
        <v>2314</v>
      </c>
      <c r="L33" s="12">
        <v>17090</v>
      </c>
      <c r="M33" s="12">
        <v>-4100</v>
      </c>
      <c r="N33" s="12">
        <v>1221.2686767578125</v>
      </c>
      <c r="O33" s="12">
        <v>-547.7960205078125</v>
      </c>
      <c r="P33" s="11">
        <v>2.2294223233416042</v>
      </c>
      <c r="Q33" s="13">
        <v>58.11155152887882</v>
      </c>
      <c r="R33" s="17">
        <v>11</v>
      </c>
      <c r="S33" s="17">
        <v>11</v>
      </c>
      <c r="T33" s="17">
        <v>75</v>
      </c>
      <c r="U33" s="17">
        <v>24</v>
      </c>
      <c r="V33" s="12">
        <v>-28375</v>
      </c>
      <c r="W33" s="11">
        <v>1.161920164089618</v>
      </c>
      <c r="X33" s="17">
        <v>1</v>
      </c>
      <c r="Y33" s="12">
        <v>28375</v>
      </c>
      <c r="Z33" s="11">
        <v>723.34801762114535</v>
      </c>
      <c r="AA33" s="14">
        <v>8723.5770925110137</v>
      </c>
      <c r="AB33" s="11">
        <v>1.177919924093896</v>
      </c>
      <c r="AC33" s="11">
        <v>1.8918958911124011</v>
      </c>
      <c r="AD33" s="15">
        <v>199074.24625151645</v>
      </c>
      <c r="AE33" s="11">
        <v>37.02690675374415</v>
      </c>
      <c r="AF33" s="11">
        <f>(Opti_Medias__30_INS[[#This Row],[All: TS Index]]-AA$114) /ABS(AA$114)</f>
        <v>-0.24422353984128289</v>
      </c>
      <c r="AG33" s="11">
        <f>(Opti_Medias__30_INS[[#This Row],[All: Expectancy Score]]-AB$114) /ABS(AB$114)</f>
        <v>-0.81027950961267703</v>
      </c>
      <c r="AH33" s="11"/>
      <c r="AI33" s="11">
        <f>(Opti_Medias__30_INS[[#This Row],[All: Perfect Profit Correlation]]-AD$114) /ABS(AD$114)</f>
        <v>-0.31426314979628578</v>
      </c>
      <c r="AJ33" s="11">
        <f>(Opti_Medias__30_INS[[#This Row],[All: Robustness Index]]-AE$114) /ABS(AE$114)</f>
        <v>-0.74124023305606734</v>
      </c>
      <c r="AK33" s="11">
        <f>SUM(Opti_Medias__30_INS[[#This Row],[VAR TS Index]:[VAR Robustness Index]])</f>
        <v>-2.1100064323063132</v>
      </c>
      <c r="AL33" s="11">
        <f>Opti_Medias__30_INS[[#This Row],[SUMA]]-Opti_Medias__30_INS[[#This Row],[VAR Robustness Index]]</f>
        <v>-1.368766199250246</v>
      </c>
    </row>
    <row r="34" spans="1:38" x14ac:dyDescent="0.25">
      <c r="A34" s="11"/>
      <c r="B34" s="17">
        <v>36</v>
      </c>
      <c r="C34" s="17">
        <v>11</v>
      </c>
      <c r="D34" s="17">
        <v>486</v>
      </c>
      <c r="E34" s="10">
        <v>126530</v>
      </c>
      <c r="F34" s="10">
        <v>1469850</v>
      </c>
      <c r="G34" s="10">
        <v>-1343320</v>
      </c>
      <c r="H34" s="17">
        <v>3706</v>
      </c>
      <c r="I34" s="11">
        <v>36.049649217485161</v>
      </c>
      <c r="J34" s="17">
        <v>1336</v>
      </c>
      <c r="K34" s="17">
        <v>2345</v>
      </c>
      <c r="L34" s="12">
        <v>18560</v>
      </c>
      <c r="M34" s="12">
        <v>-4300</v>
      </c>
      <c r="N34" s="12">
        <v>1100.1871337890625</v>
      </c>
      <c r="O34" s="12">
        <v>-572.8443603515625</v>
      </c>
      <c r="P34" s="11">
        <v>1.920569023519517</v>
      </c>
      <c r="Q34" s="13">
        <v>34.141932002158661</v>
      </c>
      <c r="R34" s="17">
        <v>7</v>
      </c>
      <c r="S34" s="17">
        <v>15</v>
      </c>
      <c r="T34" s="17">
        <v>69</v>
      </c>
      <c r="U34" s="17">
        <v>23</v>
      </c>
      <c r="V34" s="12">
        <v>-44935</v>
      </c>
      <c r="W34" s="11">
        <v>1.0941920019057261</v>
      </c>
      <c r="X34" s="17">
        <v>1</v>
      </c>
      <c r="Y34" s="12">
        <v>44935</v>
      </c>
      <c r="Z34" s="11">
        <v>281.58451096027596</v>
      </c>
      <c r="AA34" s="14">
        <v>3761.9690664292866</v>
      </c>
      <c r="AB34" s="11">
        <v>1.352608405808893</v>
      </c>
      <c r="AC34" s="11">
        <v>1.1405679539428599</v>
      </c>
      <c r="AD34" s="15">
        <v>118145.73808461055</v>
      </c>
      <c r="AE34" s="11">
        <v>131.17230201142601</v>
      </c>
      <c r="AF34" s="11">
        <f>(Opti_Medias__30_INS[[#This Row],[All: TS Index]]-AA$114) /ABS(AA$114)</f>
        <v>-0.67407777404829183</v>
      </c>
      <c r="AG34" s="11">
        <f>(Opti_Medias__30_INS[[#This Row],[All: Expectancy Score]]-AB$114) /ABS(AB$114)</f>
        <v>-0.78214348462653005</v>
      </c>
      <c r="AH34" s="11"/>
      <c r="AI34" s="11">
        <f>(Opti_Medias__30_INS[[#This Row],[All: Perfect Profit Correlation]]-AD$114) /ABS(AD$114)</f>
        <v>-0.59303180685273249</v>
      </c>
      <c r="AJ34" s="11">
        <f>(Opti_Medias__30_INS[[#This Row],[All: Robustness Index]]-AE$114) /ABS(AE$114)</f>
        <v>-8.3312183658346611E-2</v>
      </c>
      <c r="AK34" s="11">
        <f>SUM(Opti_Medias__30_INS[[#This Row],[VAR TS Index]:[VAR Robustness Index]])</f>
        <v>-2.1325652491859008</v>
      </c>
      <c r="AL34" s="11">
        <f>Opti_Medias__30_INS[[#This Row],[SUMA]]-Opti_Medias__30_INS[[#This Row],[VAR Robustness Index]]</f>
        <v>-2.0492530655275543</v>
      </c>
    </row>
    <row r="35" spans="1:38" x14ac:dyDescent="0.25">
      <c r="A35" s="11"/>
      <c r="B35" s="17">
        <v>13</v>
      </c>
      <c r="C35" s="17">
        <v>8</v>
      </c>
      <c r="D35" s="17">
        <v>328</v>
      </c>
      <c r="E35" s="10">
        <v>200110</v>
      </c>
      <c r="F35" s="10">
        <v>1540330</v>
      </c>
      <c r="G35" s="10">
        <v>-1340220</v>
      </c>
      <c r="H35" s="17">
        <v>3710</v>
      </c>
      <c r="I35" s="11">
        <v>37.115902964959567</v>
      </c>
      <c r="J35" s="17">
        <v>1377</v>
      </c>
      <c r="K35" s="17">
        <v>2312</v>
      </c>
      <c r="L35" s="12">
        <v>17820</v>
      </c>
      <c r="M35" s="12">
        <v>-5800</v>
      </c>
      <c r="N35" s="12">
        <v>1118.6129150390625</v>
      </c>
      <c r="O35" s="12">
        <v>-579.679931640625</v>
      </c>
      <c r="P35" s="11">
        <v>1.929707850801623</v>
      </c>
      <c r="Q35" s="13">
        <v>53.938005390835578</v>
      </c>
      <c r="R35" s="17">
        <v>7</v>
      </c>
      <c r="S35" s="17">
        <v>15</v>
      </c>
      <c r="T35" s="17">
        <v>64</v>
      </c>
      <c r="U35" s="17">
        <v>25</v>
      </c>
      <c r="V35" s="12">
        <v>-33335</v>
      </c>
      <c r="W35" s="11">
        <v>1.149311307098835</v>
      </c>
      <c r="X35" s="17">
        <v>1</v>
      </c>
      <c r="Y35" s="12">
        <v>33335</v>
      </c>
      <c r="Z35" s="11">
        <v>600.29998500074998</v>
      </c>
      <c r="AA35" s="14">
        <v>8266.1307934603265</v>
      </c>
      <c r="AB35" s="11">
        <v>2.144931258444243</v>
      </c>
      <c r="AC35" s="11">
        <v>1.864734682219646</v>
      </c>
      <c r="AD35" s="15">
        <v>191898.05417001594</v>
      </c>
      <c r="AE35" s="11">
        <v>17.339038709648133</v>
      </c>
      <c r="AF35" s="11">
        <f>(Opti_Medias__30_INS[[#This Row],[All: TS Index]]-AA$114) /ABS(AA$114)</f>
        <v>-0.28385489071293768</v>
      </c>
      <c r="AG35" s="11">
        <f>(Opti_Medias__30_INS[[#This Row],[All: Expectancy Score]]-AB$114) /ABS(AB$114)</f>
        <v>-0.65452879955980647</v>
      </c>
      <c r="AH35" s="11"/>
      <c r="AI35" s="11">
        <f>(Opti_Medias__30_INS[[#This Row],[All: Perfect Profit Correlation]]-AD$114) /ABS(AD$114)</f>
        <v>-0.33898246656922326</v>
      </c>
      <c r="AJ35" s="11">
        <f>(Opti_Medias__30_INS[[#This Row],[All: Robustness Index]]-AE$114) /ABS(AE$114)</f>
        <v>-0.87882742554273208</v>
      </c>
      <c r="AK35" s="11">
        <f>SUM(Opti_Medias__30_INS[[#This Row],[VAR TS Index]:[VAR Robustness Index]])</f>
        <v>-2.1561935823846996</v>
      </c>
      <c r="AL35" s="11">
        <f>Opti_Medias__30_INS[[#This Row],[SUMA]]-Opti_Medias__30_INS[[#This Row],[VAR Robustness Index]]</f>
        <v>-1.2773661568419676</v>
      </c>
    </row>
    <row r="36" spans="1:38" x14ac:dyDescent="0.25">
      <c r="A36" s="11"/>
      <c r="B36" s="17">
        <v>31</v>
      </c>
      <c r="C36" s="17">
        <v>8</v>
      </c>
      <c r="D36" s="17">
        <v>346</v>
      </c>
      <c r="E36" s="10">
        <v>181480</v>
      </c>
      <c r="F36" s="10">
        <v>1491720</v>
      </c>
      <c r="G36" s="10">
        <v>-1310240</v>
      </c>
      <c r="H36" s="17">
        <v>3662</v>
      </c>
      <c r="I36" s="11">
        <v>33.615510649918079</v>
      </c>
      <c r="J36" s="17">
        <v>1231</v>
      </c>
      <c r="K36" s="17">
        <v>2416</v>
      </c>
      <c r="L36" s="12">
        <v>16890</v>
      </c>
      <c r="M36" s="12">
        <v>-4100</v>
      </c>
      <c r="N36" s="12">
        <v>1211.7952880859375</v>
      </c>
      <c r="O36" s="12">
        <v>-542.31787109375</v>
      </c>
      <c r="P36" s="11">
        <v>2.2344741943354758</v>
      </c>
      <c r="Q36" s="13">
        <v>49.557618787547788</v>
      </c>
      <c r="R36" s="17">
        <v>11</v>
      </c>
      <c r="S36" s="17">
        <v>14</v>
      </c>
      <c r="T36" s="17">
        <v>75</v>
      </c>
      <c r="U36" s="17">
        <v>23</v>
      </c>
      <c r="V36" s="12">
        <v>-27145</v>
      </c>
      <c r="W36" s="11">
        <v>1.1385089754548789</v>
      </c>
      <c r="X36" s="17">
        <v>1</v>
      </c>
      <c r="Y36" s="12">
        <v>27145</v>
      </c>
      <c r="Z36" s="11">
        <v>668.55774544114934</v>
      </c>
      <c r="AA36" s="14">
        <v>8229.9458463805495</v>
      </c>
      <c r="AB36" s="11">
        <v>1.163975211832821</v>
      </c>
      <c r="AC36" s="11">
        <v>1.6561987836949921</v>
      </c>
      <c r="AD36" s="15">
        <v>175259.03218937974</v>
      </c>
      <c r="AE36" s="11">
        <v>47.765341502177861</v>
      </c>
      <c r="AF36" s="11">
        <f>(Opti_Medias__30_INS[[#This Row],[All: TS Index]]-AA$114) /ABS(AA$114)</f>
        <v>-0.28698981242280164</v>
      </c>
      <c r="AG36" s="11">
        <f>(Opti_Medias__30_INS[[#This Row],[All: Expectancy Score]]-AB$114) /ABS(AB$114)</f>
        <v>-0.81252550069778096</v>
      </c>
      <c r="AH36" s="11"/>
      <c r="AI36" s="11">
        <f>(Opti_Medias__30_INS[[#This Row],[All: Perfect Profit Correlation]]-AD$114) /ABS(AD$114)</f>
        <v>-0.3962977182319426</v>
      </c>
      <c r="AJ36" s="11">
        <f>(Opti_Medias__30_INS[[#This Row],[All: Robustness Index]]-AE$114) /ABS(AE$114)</f>
        <v>-0.66619548542625473</v>
      </c>
      <c r="AK36" s="11">
        <f>SUM(Opti_Medias__30_INS[[#This Row],[VAR TS Index]:[VAR Robustness Index]])</f>
        <v>-2.1620085167787799</v>
      </c>
      <c r="AL36" s="11">
        <f>Opti_Medias__30_INS[[#This Row],[SUMA]]-Opti_Medias__30_INS[[#This Row],[VAR Robustness Index]]</f>
        <v>-1.4958130313525251</v>
      </c>
    </row>
    <row r="37" spans="1:38" x14ac:dyDescent="0.25">
      <c r="A37" s="11"/>
      <c r="B37" s="17">
        <v>30</v>
      </c>
      <c r="C37" s="17">
        <v>11</v>
      </c>
      <c r="D37" s="17">
        <v>480</v>
      </c>
      <c r="E37" s="10">
        <v>182140</v>
      </c>
      <c r="F37" s="10">
        <v>1487820</v>
      </c>
      <c r="G37" s="10">
        <v>-1305680</v>
      </c>
      <c r="H37" s="17">
        <v>3596</v>
      </c>
      <c r="I37" s="11">
        <v>38.904338153503893</v>
      </c>
      <c r="J37" s="17">
        <v>1399</v>
      </c>
      <c r="K37" s="17">
        <v>2179</v>
      </c>
      <c r="L37" s="12">
        <v>17140</v>
      </c>
      <c r="M37" s="12">
        <v>-4590</v>
      </c>
      <c r="N37" s="12">
        <v>1063.4881591796875</v>
      </c>
      <c r="O37" s="12">
        <v>-599.21063232421875</v>
      </c>
      <c r="P37" s="11">
        <v>1.774815234927706</v>
      </c>
      <c r="Q37" s="13">
        <v>50.650723025583979</v>
      </c>
      <c r="R37" s="17">
        <v>7</v>
      </c>
      <c r="S37" s="17">
        <v>12</v>
      </c>
      <c r="T37" s="17">
        <v>65</v>
      </c>
      <c r="U37" s="17">
        <v>25</v>
      </c>
      <c r="V37" s="12">
        <v>-41715</v>
      </c>
      <c r="W37" s="11">
        <v>1.1394981925127139</v>
      </c>
      <c r="X37" s="17">
        <v>1</v>
      </c>
      <c r="Y37" s="12">
        <v>41715</v>
      </c>
      <c r="Z37" s="11">
        <v>436.62950976866836</v>
      </c>
      <c r="AA37" s="14">
        <v>6108.4468416636701</v>
      </c>
      <c r="AB37" s="11">
        <v>0.70612509038239402</v>
      </c>
      <c r="AC37" s="11">
        <v>1.7033313822163829</v>
      </c>
      <c r="AD37" s="15">
        <v>173353.88991497172</v>
      </c>
      <c r="AE37" s="11">
        <v>85.26893145249845</v>
      </c>
      <c r="AF37" s="11">
        <f>(Opti_Medias__30_INS[[#This Row],[All: TS Index]]-AA$114) /ABS(AA$114)</f>
        <v>-0.47078815466381052</v>
      </c>
      <c r="AG37" s="11">
        <f>(Opti_Medias__30_INS[[#This Row],[All: Expectancy Score]]-AB$114) /ABS(AB$114)</f>
        <v>-0.88626867100054108</v>
      </c>
      <c r="AH37" s="11"/>
      <c r="AI37" s="11">
        <f>(Opti_Medias__30_INS[[#This Row],[All: Perfect Profit Correlation]]-AD$114) /ABS(AD$114)</f>
        <v>-0.4028602258744024</v>
      </c>
      <c r="AJ37" s="11">
        <f>(Opti_Medias__30_INS[[#This Row],[All: Robustness Index]]-AE$114) /ABS(AE$114)</f>
        <v>-0.40410445363558367</v>
      </c>
      <c r="AK37" s="11">
        <f>SUM(Opti_Medias__30_INS[[#This Row],[VAR TS Index]:[VAR Robustness Index]])</f>
        <v>-2.1640215051743374</v>
      </c>
      <c r="AL37" s="11">
        <f>Opti_Medias__30_INS[[#This Row],[SUMA]]-Opti_Medias__30_INS[[#This Row],[VAR Robustness Index]]</f>
        <v>-1.7599170515387539</v>
      </c>
    </row>
    <row r="38" spans="1:38" x14ac:dyDescent="0.25">
      <c r="A38" s="11"/>
      <c r="B38" s="17">
        <v>34</v>
      </c>
      <c r="C38" s="17">
        <v>1</v>
      </c>
      <c r="D38" s="17">
        <v>34</v>
      </c>
      <c r="E38" s="10">
        <v>169980</v>
      </c>
      <c r="F38" s="10">
        <v>1500470</v>
      </c>
      <c r="G38" s="10">
        <v>-1330490</v>
      </c>
      <c r="H38" s="17">
        <v>3787</v>
      </c>
      <c r="I38" s="11">
        <v>34.407182466332188</v>
      </c>
      <c r="J38" s="17">
        <v>1303</v>
      </c>
      <c r="K38" s="17">
        <v>2463</v>
      </c>
      <c r="L38" s="12">
        <v>17480</v>
      </c>
      <c r="M38" s="12">
        <v>-4430</v>
      </c>
      <c r="N38" s="12">
        <v>1151.55029296875</v>
      </c>
      <c r="O38" s="12">
        <v>-540.1907958984375</v>
      </c>
      <c r="P38" s="11">
        <v>2.1317473413324421</v>
      </c>
      <c r="Q38" s="13">
        <v>44.885133350937416</v>
      </c>
      <c r="R38" s="17">
        <v>8</v>
      </c>
      <c r="S38" s="17">
        <v>15</v>
      </c>
      <c r="T38" s="17">
        <v>69</v>
      </c>
      <c r="U38" s="17">
        <v>23</v>
      </c>
      <c r="V38" s="12">
        <v>-30305</v>
      </c>
      <c r="W38" s="11">
        <v>1.127757442746657</v>
      </c>
      <c r="X38" s="17">
        <v>1</v>
      </c>
      <c r="Y38" s="12">
        <v>30305</v>
      </c>
      <c r="Z38" s="11">
        <v>560.89754165979207</v>
      </c>
      <c r="AA38" s="14">
        <v>7308.4949678270914</v>
      </c>
      <c r="AB38" s="11">
        <v>0.94777231486969804</v>
      </c>
      <c r="AC38" s="11">
        <v>1.552213103826332</v>
      </c>
      <c r="AD38" s="15">
        <v>163100.38054408081</v>
      </c>
      <c r="AE38" s="11">
        <v>68.677664463737315</v>
      </c>
      <c r="AF38" s="11">
        <f>(Opti_Medias__30_INS[[#This Row],[All: TS Index]]-AA$114) /ABS(AA$114)</f>
        <v>-0.36682069782887261</v>
      </c>
      <c r="AG38" s="11">
        <f>(Opti_Medias__30_INS[[#This Row],[All: Expectancy Score]]-AB$114) /ABS(AB$114)</f>
        <v>-0.84734800331106885</v>
      </c>
      <c r="AH38" s="11"/>
      <c r="AI38" s="11">
        <f>(Opti_Medias__30_INS[[#This Row],[All: Perfect Profit Correlation]]-AD$114) /ABS(AD$114)</f>
        <v>-0.43817975791796748</v>
      </c>
      <c r="AJ38" s="11">
        <f>(Opti_Medias__30_INS[[#This Row],[All: Robustness Index]]-AE$114) /ABS(AE$114)</f>
        <v>-0.52005128138084955</v>
      </c>
      <c r="AK38" s="11">
        <f>SUM(Opti_Medias__30_INS[[#This Row],[VAR TS Index]:[VAR Robustness Index]])</f>
        <v>-2.1723997404387587</v>
      </c>
      <c r="AL38" s="11">
        <f>Opti_Medias__30_INS[[#This Row],[SUMA]]-Opti_Medias__30_INS[[#This Row],[VAR Robustness Index]]</f>
        <v>-1.6523484590579092</v>
      </c>
    </row>
    <row r="39" spans="1:38" x14ac:dyDescent="0.25">
      <c r="A39" s="11"/>
      <c r="B39" s="17">
        <v>37</v>
      </c>
      <c r="C39" s="17">
        <v>11</v>
      </c>
      <c r="D39" s="17">
        <v>487</v>
      </c>
      <c r="E39" s="10">
        <v>145340</v>
      </c>
      <c r="F39" s="10">
        <v>1473020</v>
      </c>
      <c r="G39" s="10">
        <v>-1327680</v>
      </c>
      <c r="H39" s="17">
        <v>3630</v>
      </c>
      <c r="I39" s="11">
        <v>36.115702479338843</v>
      </c>
      <c r="J39" s="17">
        <v>1311</v>
      </c>
      <c r="K39" s="17">
        <v>2302</v>
      </c>
      <c r="L39" s="12">
        <v>18310</v>
      </c>
      <c r="M39" s="12">
        <v>-4230</v>
      </c>
      <c r="N39" s="12">
        <v>1123.5850830078125</v>
      </c>
      <c r="O39" s="12">
        <v>-576.75067138671875</v>
      </c>
      <c r="P39" s="11">
        <v>1.948129648997728</v>
      </c>
      <c r="Q39" s="13">
        <v>40.03856749311295</v>
      </c>
      <c r="R39" s="17">
        <v>7</v>
      </c>
      <c r="S39" s="17">
        <v>14</v>
      </c>
      <c r="T39" s="17">
        <v>71</v>
      </c>
      <c r="U39" s="17">
        <v>23</v>
      </c>
      <c r="V39" s="12">
        <v>-34285</v>
      </c>
      <c r="W39" s="11">
        <v>1.109469149192577</v>
      </c>
      <c r="X39" s="17">
        <v>1</v>
      </c>
      <c r="Y39" s="12">
        <v>34285</v>
      </c>
      <c r="Z39" s="11">
        <v>423.91716494093629</v>
      </c>
      <c r="AA39" s="14">
        <v>5557.5540323756741</v>
      </c>
      <c r="AB39" s="11">
        <v>1.4075596964622981</v>
      </c>
      <c r="AC39" s="11">
        <v>1.3232954445024701</v>
      </c>
      <c r="AD39" s="15">
        <v>138662.07849087226</v>
      </c>
      <c r="AE39" s="11">
        <v>91.703493886163329</v>
      </c>
      <c r="AF39" s="11">
        <f>(Opti_Medias__30_INS[[#This Row],[All: TS Index]]-AA$114) /ABS(AA$114)</f>
        <v>-0.51851534420031398</v>
      </c>
      <c r="AG39" s="11">
        <f>(Opti_Medias__30_INS[[#This Row],[All: Expectancy Score]]-AB$114) /ABS(AB$114)</f>
        <v>-0.77329281014778728</v>
      </c>
      <c r="AH39" s="11"/>
      <c r="AI39" s="11">
        <f>(Opti_Medias__30_INS[[#This Row],[All: Perfect Profit Correlation]]-AD$114) /ABS(AD$114)</f>
        <v>-0.52236063309315872</v>
      </c>
      <c r="AJ39" s="11">
        <f>(Opti_Medias__30_INS[[#This Row],[All: Robustness Index]]-AE$114) /ABS(AE$114)</f>
        <v>-0.35913699559770845</v>
      </c>
      <c r="AK39" s="11">
        <f>SUM(Opti_Medias__30_INS[[#This Row],[VAR TS Index]:[VAR Robustness Index]])</f>
        <v>-2.1733057830389684</v>
      </c>
      <c r="AL39" s="11">
        <f>Opti_Medias__30_INS[[#This Row],[SUMA]]-Opti_Medias__30_INS[[#This Row],[VAR Robustness Index]]</f>
        <v>-1.81416878744126</v>
      </c>
    </row>
    <row r="40" spans="1:38" x14ac:dyDescent="0.25">
      <c r="A40" s="11"/>
      <c r="B40" s="17">
        <v>5</v>
      </c>
      <c r="C40" s="17">
        <v>8</v>
      </c>
      <c r="D40" s="17">
        <v>320</v>
      </c>
      <c r="E40" s="10">
        <v>290660</v>
      </c>
      <c r="F40" s="10">
        <v>1679690</v>
      </c>
      <c r="G40" s="10">
        <v>-1389030</v>
      </c>
      <c r="H40" s="17">
        <v>3938</v>
      </c>
      <c r="I40" s="11">
        <v>39.893346876587103</v>
      </c>
      <c r="J40" s="17">
        <v>1571</v>
      </c>
      <c r="K40" s="17">
        <v>2348</v>
      </c>
      <c r="L40" s="12">
        <v>18050</v>
      </c>
      <c r="M40" s="12">
        <v>-6230</v>
      </c>
      <c r="N40" s="12">
        <v>1069.1851806640625</v>
      </c>
      <c r="O40" s="12">
        <v>-591.580078125</v>
      </c>
      <c r="P40" s="11">
        <v>1.807338042979441</v>
      </c>
      <c r="Q40" s="13">
        <v>73.809040121889282</v>
      </c>
      <c r="R40" s="17">
        <v>7</v>
      </c>
      <c r="S40" s="17">
        <v>17</v>
      </c>
      <c r="T40" s="17">
        <v>56</v>
      </c>
      <c r="U40" s="17">
        <v>25</v>
      </c>
      <c r="V40" s="12">
        <v>-55455</v>
      </c>
      <c r="W40" s="11">
        <v>1.209253939799716</v>
      </c>
      <c r="X40" s="17">
        <v>1</v>
      </c>
      <c r="Y40" s="12">
        <v>55455</v>
      </c>
      <c r="Z40" s="11">
        <v>524.13668740420155</v>
      </c>
      <c r="AA40" s="14">
        <v>8234.1873591200074</v>
      </c>
      <c r="AB40" s="11">
        <v>0.30069292043913098</v>
      </c>
      <c r="AC40" s="11">
        <v>2.7694764451318701</v>
      </c>
      <c r="AD40" s="15">
        <v>278501.15392880078</v>
      </c>
      <c r="AE40" s="11">
        <v>14.843437274079976</v>
      </c>
      <c r="AF40" s="11">
        <f>(Opti_Medias__30_INS[[#This Row],[All: TS Index]]-AA$114) /ABS(AA$114)</f>
        <v>-0.28662234441627737</v>
      </c>
      <c r="AG40" s="11">
        <f>(Opti_Medias__30_INS[[#This Row],[All: Expectancy Score]]-AB$114) /ABS(AB$114)</f>
        <v>-0.95156919655163186</v>
      </c>
      <c r="AH40" s="11"/>
      <c r="AI40" s="11">
        <f>(Opti_Medias__30_INS[[#This Row],[All: Perfect Profit Correlation]]-AD$114) /ABS(AD$114)</f>
        <v>-4.0666948792825883E-2</v>
      </c>
      <c r="AJ40" s="11">
        <f>(Opti_Medias__30_INS[[#This Row],[All: Robustness Index]]-AE$114) /ABS(AE$114)</f>
        <v>-0.89626774941713361</v>
      </c>
      <c r="AK40" s="11">
        <f>SUM(Opti_Medias__30_INS[[#This Row],[VAR TS Index]:[VAR Robustness Index]])</f>
        <v>-2.1751262391778687</v>
      </c>
      <c r="AL40" s="11">
        <f>Opti_Medias__30_INS[[#This Row],[SUMA]]-Opti_Medias__30_INS[[#This Row],[VAR Robustness Index]]</f>
        <v>-1.2788584897607351</v>
      </c>
    </row>
    <row r="41" spans="1:38" x14ac:dyDescent="0.25">
      <c r="A41" s="11"/>
      <c r="B41" s="17">
        <v>31</v>
      </c>
      <c r="C41" s="17">
        <v>11</v>
      </c>
      <c r="D41" s="17">
        <v>481</v>
      </c>
      <c r="E41" s="10">
        <v>197930</v>
      </c>
      <c r="F41" s="10">
        <v>1489780</v>
      </c>
      <c r="G41" s="10">
        <v>-1291850</v>
      </c>
      <c r="H41" s="17">
        <v>3638</v>
      </c>
      <c r="I41" s="11">
        <v>39.169873556899397</v>
      </c>
      <c r="J41" s="17">
        <v>1425</v>
      </c>
      <c r="K41" s="17">
        <v>2199</v>
      </c>
      <c r="L41" s="12">
        <v>18210</v>
      </c>
      <c r="M41" s="12">
        <v>-4570</v>
      </c>
      <c r="N41" s="12">
        <v>1045.4595947265625</v>
      </c>
      <c r="O41" s="12">
        <v>-587.4715576171875</v>
      </c>
      <c r="P41" s="11">
        <v>1.779591847760249</v>
      </c>
      <c r="Q41" s="13">
        <v>54.406267179769102</v>
      </c>
      <c r="R41" s="17">
        <v>7</v>
      </c>
      <c r="S41" s="17">
        <v>12</v>
      </c>
      <c r="T41" s="17">
        <v>65</v>
      </c>
      <c r="U41" s="17">
        <v>25</v>
      </c>
      <c r="V41" s="12">
        <v>-45525</v>
      </c>
      <c r="W41" s="11">
        <v>1.1532143824747461</v>
      </c>
      <c r="X41" s="17">
        <v>1</v>
      </c>
      <c r="Y41" s="12">
        <v>45525</v>
      </c>
      <c r="Z41" s="11">
        <v>434.77210323997804</v>
      </c>
      <c r="AA41" s="14">
        <v>6195.5024711696869</v>
      </c>
      <c r="AB41" s="11">
        <v>0.789883851096292</v>
      </c>
      <c r="AC41" s="11">
        <v>1.8601336000048969</v>
      </c>
      <c r="AD41" s="15">
        <v>187909.66337424924</v>
      </c>
      <c r="AE41" s="11">
        <v>73.420919446251631</v>
      </c>
      <c r="AF41" s="11">
        <f>(Opti_Medias__30_INS[[#This Row],[All: TS Index]]-AA$114) /ABS(AA$114)</f>
        <v>-0.46324599680732415</v>
      </c>
      <c r="AG41" s="11">
        <f>(Opti_Medias__30_INS[[#This Row],[All: Expectancy Score]]-AB$114) /ABS(AB$114)</f>
        <v>-0.87277815026832828</v>
      </c>
      <c r="AH41" s="11"/>
      <c r="AI41" s="11">
        <f>(Opti_Medias__30_INS[[#This Row],[All: Perfect Profit Correlation]]-AD$114) /ABS(AD$114)</f>
        <v>-0.35272099173342292</v>
      </c>
      <c r="AJ41" s="11">
        <f>(Opti_Medias__30_INS[[#This Row],[All: Robustness Index]]-AE$114) /ABS(AE$114)</f>
        <v>-0.48690339889652778</v>
      </c>
      <c r="AK41" s="11">
        <f>SUM(Opti_Medias__30_INS[[#This Row],[VAR TS Index]:[VAR Robustness Index]])</f>
        <v>-2.175648537705603</v>
      </c>
      <c r="AL41" s="11">
        <f>Opti_Medias__30_INS[[#This Row],[SUMA]]-Opti_Medias__30_INS[[#This Row],[VAR Robustness Index]]</f>
        <v>-1.6887451388090753</v>
      </c>
    </row>
    <row r="42" spans="1:38" x14ac:dyDescent="0.25">
      <c r="A42" s="11"/>
      <c r="B42" s="17">
        <v>33</v>
      </c>
      <c r="C42" s="17">
        <v>11</v>
      </c>
      <c r="D42" s="17">
        <v>483</v>
      </c>
      <c r="E42" s="10">
        <v>176020</v>
      </c>
      <c r="F42" s="10">
        <v>1486630</v>
      </c>
      <c r="G42" s="10">
        <v>-1310610</v>
      </c>
      <c r="H42" s="17">
        <v>3652</v>
      </c>
      <c r="I42" s="11">
        <v>37.020810514786419</v>
      </c>
      <c r="J42" s="17">
        <v>1352</v>
      </c>
      <c r="K42" s="17">
        <v>2276</v>
      </c>
      <c r="L42" s="12">
        <v>18440</v>
      </c>
      <c r="M42" s="12">
        <v>-4570</v>
      </c>
      <c r="N42" s="12">
        <v>1099.578369140625</v>
      </c>
      <c r="O42" s="12">
        <v>-575.83917236328125</v>
      </c>
      <c r="P42" s="11">
        <v>1.909523391102214</v>
      </c>
      <c r="Q42" s="13">
        <v>48.198247535596934</v>
      </c>
      <c r="R42" s="17">
        <v>7</v>
      </c>
      <c r="S42" s="17">
        <v>15</v>
      </c>
      <c r="T42" s="17">
        <v>67</v>
      </c>
      <c r="U42" s="17">
        <v>24</v>
      </c>
      <c r="V42" s="12">
        <v>-46095</v>
      </c>
      <c r="W42" s="11">
        <v>1.134303873768703</v>
      </c>
      <c r="X42" s="17">
        <v>1</v>
      </c>
      <c r="Y42" s="12">
        <v>46095</v>
      </c>
      <c r="Z42" s="11">
        <v>381.86354268358826</v>
      </c>
      <c r="AA42" s="14">
        <v>5162.795097082113</v>
      </c>
      <c r="AB42" s="11">
        <v>0.74250710704654899</v>
      </c>
      <c r="AC42" s="11">
        <v>1.6306080877148059</v>
      </c>
      <c r="AD42" s="15">
        <v>165019.14937307368</v>
      </c>
      <c r="AE42" s="11">
        <v>95.034086250169864</v>
      </c>
      <c r="AF42" s="11">
        <f>(Opti_Medias__30_INS[[#This Row],[All: TS Index]]-AA$114) /ABS(AA$114)</f>
        <v>-0.55271570806117987</v>
      </c>
      <c r="AG42" s="11">
        <f>(Opti_Medias__30_INS[[#This Row],[All: Expectancy Score]]-AB$114) /ABS(AB$114)</f>
        <v>-0.88040883800033698</v>
      </c>
      <c r="AH42" s="11"/>
      <c r="AI42" s="11">
        <f>(Opti_Medias__30_INS[[#This Row],[All: Perfect Profit Correlation]]-AD$114) /ABS(AD$114)</f>
        <v>-0.43157031185531475</v>
      </c>
      <c r="AJ42" s="11">
        <f>(Opti_Medias__30_INS[[#This Row],[All: Robustness Index]]-AE$114) /ABS(AE$114)</f>
        <v>-0.33586140010637228</v>
      </c>
      <c r="AK42" s="11">
        <f>SUM(Opti_Medias__30_INS[[#This Row],[VAR TS Index]:[VAR Robustness Index]])</f>
        <v>-2.2005562580232039</v>
      </c>
      <c r="AL42" s="11">
        <f>Opti_Medias__30_INS[[#This Row],[SUMA]]-Opti_Medias__30_INS[[#This Row],[VAR Robustness Index]]</f>
        <v>-1.8646948579168316</v>
      </c>
    </row>
    <row r="43" spans="1:38" x14ac:dyDescent="0.25">
      <c r="A43" s="11"/>
      <c r="B43" s="17">
        <v>32</v>
      </c>
      <c r="C43" s="17">
        <v>11</v>
      </c>
      <c r="D43" s="17">
        <v>482</v>
      </c>
      <c r="E43" s="10">
        <v>161240</v>
      </c>
      <c r="F43" s="10">
        <v>1476160</v>
      </c>
      <c r="G43" s="10">
        <v>-1314920</v>
      </c>
      <c r="H43" s="17">
        <v>3652</v>
      </c>
      <c r="I43" s="11">
        <v>37.869660460021905</v>
      </c>
      <c r="J43" s="17">
        <v>1383</v>
      </c>
      <c r="K43" s="17">
        <v>2243</v>
      </c>
      <c r="L43" s="12">
        <v>18440</v>
      </c>
      <c r="M43" s="12">
        <v>-4570</v>
      </c>
      <c r="N43" s="12">
        <v>1067.36083984375</v>
      </c>
      <c r="O43" s="12">
        <v>-586.23272705078125</v>
      </c>
      <c r="P43" s="11">
        <v>1.8207117934432411</v>
      </c>
      <c r="Q43" s="13">
        <v>44.151150054764514</v>
      </c>
      <c r="R43" s="17">
        <v>8</v>
      </c>
      <c r="S43" s="17">
        <v>13</v>
      </c>
      <c r="T43" s="17">
        <v>66</v>
      </c>
      <c r="U43" s="17">
        <v>25</v>
      </c>
      <c r="V43" s="12">
        <v>-46665</v>
      </c>
      <c r="W43" s="11">
        <v>1.122623429562255</v>
      </c>
      <c r="X43" s="17">
        <v>1</v>
      </c>
      <c r="Y43" s="12">
        <v>46665</v>
      </c>
      <c r="Z43" s="11">
        <v>345.52662595092681</v>
      </c>
      <c r="AA43" s="14">
        <v>4778.633236901318</v>
      </c>
      <c r="AB43" s="11">
        <v>0.58251145669150095</v>
      </c>
      <c r="AC43" s="11">
        <v>1.4931040050978539</v>
      </c>
      <c r="AD43" s="15">
        <v>150840.88207103437</v>
      </c>
      <c r="AE43" s="11">
        <v>110.30088437767425</v>
      </c>
      <c r="AF43" s="11">
        <f>(Opti_Medias__30_INS[[#This Row],[All: TS Index]]-AA$114) /ABS(AA$114)</f>
        <v>-0.58599798295099315</v>
      </c>
      <c r="AG43" s="11">
        <f>(Opti_Medias__30_INS[[#This Row],[All: Expectancy Score]]-AB$114) /ABS(AB$114)</f>
        <v>-0.90617837684954894</v>
      </c>
      <c r="AH43" s="11"/>
      <c r="AI43" s="11">
        <f>(Opti_Medias__30_INS[[#This Row],[All: Perfect Profit Correlation]]-AD$114) /ABS(AD$114)</f>
        <v>-0.48040917747514472</v>
      </c>
      <c r="AJ43" s="11">
        <f>(Opti_Medias__30_INS[[#This Row],[All: Robustness Index]]-AE$114) /ABS(AE$114)</f>
        <v>-0.22917052388151354</v>
      </c>
      <c r="AK43" s="11">
        <f>SUM(Opti_Medias__30_INS[[#This Row],[VAR TS Index]:[VAR Robustness Index]])</f>
        <v>-2.2017560611572002</v>
      </c>
      <c r="AL43" s="11">
        <f>Opti_Medias__30_INS[[#This Row],[SUMA]]-Opti_Medias__30_INS[[#This Row],[VAR Robustness Index]]</f>
        <v>-1.9725855372756866</v>
      </c>
    </row>
    <row r="44" spans="1:38" x14ac:dyDescent="0.25">
      <c r="A44" s="11"/>
      <c r="B44" s="17">
        <v>9</v>
      </c>
      <c r="C44" s="17">
        <v>8</v>
      </c>
      <c r="D44" s="17">
        <v>324</v>
      </c>
      <c r="E44" s="10">
        <v>233690</v>
      </c>
      <c r="F44" s="10">
        <v>1612410</v>
      </c>
      <c r="G44" s="10">
        <v>-1378720</v>
      </c>
      <c r="H44" s="17">
        <v>3884</v>
      </c>
      <c r="I44" s="11">
        <v>38.027806385169924</v>
      </c>
      <c r="J44" s="17">
        <v>1477</v>
      </c>
      <c r="K44" s="17">
        <v>2389</v>
      </c>
      <c r="L44" s="12">
        <v>18310</v>
      </c>
      <c r="M44" s="12">
        <v>-6980</v>
      </c>
      <c r="N44" s="12">
        <v>1091.6790771484375</v>
      </c>
      <c r="O44" s="12">
        <v>-577.11175537109375</v>
      </c>
      <c r="P44" s="11">
        <v>1.891625091653985</v>
      </c>
      <c r="Q44" s="13">
        <v>60.167353244078271</v>
      </c>
      <c r="R44" s="17">
        <v>7</v>
      </c>
      <c r="S44" s="17">
        <v>15</v>
      </c>
      <c r="T44" s="17">
        <v>60</v>
      </c>
      <c r="U44" s="17">
        <v>24</v>
      </c>
      <c r="V44" s="12">
        <v>-42035</v>
      </c>
      <c r="W44" s="11">
        <v>1.1694977950562839</v>
      </c>
      <c r="X44" s="17">
        <v>1</v>
      </c>
      <c r="Y44" s="12">
        <v>42035</v>
      </c>
      <c r="Z44" s="11">
        <v>555.94147734031162</v>
      </c>
      <c r="AA44" s="14">
        <v>8211.2556203164022</v>
      </c>
      <c r="AB44" s="11">
        <v>0.37313964120781001</v>
      </c>
      <c r="AC44" s="11">
        <v>2.1994257522576319</v>
      </c>
      <c r="AD44" s="15">
        <v>224181.12214969017</v>
      </c>
      <c r="AE44" s="11">
        <v>35.176720999570051</v>
      </c>
      <c r="AF44" s="11">
        <f>(Opti_Medias__30_INS[[#This Row],[All: TS Index]]-AA$114) /ABS(AA$114)</f>
        <v>-0.28860906020894816</v>
      </c>
      <c r="AG44" s="11">
        <f>(Opti_Medias__30_INS[[#This Row],[All: Expectancy Score]]-AB$114) /ABS(AB$114)</f>
        <v>-0.93990063818017877</v>
      </c>
      <c r="AH44" s="11"/>
      <c r="AI44" s="11">
        <f>(Opti_Medias__30_INS[[#This Row],[All: Perfect Profit Correlation]]-AD$114) /ABS(AD$114)</f>
        <v>-0.22777928600650613</v>
      </c>
      <c r="AJ44" s="11">
        <f>(Opti_Medias__30_INS[[#This Row],[All: Robustness Index]]-AE$114) /ABS(AE$114)</f>
        <v>-0.7541701177406599</v>
      </c>
      <c r="AK44" s="11">
        <f>SUM(Opti_Medias__30_INS[[#This Row],[VAR TS Index]:[VAR Robustness Index]])</f>
        <v>-2.2104591021362929</v>
      </c>
      <c r="AL44" s="11">
        <f>Opti_Medias__30_INS[[#This Row],[SUMA]]-Opti_Medias__30_INS[[#This Row],[VAR Robustness Index]]</f>
        <v>-1.456288984395633</v>
      </c>
    </row>
    <row r="45" spans="1:38" x14ac:dyDescent="0.25">
      <c r="A45" s="81" t="s">
        <v>66</v>
      </c>
      <c r="B45" s="89">
        <v>18</v>
      </c>
      <c r="C45" s="89">
        <v>3</v>
      </c>
      <c r="D45" s="89">
        <v>108</v>
      </c>
      <c r="E45" s="90">
        <v>217520</v>
      </c>
      <c r="F45" s="90">
        <v>1463860</v>
      </c>
      <c r="G45" s="90">
        <v>-1246340</v>
      </c>
      <c r="H45" s="89">
        <v>2859</v>
      </c>
      <c r="I45" s="81">
        <v>41.622945085694298</v>
      </c>
      <c r="J45" s="89">
        <v>1190</v>
      </c>
      <c r="K45" s="89">
        <v>1650</v>
      </c>
      <c r="L45" s="91">
        <v>25490</v>
      </c>
      <c r="M45" s="91">
        <v>-6640</v>
      </c>
      <c r="N45" s="91">
        <v>1230.1343994140625</v>
      </c>
      <c r="O45" s="91">
        <v>-755.35760498046875</v>
      </c>
      <c r="P45" s="81">
        <v>1.6285457262932701</v>
      </c>
      <c r="Q45" s="92">
        <v>76.082546344875837</v>
      </c>
      <c r="R45" s="89">
        <v>8</v>
      </c>
      <c r="S45" s="89">
        <v>15</v>
      </c>
      <c r="T45" s="89">
        <v>70</v>
      </c>
      <c r="U45" s="89">
        <v>38</v>
      </c>
      <c r="V45" s="91">
        <v>-35935</v>
      </c>
      <c r="W45" s="81">
        <v>1.174527015100213</v>
      </c>
      <c r="X45" s="89">
        <v>1</v>
      </c>
      <c r="Y45" s="91">
        <v>35935</v>
      </c>
      <c r="Z45" s="81">
        <v>605.31515235842494</v>
      </c>
      <c r="AA45" s="93">
        <v>7203.2503130652567</v>
      </c>
      <c r="AB45" s="81">
        <v>4.0799901394047877</v>
      </c>
      <c r="AC45" s="81">
        <v>2.0576758836092659</v>
      </c>
      <c r="AD45" s="94">
        <v>205540.60940871091</v>
      </c>
      <c r="AE45" s="81">
        <v>-32.385213020168386</v>
      </c>
      <c r="AF45" s="11">
        <f>(Opti_Medias__30_INS[[#This Row],[All: TS Index]]-AA$114) /ABS(AA$114)</f>
        <v>-0.37593868140178216</v>
      </c>
      <c r="AG45" s="11">
        <f>(Opti_Medias__30_INS[[#This Row],[All: Expectancy Score]]-AB$114) /ABS(AB$114)</f>
        <v>-0.34286048296639893</v>
      </c>
      <c r="AH45" s="11"/>
      <c r="AI45" s="11">
        <f>(Opti_Medias__30_INS[[#This Row],[All: Perfect Profit Correlation]]-AD$114) /ABS(AD$114)</f>
        <v>-0.29198893006579618</v>
      </c>
      <c r="AJ45" s="11">
        <f>(Opti_Medias__30_INS[[#This Row],[All: Robustness Index]]-AE$114) /ABS(AE$114)</f>
        <v>-1.2263216376474926</v>
      </c>
      <c r="AK45" s="11">
        <f>SUM(Opti_Medias__30_INS[[#This Row],[VAR TS Index]:[VAR Robustness Index]])</f>
        <v>-2.2371097320814699</v>
      </c>
      <c r="AL45" s="11">
        <f>Opti_Medias__30_INS[[#This Row],[SUMA]]-Opti_Medias__30_INS[[#This Row],[VAR Robustness Index]]</f>
        <v>-1.0107880944339773</v>
      </c>
    </row>
    <row r="46" spans="1:38" x14ac:dyDescent="0.25">
      <c r="A46" s="11"/>
      <c r="B46" s="17">
        <v>11</v>
      </c>
      <c r="C46" s="17">
        <v>8</v>
      </c>
      <c r="D46" s="17">
        <v>326</v>
      </c>
      <c r="E46" s="4">
        <v>235940</v>
      </c>
      <c r="F46" s="4">
        <v>1582020</v>
      </c>
      <c r="G46" s="4">
        <v>-1346080</v>
      </c>
      <c r="H46" s="17">
        <v>3766</v>
      </c>
      <c r="I46" s="5">
        <v>37.440254912373874</v>
      </c>
      <c r="J46" s="17">
        <v>1410</v>
      </c>
      <c r="K46" s="17">
        <v>2345</v>
      </c>
      <c r="L46" s="6">
        <v>17970</v>
      </c>
      <c r="M46" s="6">
        <v>-4570</v>
      </c>
      <c r="N46" s="6">
        <v>1122</v>
      </c>
      <c r="O46" s="6">
        <v>-574.02130126953125</v>
      </c>
      <c r="P46" s="5">
        <v>1.954631295944131</v>
      </c>
      <c r="Q46" s="7">
        <v>62.650026553372278</v>
      </c>
      <c r="R46" s="17">
        <v>7</v>
      </c>
      <c r="S46" s="17">
        <v>15</v>
      </c>
      <c r="T46" s="17">
        <v>63</v>
      </c>
      <c r="U46" s="17">
        <v>25</v>
      </c>
      <c r="V46" s="6">
        <v>-36795</v>
      </c>
      <c r="W46" s="5">
        <v>1.175279329608939</v>
      </c>
      <c r="X46" s="17">
        <v>1</v>
      </c>
      <c r="Y46" s="6">
        <v>36795</v>
      </c>
      <c r="Z46" s="5">
        <v>641.22842777551296</v>
      </c>
      <c r="AA46" s="8">
        <v>9041.3208316347336</v>
      </c>
      <c r="AB46" s="5">
        <v>0.14230714019805099</v>
      </c>
      <c r="AC46" s="5">
        <v>2.216060346998693</v>
      </c>
      <c r="AD46" s="9">
        <v>229094.46259546763</v>
      </c>
      <c r="AE46" s="5">
        <v>23.715399407045158</v>
      </c>
      <c r="AF46" s="11">
        <f>(Opti_Medias__30_INS[[#This Row],[All: TS Index]]-AA$114) /ABS(AA$114)</f>
        <v>-0.21669547012333687</v>
      </c>
      <c r="AG46" s="11">
        <f>(Opti_Medias__30_INS[[#This Row],[All: Expectancy Score]]-AB$114) /ABS(AB$114)</f>
        <v>-0.9770794432866392</v>
      </c>
      <c r="AH46" s="11"/>
      <c r="AI46" s="11">
        <f>(Opti_Medias__30_INS[[#This Row],[All: Perfect Profit Correlation]]-AD$114) /ABS(AD$114)</f>
        <v>-0.21085465278695284</v>
      </c>
      <c r="AJ46" s="11">
        <f>(Opti_Medias__30_INS[[#This Row],[All: Robustness Index]]-AE$114) /ABS(AE$114)</f>
        <v>-0.83426670598324415</v>
      </c>
      <c r="AK46" s="11">
        <f>SUM(Opti_Medias__30_INS[[#This Row],[VAR TS Index]:[VAR Robustness Index]])</f>
        <v>-2.2388962721801731</v>
      </c>
      <c r="AL46" s="11">
        <f>Opti_Medias__30_INS[[#This Row],[SUMA]]-Opti_Medias__30_INS[[#This Row],[VAR Robustness Index]]</f>
        <v>-1.4046295661969288</v>
      </c>
    </row>
    <row r="47" spans="1:38" x14ac:dyDescent="0.25">
      <c r="A47" s="11"/>
      <c r="B47" s="17">
        <v>10</v>
      </c>
      <c r="C47" s="17">
        <v>3</v>
      </c>
      <c r="D47" s="17">
        <v>100</v>
      </c>
      <c r="E47" s="10">
        <v>259000</v>
      </c>
      <c r="F47" s="10">
        <v>1551770</v>
      </c>
      <c r="G47" s="10">
        <v>-1292770</v>
      </c>
      <c r="H47" s="17">
        <v>3330</v>
      </c>
      <c r="I47" s="11">
        <v>45.615615615615617</v>
      </c>
      <c r="J47" s="17">
        <v>1519</v>
      </c>
      <c r="K47" s="17">
        <v>1780</v>
      </c>
      <c r="L47" s="12">
        <v>13680</v>
      </c>
      <c r="M47" s="12">
        <v>-6530</v>
      </c>
      <c r="N47" s="12">
        <v>1021.5734252929688</v>
      </c>
      <c r="O47" s="12">
        <v>-726.2752685546875</v>
      </c>
      <c r="P47" s="11">
        <v>1.406592609611965</v>
      </c>
      <c r="Q47" s="13">
        <v>77.777777777777771</v>
      </c>
      <c r="R47" s="17">
        <v>10</v>
      </c>
      <c r="S47" s="17">
        <v>11</v>
      </c>
      <c r="T47" s="17">
        <v>55</v>
      </c>
      <c r="U47" s="17">
        <v>35</v>
      </c>
      <c r="V47" s="12">
        <v>-52595</v>
      </c>
      <c r="W47" s="11">
        <v>1.20034499562954</v>
      </c>
      <c r="X47" s="17">
        <v>1</v>
      </c>
      <c r="Y47" s="12">
        <v>52595</v>
      </c>
      <c r="Z47" s="11">
        <v>492.44224736191654</v>
      </c>
      <c r="AA47" s="14">
        <v>7480.197737427512</v>
      </c>
      <c r="AB47" s="11">
        <v>1.060299131954906</v>
      </c>
      <c r="AC47" s="11">
        <v>2.4982642773687509</v>
      </c>
      <c r="AD47" s="15">
        <v>241091.17296267932</v>
      </c>
      <c r="AE47" s="11">
        <v>14.693898533810707</v>
      </c>
      <c r="AF47" s="11">
        <f>(Opti_Medias__30_INS[[#This Row],[All: TS Index]]-AA$114) /ABS(AA$114)</f>
        <v>-0.35194504417992883</v>
      </c>
      <c r="AG47" s="11">
        <f>(Opti_Medias__30_INS[[#This Row],[All: Expectancy Score]]-AB$114) /ABS(AB$114)</f>
        <v>-0.82922398445167778</v>
      </c>
      <c r="AH47" s="11"/>
      <c r="AI47" s="11">
        <f>(Opti_Medias__30_INS[[#This Row],[All: Perfect Profit Correlation]]-AD$114) /ABS(AD$114)</f>
        <v>-0.16953044066549</v>
      </c>
      <c r="AJ47" s="11">
        <f>(Opti_Medias__30_INS[[#This Row],[All: Robustness Index]]-AE$114) /ABS(AE$114)</f>
        <v>-0.89731278971278972</v>
      </c>
      <c r="AK47" s="11">
        <f>SUM(Opti_Medias__30_INS[[#This Row],[VAR TS Index]:[VAR Robustness Index]])</f>
        <v>-2.2480122590098865</v>
      </c>
      <c r="AL47" s="11">
        <f>Opti_Medias__30_INS[[#This Row],[SUMA]]-Opti_Medias__30_INS[[#This Row],[VAR Robustness Index]]</f>
        <v>-1.3506994692970968</v>
      </c>
    </row>
    <row r="48" spans="1:38" x14ac:dyDescent="0.25">
      <c r="A48" s="11"/>
      <c r="B48" s="17">
        <v>33</v>
      </c>
      <c r="C48" s="17">
        <v>8</v>
      </c>
      <c r="D48" s="17">
        <v>348</v>
      </c>
      <c r="E48" s="10">
        <v>155180</v>
      </c>
      <c r="F48" s="10">
        <v>1502810</v>
      </c>
      <c r="G48" s="10">
        <v>-1347630</v>
      </c>
      <c r="H48" s="17">
        <v>3798</v>
      </c>
      <c r="I48" s="11">
        <v>32.780410742496052</v>
      </c>
      <c r="J48" s="17">
        <v>1245</v>
      </c>
      <c r="K48" s="17">
        <v>2538</v>
      </c>
      <c r="L48" s="12">
        <v>16890</v>
      </c>
      <c r="M48" s="12">
        <v>-4300</v>
      </c>
      <c r="N48" s="12">
        <v>1207.0762939453125</v>
      </c>
      <c r="O48" s="12">
        <v>-530.9810791015625</v>
      </c>
      <c r="P48" s="11">
        <v>2.2732943629323392</v>
      </c>
      <c r="Q48" s="13">
        <v>40.858346498156926</v>
      </c>
      <c r="R48" s="17">
        <v>11</v>
      </c>
      <c r="S48" s="17">
        <v>16</v>
      </c>
      <c r="T48" s="17">
        <v>74</v>
      </c>
      <c r="U48" s="17">
        <v>22</v>
      </c>
      <c r="V48" s="12">
        <v>-30585</v>
      </c>
      <c r="W48" s="11">
        <v>1.115150300898615</v>
      </c>
      <c r="X48" s="17">
        <v>1</v>
      </c>
      <c r="Y48" s="12">
        <v>30585</v>
      </c>
      <c r="Z48" s="11">
        <v>507.37289521007028</v>
      </c>
      <c r="AA48" s="14">
        <v>6316.7925453653752</v>
      </c>
      <c r="AB48" s="11">
        <v>0.79306198990546894</v>
      </c>
      <c r="AC48" s="11">
        <v>1.393389128893306</v>
      </c>
      <c r="AD48" s="15">
        <v>147985.14451379402</v>
      </c>
      <c r="AE48" s="11">
        <v>78.896576077939045</v>
      </c>
      <c r="AF48" s="11">
        <f>(Opti_Medias__30_INS[[#This Row],[All: TS Index]]-AA$114) /ABS(AA$114)</f>
        <v>-0.45273790110806106</v>
      </c>
      <c r="AG48" s="11">
        <f>(Opti_Medias__30_INS[[#This Row],[All: Expectancy Score]]-AB$114) /ABS(AB$114)</f>
        <v>-0.87226626653067951</v>
      </c>
      <c r="AH48" s="11"/>
      <c r="AI48" s="11">
        <f>(Opti_Medias__30_INS[[#This Row],[All: Perfect Profit Correlation]]-AD$114) /ABS(AD$114)</f>
        <v>-0.49024613285427643</v>
      </c>
      <c r="AJ48" s="11">
        <f>(Opti_Medias__30_INS[[#This Row],[All: Robustness Index]]-AE$114) /ABS(AE$114)</f>
        <v>-0.4486371822961589</v>
      </c>
      <c r="AK48" s="11">
        <f>SUM(Opti_Medias__30_INS[[#This Row],[VAR TS Index]:[VAR Robustness Index]])</f>
        <v>-2.2638874827891757</v>
      </c>
      <c r="AL48" s="11">
        <f>Opti_Medias__30_INS[[#This Row],[SUMA]]-Opti_Medias__30_INS[[#This Row],[VAR Robustness Index]]</f>
        <v>-1.8152503004930169</v>
      </c>
    </row>
    <row r="49" spans="1:38" x14ac:dyDescent="0.25">
      <c r="A49" s="11"/>
      <c r="B49" s="17">
        <v>17</v>
      </c>
      <c r="C49" s="17">
        <v>8</v>
      </c>
      <c r="D49" s="17">
        <v>332</v>
      </c>
      <c r="E49" s="10">
        <v>220360</v>
      </c>
      <c r="F49" s="10">
        <v>1510160</v>
      </c>
      <c r="G49" s="10">
        <v>-1289800</v>
      </c>
      <c r="H49" s="17">
        <v>3576</v>
      </c>
      <c r="I49" s="11">
        <v>35.822147651006709</v>
      </c>
      <c r="J49" s="17">
        <v>1281</v>
      </c>
      <c r="K49" s="17">
        <v>2286</v>
      </c>
      <c r="L49" s="12">
        <v>16640</v>
      </c>
      <c r="M49" s="12">
        <v>-4640</v>
      </c>
      <c r="N49" s="12">
        <v>1178.8914794921875</v>
      </c>
      <c r="O49" s="12">
        <v>-564.21697998046875</v>
      </c>
      <c r="P49" s="11">
        <v>2.0894292822115998</v>
      </c>
      <c r="Q49" s="13">
        <v>61.621923937360179</v>
      </c>
      <c r="R49" s="17">
        <v>8</v>
      </c>
      <c r="S49" s="17">
        <v>13</v>
      </c>
      <c r="T49" s="17">
        <v>70</v>
      </c>
      <c r="U49" s="17">
        <v>25</v>
      </c>
      <c r="V49" s="12">
        <v>-32665</v>
      </c>
      <c r="W49" s="11">
        <v>1.170848193518375</v>
      </c>
      <c r="X49" s="17">
        <v>1</v>
      </c>
      <c r="Y49" s="12">
        <v>32665</v>
      </c>
      <c r="Z49" s="11">
        <v>674.60584723710394</v>
      </c>
      <c r="AA49" s="14">
        <v>8641.7009031073012</v>
      </c>
      <c r="AB49" s="11">
        <v>2.1356124880501998E-2</v>
      </c>
      <c r="AC49" s="11">
        <v>2.0514264009704299</v>
      </c>
      <c r="AD49" s="15">
        <v>211913.95747973843</v>
      </c>
      <c r="AE49" s="11">
        <v>35.599818599896409</v>
      </c>
      <c r="AF49" s="11">
        <f>(Opti_Medias__30_INS[[#This Row],[All: TS Index]]-AA$114) /ABS(AA$114)</f>
        <v>-0.25131697134794601</v>
      </c>
      <c r="AG49" s="11">
        <f>(Opti_Medias__30_INS[[#This Row],[All: Expectancy Score]]-AB$114) /ABS(AB$114)</f>
        <v>-0.99656029717960792</v>
      </c>
      <c r="AH49" s="11"/>
      <c r="AI49" s="11">
        <f>(Opti_Medias__30_INS[[#This Row],[All: Perfect Profit Correlation]]-AD$114) /ABS(AD$114)</f>
        <v>-0.27003511276510633</v>
      </c>
      <c r="AJ49" s="11">
        <f>(Opti_Medias__30_INS[[#This Row],[All: Robustness Index]]-AE$114) /ABS(AE$114)</f>
        <v>-0.7512133318232429</v>
      </c>
      <c r="AK49" s="11">
        <f>SUM(Opti_Medias__30_INS[[#This Row],[VAR TS Index]:[VAR Robustness Index]])</f>
        <v>-2.2691257131159031</v>
      </c>
      <c r="AL49" s="11">
        <f>Opti_Medias__30_INS[[#This Row],[SUMA]]-Opti_Medias__30_INS[[#This Row],[VAR Robustness Index]]</f>
        <v>-1.51791238129266</v>
      </c>
    </row>
    <row r="50" spans="1:38" x14ac:dyDescent="0.25">
      <c r="A50" s="11"/>
      <c r="B50" s="17">
        <v>9</v>
      </c>
      <c r="C50" s="17">
        <v>3</v>
      </c>
      <c r="D50" s="17">
        <v>99</v>
      </c>
      <c r="E50" s="10">
        <v>208840</v>
      </c>
      <c r="F50" s="10">
        <v>1554180</v>
      </c>
      <c r="G50" s="10">
        <v>-1345340</v>
      </c>
      <c r="H50" s="17">
        <v>3478</v>
      </c>
      <c r="I50" s="11">
        <v>45.255894192064403</v>
      </c>
      <c r="J50" s="17">
        <v>1574</v>
      </c>
      <c r="K50" s="17">
        <v>1879</v>
      </c>
      <c r="L50" s="12">
        <v>16440</v>
      </c>
      <c r="M50" s="12">
        <v>-6560</v>
      </c>
      <c r="N50" s="12">
        <v>987.40789794921875</v>
      </c>
      <c r="O50" s="12">
        <v>-715.98724365234375</v>
      </c>
      <c r="P50" s="11">
        <v>1.379085879955519</v>
      </c>
      <c r="Q50" s="13">
        <v>60.046003450258766</v>
      </c>
      <c r="R50" s="17">
        <v>9</v>
      </c>
      <c r="S50" s="17">
        <v>10</v>
      </c>
      <c r="T50" s="17">
        <v>53</v>
      </c>
      <c r="U50" s="17">
        <v>34</v>
      </c>
      <c r="V50" s="12">
        <v>-56575</v>
      </c>
      <c r="W50" s="11">
        <v>1.1552321346276779</v>
      </c>
      <c r="X50" s="17">
        <v>1</v>
      </c>
      <c r="Y50" s="12">
        <v>56575</v>
      </c>
      <c r="Z50" s="11">
        <v>369.13831197525411</v>
      </c>
      <c r="AA50" s="14">
        <v>5810.2370304904989</v>
      </c>
      <c r="AB50" s="11">
        <v>0.74443633480062699</v>
      </c>
      <c r="AC50" s="11">
        <v>2.007021156219118</v>
      </c>
      <c r="AD50" s="15">
        <v>186696.92500466268</v>
      </c>
      <c r="AE50" s="11">
        <v>65.261396272554975</v>
      </c>
      <c r="AF50" s="11">
        <f>(Opti_Medias__30_INS[[#This Row],[All: TS Index]]-AA$114) /ABS(AA$114)</f>
        <v>-0.49662388157754894</v>
      </c>
      <c r="AG50" s="11">
        <f>(Opti_Medias__30_INS[[#This Row],[All: Expectancy Score]]-AB$114) /ABS(AB$114)</f>
        <v>-0.88009810886834272</v>
      </c>
      <c r="AH50" s="11"/>
      <c r="AI50" s="11">
        <f>(Opti_Medias__30_INS[[#This Row],[All: Perfect Profit Correlation]]-AD$114) /ABS(AD$114)</f>
        <v>-0.35689842505461095</v>
      </c>
      <c r="AJ50" s="11">
        <f>(Opti_Medias__30_INS[[#This Row],[All: Robustness Index]]-AE$114) /ABS(AE$114)</f>
        <v>-0.54392561597886246</v>
      </c>
      <c r="AK50" s="11">
        <f>SUM(Opti_Medias__30_INS[[#This Row],[VAR TS Index]:[VAR Robustness Index]])</f>
        <v>-2.277546031479365</v>
      </c>
      <c r="AL50" s="11">
        <f>Opti_Medias__30_INS[[#This Row],[SUMA]]-Opti_Medias__30_INS[[#This Row],[VAR Robustness Index]]</f>
        <v>-1.7336204155005026</v>
      </c>
    </row>
    <row r="51" spans="1:38" x14ac:dyDescent="0.25">
      <c r="A51" s="11"/>
      <c r="B51" s="17">
        <v>8</v>
      </c>
      <c r="C51" s="17">
        <v>8</v>
      </c>
      <c r="D51" s="17">
        <v>323</v>
      </c>
      <c r="E51" s="10">
        <v>248570</v>
      </c>
      <c r="F51" s="10">
        <v>1634370</v>
      </c>
      <c r="G51" s="10">
        <v>-1385800</v>
      </c>
      <c r="H51" s="17">
        <v>3896</v>
      </c>
      <c r="I51" s="11">
        <v>38.783367556468171</v>
      </c>
      <c r="J51" s="17">
        <v>1511</v>
      </c>
      <c r="K51" s="17">
        <v>2367</v>
      </c>
      <c r="L51" s="12">
        <v>18390</v>
      </c>
      <c r="M51" s="12">
        <v>-6980</v>
      </c>
      <c r="N51" s="12">
        <v>1081.64794921875</v>
      </c>
      <c r="O51" s="12">
        <v>-585.46685791015625</v>
      </c>
      <c r="P51" s="11">
        <v>1.847496463044431</v>
      </c>
      <c r="Q51" s="13">
        <v>63.801334702258728</v>
      </c>
      <c r="R51" s="17">
        <v>7</v>
      </c>
      <c r="S51" s="17">
        <v>15</v>
      </c>
      <c r="T51" s="17">
        <v>58</v>
      </c>
      <c r="U51" s="17">
        <v>25</v>
      </c>
      <c r="V51" s="12">
        <v>-48035</v>
      </c>
      <c r="W51" s="11">
        <v>1.1793693173618129</v>
      </c>
      <c r="X51" s="17">
        <v>1</v>
      </c>
      <c r="Y51" s="12">
        <v>48035</v>
      </c>
      <c r="Z51" s="11">
        <v>517.47683980430941</v>
      </c>
      <c r="AA51" s="14">
        <v>7819.075049443114</v>
      </c>
      <c r="AB51" s="11">
        <v>0.40418327168256901</v>
      </c>
      <c r="AC51" s="11">
        <v>2.3500866237154039</v>
      </c>
      <c r="AD51" s="15">
        <v>238438.81638824611</v>
      </c>
      <c r="AE51" s="11">
        <v>21.618624851136385</v>
      </c>
      <c r="AF51" s="11">
        <f>(Opti_Medias__30_INS[[#This Row],[All: TS Index]]-AA$114) /ABS(AA$114)</f>
        <v>-0.32258604470216617</v>
      </c>
      <c r="AG51" s="11">
        <f>(Opti_Medias__30_INS[[#This Row],[All: Expectancy Score]]-AB$114) /ABS(AB$114)</f>
        <v>-0.93490062699384568</v>
      </c>
      <c r="AH51" s="11"/>
      <c r="AI51" s="11">
        <f>(Opti_Medias__30_INS[[#This Row],[All: Perfect Profit Correlation]]-AD$114) /ABS(AD$114)</f>
        <v>-0.17866682408633189</v>
      </c>
      <c r="AJ51" s="11">
        <f>(Opti_Medias__30_INS[[#This Row],[All: Robustness Index]]-AE$114) /ABS(AE$114)</f>
        <v>-0.84891985805531278</v>
      </c>
      <c r="AK51" s="11">
        <f>SUM(Opti_Medias__30_INS[[#This Row],[VAR TS Index]:[VAR Robustness Index]])</f>
        <v>-2.2850733538376566</v>
      </c>
      <c r="AL51" s="11">
        <f>Opti_Medias__30_INS[[#This Row],[SUMA]]-Opti_Medias__30_INS[[#This Row],[VAR Robustness Index]]</f>
        <v>-1.4361534957823439</v>
      </c>
    </row>
    <row r="52" spans="1:38" x14ac:dyDescent="0.25">
      <c r="A52" s="11"/>
      <c r="B52" s="17">
        <v>24</v>
      </c>
      <c r="C52" s="17">
        <v>8</v>
      </c>
      <c r="D52" s="17">
        <v>339</v>
      </c>
      <c r="E52" s="4">
        <v>176070</v>
      </c>
      <c r="F52" s="4">
        <v>1460110</v>
      </c>
      <c r="G52" s="4">
        <v>-1284040</v>
      </c>
      <c r="H52" s="17">
        <v>3494</v>
      </c>
      <c r="I52" s="5">
        <v>34.831139095592441</v>
      </c>
      <c r="J52" s="17">
        <v>1217</v>
      </c>
      <c r="K52" s="17">
        <v>2266</v>
      </c>
      <c r="L52" s="6">
        <v>17090</v>
      </c>
      <c r="M52" s="6">
        <v>-4100</v>
      </c>
      <c r="N52" s="6">
        <v>1199.76171875</v>
      </c>
      <c r="O52" s="6">
        <v>-566.6549072265625</v>
      </c>
      <c r="P52" s="5">
        <v>2.1172704999981691</v>
      </c>
      <c r="Q52" s="7">
        <v>50.392100744132797</v>
      </c>
      <c r="R52" s="17">
        <v>11</v>
      </c>
      <c r="S52" s="17">
        <v>12</v>
      </c>
      <c r="T52" s="17">
        <v>75</v>
      </c>
      <c r="U52" s="17">
        <v>25</v>
      </c>
      <c r="V52" s="6">
        <v>-35355</v>
      </c>
      <c r="W52" s="5">
        <v>1.137121896514127</v>
      </c>
      <c r="X52" s="17">
        <v>1</v>
      </c>
      <c r="Y52" s="6">
        <v>35355</v>
      </c>
      <c r="Z52" s="5">
        <v>498.00593975392451</v>
      </c>
      <c r="AA52" s="8">
        <v>6060.7322868052606</v>
      </c>
      <c r="AB52" s="5">
        <v>1.213487598154805</v>
      </c>
      <c r="AC52" s="5">
        <v>1.611898820734031</v>
      </c>
      <c r="AD52" s="9">
        <v>169019.5796192126</v>
      </c>
      <c r="AE52" s="5">
        <v>58.642266925346412</v>
      </c>
      <c r="AF52" s="11">
        <f>(Opti_Medias__30_INS[[#This Row],[All: TS Index]]-AA$114) /ABS(AA$114)</f>
        <v>-0.47492195631266571</v>
      </c>
      <c r="AG52" s="11">
        <f>(Opti_Medias__30_INS[[#This Row],[All: Expectancy Score]]-AB$114) /ABS(AB$114)</f>
        <v>-0.80455083788657233</v>
      </c>
      <c r="AH52" s="11"/>
      <c r="AI52" s="11">
        <f>(Opti_Medias__30_INS[[#This Row],[All: Perfect Profit Correlation]]-AD$114) /ABS(AD$114)</f>
        <v>-0.41779031525554827</v>
      </c>
      <c r="AJ52" s="11">
        <f>(Opti_Medias__30_INS[[#This Row],[All: Robustness Index]]-AE$114) /ABS(AE$114)</f>
        <v>-0.59018290607999258</v>
      </c>
      <c r="AK52" s="11">
        <f>SUM(Opti_Medias__30_INS[[#This Row],[VAR TS Index]:[VAR Robustness Index]])</f>
        <v>-2.2874460155347789</v>
      </c>
      <c r="AL52" s="11">
        <f>Opti_Medias__30_INS[[#This Row],[SUMA]]-Opti_Medias__30_INS[[#This Row],[VAR Robustness Index]]</f>
        <v>-1.6972631094547863</v>
      </c>
    </row>
    <row r="53" spans="1:38" x14ac:dyDescent="0.25">
      <c r="A53" s="11"/>
      <c r="B53" s="17">
        <v>29</v>
      </c>
      <c r="C53" s="17">
        <v>11</v>
      </c>
      <c r="D53" s="17">
        <v>479</v>
      </c>
      <c r="E53" s="10">
        <v>174050</v>
      </c>
      <c r="F53" s="10">
        <v>1504510</v>
      </c>
      <c r="G53" s="10">
        <v>-1330460</v>
      </c>
      <c r="H53" s="17">
        <v>3652</v>
      </c>
      <c r="I53" s="11">
        <v>39.567360350492883</v>
      </c>
      <c r="J53" s="17">
        <v>1445</v>
      </c>
      <c r="K53" s="17">
        <v>2188</v>
      </c>
      <c r="L53" s="12">
        <v>16920</v>
      </c>
      <c r="M53" s="12">
        <v>-4570</v>
      </c>
      <c r="N53" s="12">
        <v>1041.183349609375</v>
      </c>
      <c r="O53" s="12">
        <v>-608.0712890625</v>
      </c>
      <c r="P53" s="11">
        <v>1.712271847622719</v>
      </c>
      <c r="Q53" s="13">
        <v>47.658817086527932</v>
      </c>
      <c r="R53" s="17">
        <v>8</v>
      </c>
      <c r="S53" s="17">
        <v>13</v>
      </c>
      <c r="T53" s="17">
        <v>63</v>
      </c>
      <c r="U53" s="17">
        <v>25</v>
      </c>
      <c r="V53" s="12">
        <v>-36015</v>
      </c>
      <c r="W53" s="11">
        <v>1.130819415841138</v>
      </c>
      <c r="X53" s="17">
        <v>1</v>
      </c>
      <c r="Y53" s="12">
        <v>36015</v>
      </c>
      <c r="Z53" s="11">
        <v>483.27085936415381</v>
      </c>
      <c r="AA53" s="14">
        <v>6983.2639178120226</v>
      </c>
      <c r="AB53" s="11">
        <v>1.0217519480479229</v>
      </c>
      <c r="AC53" s="11">
        <v>1.6291451462110249</v>
      </c>
      <c r="AD53" s="15">
        <v>166493.54963459793</v>
      </c>
      <c r="AE53" s="11">
        <v>50.675799809357869</v>
      </c>
      <c r="AF53" s="11">
        <f>(Opti_Medias__30_INS[[#This Row],[All: TS Index]]-AA$114) /ABS(AA$114)</f>
        <v>-0.39499743875835969</v>
      </c>
      <c r="AG53" s="11">
        <f>(Opti_Medias__30_INS[[#This Row],[All: Expectancy Score]]-AB$114) /ABS(AB$114)</f>
        <v>-0.83543254794083754</v>
      </c>
      <c r="AH53" s="11"/>
      <c r="AI53" s="11">
        <f>(Opti_Medias__30_INS[[#This Row],[All: Perfect Profit Correlation]]-AD$114) /ABS(AD$114)</f>
        <v>-0.42649155048705728</v>
      </c>
      <c r="AJ53" s="11">
        <f>(Opti_Medias__30_INS[[#This Row],[All: Robustness Index]]-AE$114) /ABS(AE$114)</f>
        <v>-0.64585596535036349</v>
      </c>
      <c r="AK53" s="11">
        <f>SUM(Opti_Medias__30_INS[[#This Row],[VAR TS Index]:[VAR Robustness Index]])</f>
        <v>-2.3027775025366179</v>
      </c>
      <c r="AL53" s="11">
        <f>Opti_Medias__30_INS[[#This Row],[SUMA]]-Opti_Medias__30_INS[[#This Row],[VAR Robustness Index]]</f>
        <v>-1.6569215371862545</v>
      </c>
    </row>
    <row r="54" spans="1:38" x14ac:dyDescent="0.25">
      <c r="A54" s="11"/>
      <c r="B54" s="17">
        <v>33</v>
      </c>
      <c r="C54" s="17">
        <v>1</v>
      </c>
      <c r="D54" s="17">
        <v>33</v>
      </c>
      <c r="E54" s="10">
        <v>168780</v>
      </c>
      <c r="F54" s="10">
        <v>1475380</v>
      </c>
      <c r="G54" s="10">
        <v>-1306600</v>
      </c>
      <c r="H54" s="17">
        <v>3689</v>
      </c>
      <c r="I54" s="11">
        <v>34.345351043643262</v>
      </c>
      <c r="J54" s="17">
        <v>1267</v>
      </c>
      <c r="K54" s="17">
        <v>2400</v>
      </c>
      <c r="L54" s="12">
        <v>17190</v>
      </c>
      <c r="M54" s="12">
        <v>-4430</v>
      </c>
      <c r="N54" s="12">
        <v>1164.46728515625</v>
      </c>
      <c r="O54" s="12">
        <v>-544.41668701171875</v>
      </c>
      <c r="P54" s="11">
        <v>2.1389265115071399</v>
      </c>
      <c r="Q54" s="13">
        <v>45.752236378422339</v>
      </c>
      <c r="R54" s="17">
        <v>7</v>
      </c>
      <c r="S54" s="17">
        <v>14</v>
      </c>
      <c r="T54" s="17">
        <v>70</v>
      </c>
      <c r="U54" s="17">
        <v>24</v>
      </c>
      <c r="V54" s="12">
        <v>-36555</v>
      </c>
      <c r="W54" s="11">
        <v>1.129174957906016</v>
      </c>
      <c r="X54" s="17">
        <v>1</v>
      </c>
      <c r="Y54" s="12">
        <v>36555</v>
      </c>
      <c r="Z54" s="11">
        <v>461.71522363561758</v>
      </c>
      <c r="AA54" s="14">
        <v>5849.931883463275</v>
      </c>
      <c r="AB54" s="11">
        <v>0.21960792593023701</v>
      </c>
      <c r="AC54" s="11">
        <v>1.540017150514734</v>
      </c>
      <c r="AD54" s="15">
        <v>158840.5474769522</v>
      </c>
      <c r="AE54" s="11">
        <v>86.972417557038142</v>
      </c>
      <c r="AF54" s="11">
        <f>(Opti_Medias__30_INS[[#This Row],[All: TS Index]]-AA$114) /ABS(AA$114)</f>
        <v>-0.49318487540517958</v>
      </c>
      <c r="AG54" s="11">
        <f>(Opti_Medias__30_INS[[#This Row],[All: Expectancy Score]]-AB$114) /ABS(AB$114)</f>
        <v>-0.96462906981348728</v>
      </c>
      <c r="AH54" s="11"/>
      <c r="AI54" s="11">
        <f>(Opti_Medias__30_INS[[#This Row],[All: Perfect Profit Correlation]]-AD$114) /ABS(AD$114)</f>
        <v>-0.45285330090431519</v>
      </c>
      <c r="AJ54" s="11">
        <f>(Opti_Medias__30_INS[[#This Row],[All: Robustness Index]]-AE$114) /ABS(AE$114)</f>
        <v>-0.39219976847420857</v>
      </c>
      <c r="AK54" s="11">
        <f>SUM(Opti_Medias__30_INS[[#This Row],[VAR TS Index]:[VAR Robustness Index]])</f>
        <v>-2.3028670145971906</v>
      </c>
      <c r="AL54" s="11">
        <f>Opti_Medias__30_INS[[#This Row],[SUMA]]-Opti_Medias__30_INS[[#This Row],[VAR Robustness Index]]</f>
        <v>-1.9106672461229821</v>
      </c>
    </row>
    <row r="55" spans="1:38" x14ac:dyDescent="0.25">
      <c r="A55" s="11"/>
      <c r="B55" s="17">
        <v>35</v>
      </c>
      <c r="C55" s="17">
        <v>8</v>
      </c>
      <c r="D55" s="17">
        <v>350</v>
      </c>
      <c r="E55" s="10">
        <v>148740</v>
      </c>
      <c r="F55" s="10">
        <v>1535210</v>
      </c>
      <c r="G55" s="10">
        <v>-1386470</v>
      </c>
      <c r="H55" s="17">
        <v>4002</v>
      </c>
      <c r="I55" s="11">
        <v>31.634182908545728</v>
      </c>
      <c r="J55" s="17">
        <v>1266</v>
      </c>
      <c r="K55" s="17">
        <v>2718</v>
      </c>
      <c r="L55" s="12">
        <v>18070</v>
      </c>
      <c r="M55" s="12">
        <v>-4300</v>
      </c>
      <c r="N55" s="12">
        <v>1212.6461181640625</v>
      </c>
      <c r="O55" s="12">
        <v>-510.106689453125</v>
      </c>
      <c r="P55" s="11">
        <v>2.3772401798222171</v>
      </c>
      <c r="Q55" s="13">
        <v>37.166416791604199</v>
      </c>
      <c r="R55" s="17">
        <v>7</v>
      </c>
      <c r="S55" s="17">
        <v>20</v>
      </c>
      <c r="T55" s="17">
        <v>73</v>
      </c>
      <c r="U55" s="17">
        <v>20</v>
      </c>
      <c r="V55" s="12">
        <v>-39605</v>
      </c>
      <c r="W55" s="11">
        <v>1.10727963821792</v>
      </c>
      <c r="X55" s="17">
        <v>1</v>
      </c>
      <c r="Y55" s="12">
        <v>39605</v>
      </c>
      <c r="Z55" s="11">
        <v>375.55864158565839</v>
      </c>
      <c r="AA55" s="14">
        <v>4754.572402474435</v>
      </c>
      <c r="AB55" s="11">
        <v>2.3608703827587521</v>
      </c>
      <c r="AC55" s="11">
        <v>1.3218709466223471</v>
      </c>
      <c r="AD55" s="15">
        <v>140846.35114367126</v>
      </c>
      <c r="AE55" s="11">
        <v>59.69111942556502</v>
      </c>
      <c r="AF55" s="11">
        <f>(Opti_Medias__30_INS[[#This Row],[All: TS Index]]-AA$114) /ABS(AA$114)</f>
        <v>-0.58808251915429277</v>
      </c>
      <c r="AG55" s="11">
        <f>(Opti_Medias__30_INS[[#This Row],[All: Expectancy Score]]-AB$114) /ABS(AB$114)</f>
        <v>-0.61974878122343957</v>
      </c>
      <c r="AH55" s="11"/>
      <c r="AI55" s="11">
        <f>(Opti_Medias__30_INS[[#This Row],[All: Perfect Profit Correlation]]-AD$114) /ABS(AD$114)</f>
        <v>-0.51483662495488813</v>
      </c>
      <c r="AJ55" s="11">
        <f>(Opti_Medias__30_INS[[#This Row],[All: Robustness Index]]-AE$114) /ABS(AE$114)</f>
        <v>-0.58285307887297944</v>
      </c>
      <c r="AK55" s="11">
        <f>SUM(Opti_Medias__30_INS[[#This Row],[VAR TS Index]:[VAR Robustness Index]])</f>
        <v>-2.3055210042056</v>
      </c>
      <c r="AL55" s="11">
        <f>Opti_Medias__30_INS[[#This Row],[SUMA]]-Opti_Medias__30_INS[[#This Row],[VAR Robustness Index]]</f>
        <v>-1.7226679253326207</v>
      </c>
    </row>
    <row r="56" spans="1:38" x14ac:dyDescent="0.25">
      <c r="A56" s="11"/>
      <c r="B56" s="17">
        <v>15</v>
      </c>
      <c r="C56" s="17">
        <v>3</v>
      </c>
      <c r="D56" s="17">
        <v>105</v>
      </c>
      <c r="E56" s="10">
        <v>201930</v>
      </c>
      <c r="F56" s="10">
        <v>1500810</v>
      </c>
      <c r="G56" s="10">
        <v>-1298880</v>
      </c>
      <c r="H56" s="17">
        <v>3001</v>
      </c>
      <c r="I56" s="11">
        <v>42.285904698433853</v>
      </c>
      <c r="J56" s="17">
        <v>1269</v>
      </c>
      <c r="K56" s="17">
        <v>1712</v>
      </c>
      <c r="L56" s="12">
        <v>23330</v>
      </c>
      <c r="M56" s="12">
        <v>-6240</v>
      </c>
      <c r="N56" s="12">
        <v>1182.67138671875</v>
      </c>
      <c r="O56" s="12">
        <v>-758.69158935546875</v>
      </c>
      <c r="P56" s="11">
        <v>1.55883023261595</v>
      </c>
      <c r="Q56" s="13">
        <v>67.287570809730084</v>
      </c>
      <c r="R56" s="17">
        <v>9</v>
      </c>
      <c r="S56" s="17">
        <v>13</v>
      </c>
      <c r="T56" s="17">
        <v>64</v>
      </c>
      <c r="U56" s="17">
        <v>38</v>
      </c>
      <c r="V56" s="12">
        <v>-36565</v>
      </c>
      <c r="W56" s="11">
        <v>1.155464708056172</v>
      </c>
      <c r="X56" s="17">
        <v>1</v>
      </c>
      <c r="Y56" s="12">
        <v>36565</v>
      </c>
      <c r="Z56" s="11">
        <v>552.24941884315604</v>
      </c>
      <c r="AA56" s="14">
        <v>7008.04512511965</v>
      </c>
      <c r="AB56" s="11">
        <v>3.85608269586398</v>
      </c>
      <c r="AC56" s="11">
        <v>1.9119153311709569</v>
      </c>
      <c r="AD56" s="15">
        <v>188960.08631781329</v>
      </c>
      <c r="AE56" s="11">
        <v>-28.553196870175164</v>
      </c>
      <c r="AF56" s="11">
        <f>(Opti_Medias__30_INS[[#This Row],[All: TS Index]]-AA$114) /ABS(AA$114)</f>
        <v>-0.39285049227771285</v>
      </c>
      <c r="AG56" s="11">
        <f>(Opti_Medias__30_INS[[#This Row],[All: Expectancy Score]]-AB$114) /ABS(AB$114)</f>
        <v>-0.37892391064176584</v>
      </c>
      <c r="AH56" s="11"/>
      <c r="AI56" s="11">
        <f>(Opti_Medias__30_INS[[#This Row],[All: Perfect Profit Correlation]]-AD$114) /ABS(AD$114)</f>
        <v>-0.34910267477749052</v>
      </c>
      <c r="AJ56" s="11">
        <f>(Opti_Medias__30_INS[[#This Row],[All: Robustness Index]]-AE$114) /ABS(AE$114)</f>
        <v>-1.199541879551784</v>
      </c>
      <c r="AK56" s="11">
        <f>SUM(Opti_Medias__30_INS[[#This Row],[VAR TS Index]:[VAR Robustness Index]])</f>
        <v>-2.3204189572487532</v>
      </c>
      <c r="AL56" s="11">
        <f>Opti_Medias__30_INS[[#This Row],[SUMA]]-Opti_Medias__30_INS[[#This Row],[VAR Robustness Index]]</f>
        <v>-1.1208770776969692</v>
      </c>
    </row>
    <row r="57" spans="1:38" x14ac:dyDescent="0.25">
      <c r="A57" s="11"/>
      <c r="B57" s="17">
        <v>26</v>
      </c>
      <c r="C57" s="17">
        <v>8</v>
      </c>
      <c r="D57" s="17">
        <v>341</v>
      </c>
      <c r="E57" s="10">
        <v>180070</v>
      </c>
      <c r="F57" s="10">
        <v>1461300</v>
      </c>
      <c r="G57" s="10">
        <v>-1281230</v>
      </c>
      <c r="H57" s="17">
        <v>3510</v>
      </c>
      <c r="I57" s="11">
        <v>34.387464387464391</v>
      </c>
      <c r="J57" s="17">
        <v>1207</v>
      </c>
      <c r="K57" s="17">
        <v>2290</v>
      </c>
      <c r="L57" s="12">
        <v>17090</v>
      </c>
      <c r="M57" s="12">
        <v>-4100</v>
      </c>
      <c r="N57" s="12">
        <v>1210.6876220703125</v>
      </c>
      <c r="O57" s="12">
        <v>-559.48907470703125</v>
      </c>
      <c r="P57" s="11">
        <v>2.1639164673667168</v>
      </c>
      <c r="Q57" s="13">
        <v>51.301994301994299</v>
      </c>
      <c r="R57" s="17">
        <v>11</v>
      </c>
      <c r="S57" s="17">
        <v>12</v>
      </c>
      <c r="T57" s="17">
        <v>75</v>
      </c>
      <c r="U57" s="17">
        <v>24</v>
      </c>
      <c r="V57" s="12">
        <v>-30145</v>
      </c>
      <c r="W57" s="11">
        <v>1.1405446328918309</v>
      </c>
      <c r="X57" s="17">
        <v>1</v>
      </c>
      <c r="Y57" s="12">
        <v>30145</v>
      </c>
      <c r="Z57" s="11">
        <v>597.34616022557634</v>
      </c>
      <c r="AA57" s="14">
        <v>7209.9681539227067</v>
      </c>
      <c r="AB57" s="11">
        <v>1.0862743243156749</v>
      </c>
      <c r="AC57" s="11">
        <v>1.647821633493584</v>
      </c>
      <c r="AD57" s="15">
        <v>174024.28306175966</v>
      </c>
      <c r="AE57" s="11">
        <v>39.846171069007575</v>
      </c>
      <c r="AF57" s="11">
        <f>(Opti_Medias__30_INS[[#This Row],[All: TS Index]]-AA$114) /ABS(AA$114)</f>
        <v>-0.37535667405212375</v>
      </c>
      <c r="AG57" s="11">
        <f>(Opti_Medias__30_INS[[#This Row],[All: Expectancy Score]]-AB$114) /ABS(AB$114)</f>
        <v>-0.82504031616337625</v>
      </c>
      <c r="AH57" s="11"/>
      <c r="AI57" s="11">
        <f>(Opti_Medias__30_INS[[#This Row],[All: Perfect Profit Correlation]]-AD$114) /ABS(AD$114)</f>
        <v>-0.40055097044064975</v>
      </c>
      <c r="AJ57" s="11">
        <f>(Opti_Medias__30_INS[[#This Row],[All: Robustness Index]]-AE$114) /ABS(AE$114)</f>
        <v>-0.72153801536819262</v>
      </c>
      <c r="AK57" s="11">
        <f>SUM(Opti_Medias__30_INS[[#This Row],[VAR TS Index]:[VAR Robustness Index]])</f>
        <v>-2.3224859760243426</v>
      </c>
      <c r="AL57" s="11">
        <f>Opti_Medias__30_INS[[#This Row],[SUMA]]-Opti_Medias__30_INS[[#This Row],[VAR Robustness Index]]</f>
        <v>-1.6009479606561499</v>
      </c>
    </row>
    <row r="58" spans="1:38" x14ac:dyDescent="0.25">
      <c r="A58" s="11"/>
      <c r="B58" s="17">
        <v>28</v>
      </c>
      <c r="C58" s="17">
        <v>11</v>
      </c>
      <c r="D58" s="17">
        <v>478</v>
      </c>
      <c r="E58" s="10">
        <v>131270</v>
      </c>
      <c r="F58" s="10">
        <v>1494960</v>
      </c>
      <c r="G58" s="10">
        <v>-1363690</v>
      </c>
      <c r="H58" s="17">
        <v>3692</v>
      </c>
      <c r="I58" s="11">
        <v>39.436619718309856</v>
      </c>
      <c r="J58" s="17">
        <v>1456</v>
      </c>
      <c r="K58" s="17">
        <v>2212</v>
      </c>
      <c r="L58" s="12">
        <v>17080</v>
      </c>
      <c r="M58" s="12">
        <v>-4570</v>
      </c>
      <c r="N58" s="12">
        <v>1026.75830078125</v>
      </c>
      <c r="O58" s="12">
        <v>-616.49639892578125</v>
      </c>
      <c r="P58" s="11">
        <v>1.6654733143134861</v>
      </c>
      <c r="Q58" s="13">
        <v>35.555254604550377</v>
      </c>
      <c r="R58" s="17">
        <v>8</v>
      </c>
      <c r="S58" s="17">
        <v>15</v>
      </c>
      <c r="T58" s="17">
        <v>62</v>
      </c>
      <c r="U58" s="17">
        <v>25</v>
      </c>
      <c r="V58" s="12">
        <v>-43475</v>
      </c>
      <c r="W58" s="11">
        <v>1.0962608804053711</v>
      </c>
      <c r="X58" s="17">
        <v>1</v>
      </c>
      <c r="Y58" s="12">
        <v>43475</v>
      </c>
      <c r="Z58" s="11">
        <v>301.94364577343299</v>
      </c>
      <c r="AA58" s="14">
        <v>4396.2994824611842</v>
      </c>
      <c r="AB58" s="11">
        <v>0.31696306425584603</v>
      </c>
      <c r="AC58" s="11">
        <v>1.210864012712608</v>
      </c>
      <c r="AD58" s="15">
        <v>123235.31286030546</v>
      </c>
      <c r="AE58" s="11">
        <v>116.14392122833712</v>
      </c>
      <c r="AF58" s="11">
        <f>(Opti_Medias__30_INS[[#This Row],[All: TS Index]]-AA$114) /ABS(AA$114)</f>
        <v>-0.61912187793875229</v>
      </c>
      <c r="AG58" s="11">
        <f>(Opti_Medias__30_INS[[#This Row],[All: Expectancy Score]]-AB$114) /ABS(AB$114)</f>
        <v>-0.9489486621668739</v>
      </c>
      <c r="AH58" s="11"/>
      <c r="AI58" s="11">
        <f>(Opti_Medias__30_INS[[#This Row],[All: Perfect Profit Correlation]]-AD$114) /ABS(AD$114)</f>
        <v>-0.57550011181292404</v>
      </c>
      <c r="AJ58" s="11">
        <f>(Opti_Medias__30_INS[[#This Row],[All: Robustness Index]]-AE$114) /ABS(AE$114)</f>
        <v>-0.18833689811369414</v>
      </c>
      <c r="AK58" s="11">
        <f>SUM(Opti_Medias__30_INS[[#This Row],[VAR TS Index]:[VAR Robustness Index]])</f>
        <v>-2.3319075500322444</v>
      </c>
      <c r="AL58" s="11">
        <f>Opti_Medias__30_INS[[#This Row],[SUMA]]-Opti_Medias__30_INS[[#This Row],[VAR Robustness Index]]</f>
        <v>-2.1435706519185502</v>
      </c>
    </row>
    <row r="59" spans="1:38" x14ac:dyDescent="0.25">
      <c r="A59" s="11"/>
      <c r="B59" s="17">
        <v>35</v>
      </c>
      <c r="C59" s="17">
        <v>5</v>
      </c>
      <c r="D59" s="17">
        <v>215</v>
      </c>
      <c r="E59" s="10">
        <v>138100</v>
      </c>
      <c r="F59" s="10">
        <v>1348980</v>
      </c>
      <c r="G59" s="10">
        <v>-1210880</v>
      </c>
      <c r="H59" s="17">
        <v>3531</v>
      </c>
      <c r="I59" s="11">
        <v>32.002265647125462</v>
      </c>
      <c r="J59" s="17">
        <v>1130</v>
      </c>
      <c r="K59" s="17">
        <v>2371</v>
      </c>
      <c r="L59" s="12">
        <v>16600</v>
      </c>
      <c r="M59" s="12">
        <v>-4240</v>
      </c>
      <c r="N59" s="12">
        <v>1193.78759765625</v>
      </c>
      <c r="O59" s="12">
        <v>-510.704345703125</v>
      </c>
      <c r="P59" s="11">
        <v>2.3375317004845</v>
      </c>
      <c r="Q59" s="13">
        <v>39.110733503256867</v>
      </c>
      <c r="R59" s="17">
        <v>6</v>
      </c>
      <c r="S59" s="17">
        <v>14</v>
      </c>
      <c r="T59" s="17">
        <v>82</v>
      </c>
      <c r="U59" s="17">
        <v>22</v>
      </c>
      <c r="V59" s="12">
        <v>-36985</v>
      </c>
      <c r="W59" s="11">
        <v>1.114049286469345</v>
      </c>
      <c r="X59" s="17">
        <v>1</v>
      </c>
      <c r="Y59" s="12">
        <v>36985</v>
      </c>
      <c r="Z59" s="11">
        <v>373.39461944031365</v>
      </c>
      <c r="AA59" s="14">
        <v>4219.359199675544</v>
      </c>
      <c r="AB59" s="11">
        <v>1.4512476932025249</v>
      </c>
      <c r="AC59" s="11">
        <v>1.228379486229336</v>
      </c>
      <c r="AD59" s="15">
        <v>132348.96654721024</v>
      </c>
      <c r="AE59" s="11">
        <v>84.193787750284017</v>
      </c>
      <c r="AF59" s="11">
        <f>(Opti_Medias__30_INS[[#This Row],[All: TS Index]]-AA$114) /ABS(AA$114)</f>
        <v>-0.63445128916135907</v>
      </c>
      <c r="AG59" s="11">
        <f>(Opti_Medias__30_INS[[#This Row],[All: Expectancy Score]]-AB$114) /ABS(AB$114)</f>
        <v>-0.76625624679907633</v>
      </c>
      <c r="AH59" s="11"/>
      <c r="AI59" s="11">
        <f>(Opti_Medias__30_INS[[#This Row],[All: Perfect Profit Correlation]]-AD$114) /ABS(AD$114)</f>
        <v>-0.54410695930433872</v>
      </c>
      <c r="AJ59" s="11">
        <f>(Opti_Medias__30_INS[[#This Row],[All: Robustness Index]]-AE$114) /ABS(AE$114)</f>
        <v>-0.41161801494024525</v>
      </c>
      <c r="AK59" s="11">
        <f>SUM(Opti_Medias__30_INS[[#This Row],[VAR TS Index]:[VAR Robustness Index]])</f>
        <v>-2.3564325102050194</v>
      </c>
      <c r="AL59" s="11">
        <f>Opti_Medias__30_INS[[#This Row],[SUMA]]-Opti_Medias__30_INS[[#This Row],[VAR Robustness Index]]</f>
        <v>-1.9448144952647741</v>
      </c>
    </row>
    <row r="60" spans="1:38" x14ac:dyDescent="0.25">
      <c r="A60" s="11"/>
      <c r="B60" s="17">
        <v>27</v>
      </c>
      <c r="C60" s="17">
        <v>8</v>
      </c>
      <c r="D60" s="17">
        <v>342</v>
      </c>
      <c r="E60" s="10">
        <v>191850</v>
      </c>
      <c r="F60" s="10">
        <v>1466740</v>
      </c>
      <c r="G60" s="10">
        <v>-1274890</v>
      </c>
      <c r="H60" s="17">
        <v>3516</v>
      </c>
      <c r="I60" s="11">
        <v>34.271899886234358</v>
      </c>
      <c r="J60" s="17">
        <v>1205</v>
      </c>
      <c r="K60" s="17">
        <v>2299</v>
      </c>
      <c r="L60" s="12">
        <v>17090</v>
      </c>
      <c r="M60" s="12">
        <v>-4100</v>
      </c>
      <c r="N60" s="12">
        <v>1217.211669921875</v>
      </c>
      <c r="O60" s="12">
        <v>-554.54107666015625</v>
      </c>
      <c r="P60" s="11">
        <v>2.1949891922394569</v>
      </c>
      <c r="Q60" s="13">
        <v>54.564846416382252</v>
      </c>
      <c r="R60" s="17">
        <v>11</v>
      </c>
      <c r="S60" s="17">
        <v>13</v>
      </c>
      <c r="T60" s="17">
        <v>75</v>
      </c>
      <c r="U60" s="17">
        <v>24</v>
      </c>
      <c r="V60" s="12">
        <v>-30225</v>
      </c>
      <c r="W60" s="11">
        <v>1.150483571131627</v>
      </c>
      <c r="X60" s="17">
        <v>1</v>
      </c>
      <c r="Y60" s="12">
        <v>30225</v>
      </c>
      <c r="Z60" s="11">
        <v>634.7394540942928</v>
      </c>
      <c r="AA60" s="14">
        <v>7648.6104218362279</v>
      </c>
      <c r="AB60" s="11">
        <v>8.3407445944253006E-2</v>
      </c>
      <c r="AC60" s="11">
        <v>1.7618587430095001</v>
      </c>
      <c r="AD60" s="15">
        <v>185224.1614273758</v>
      </c>
      <c r="AE60" s="11">
        <v>46.667317231845168</v>
      </c>
      <c r="AF60" s="11">
        <f>(Opti_Medias__30_INS[[#This Row],[All: TS Index]]-AA$114) /ABS(AA$114)</f>
        <v>-0.33735443059120779</v>
      </c>
      <c r="AG60" s="11">
        <f>(Opti_Medias__30_INS[[#This Row],[All: Expectancy Score]]-AB$114) /ABS(AB$114)</f>
        <v>-0.98656606342857267</v>
      </c>
      <c r="AH60" s="11"/>
      <c r="AI60" s="11">
        <f>(Opti_Medias__30_INS[[#This Row],[All: Perfect Profit Correlation]]-AD$114) /ABS(AD$114)</f>
        <v>-0.36197154865346903</v>
      </c>
      <c r="AJ60" s="11">
        <f>(Opti_Medias__30_INS[[#This Row],[All: Robustness Index]]-AE$114) /ABS(AE$114)</f>
        <v>-0.67386894586894586</v>
      </c>
      <c r="AK60" s="11">
        <f>SUM(Opti_Medias__30_INS[[#This Row],[VAR TS Index]:[VAR Robustness Index]])</f>
        <v>-2.3597609885421953</v>
      </c>
      <c r="AL60" s="11">
        <f>Opti_Medias__30_INS[[#This Row],[SUMA]]-Opti_Medias__30_INS[[#This Row],[VAR Robustness Index]]</f>
        <v>-1.6858920426732493</v>
      </c>
    </row>
    <row r="61" spans="1:38" x14ac:dyDescent="0.25">
      <c r="A61" s="11"/>
      <c r="B61" s="17">
        <v>22</v>
      </c>
      <c r="C61" s="17">
        <v>11</v>
      </c>
      <c r="D61" s="17">
        <v>472</v>
      </c>
      <c r="E61" s="10">
        <v>128290</v>
      </c>
      <c r="F61" s="10">
        <v>1500510</v>
      </c>
      <c r="G61" s="10">
        <v>-1372220</v>
      </c>
      <c r="H61" s="17">
        <v>3704</v>
      </c>
      <c r="I61" s="11">
        <v>42.224622030237583</v>
      </c>
      <c r="J61" s="17">
        <v>1564</v>
      </c>
      <c r="K61" s="17">
        <v>2119</v>
      </c>
      <c r="L61" s="12">
        <v>16600</v>
      </c>
      <c r="M61" s="12">
        <v>-4960</v>
      </c>
      <c r="N61" s="12">
        <v>959.4053955078125</v>
      </c>
      <c r="O61" s="12">
        <v>-647.57904052734375</v>
      </c>
      <c r="P61" s="11">
        <v>1.4815263241480749</v>
      </c>
      <c r="Q61" s="13">
        <v>34.635529157667385</v>
      </c>
      <c r="R61" s="17">
        <v>9</v>
      </c>
      <c r="S61" s="17">
        <v>12</v>
      </c>
      <c r="T61" s="17">
        <v>58</v>
      </c>
      <c r="U61" s="17">
        <v>26</v>
      </c>
      <c r="V61" s="12">
        <v>-47395</v>
      </c>
      <c r="W61" s="11">
        <v>1.093490839661279</v>
      </c>
      <c r="X61" s="17">
        <v>1</v>
      </c>
      <c r="Y61" s="12">
        <v>47395</v>
      </c>
      <c r="Z61" s="11">
        <v>270.68256145162991</v>
      </c>
      <c r="AA61" s="14">
        <v>4233.4752611034919</v>
      </c>
      <c r="AB61" s="11">
        <v>1.02921508279433</v>
      </c>
      <c r="AC61" s="11">
        <v>1.2015771916670031</v>
      </c>
      <c r="AD61" s="15">
        <v>115789.46093448915</v>
      </c>
      <c r="AE61" s="11">
        <v>99.998795752079161</v>
      </c>
      <c r="AF61" s="11">
        <f>(Opti_Medias__30_INS[[#This Row],[All: TS Index]]-AA$114) /ABS(AA$114)</f>
        <v>-0.6332283290356836</v>
      </c>
      <c r="AG61" s="11">
        <f>(Opti_Medias__30_INS[[#This Row],[All: Expectancy Score]]-AB$114) /ABS(AB$114)</f>
        <v>-0.83423050563307688</v>
      </c>
      <c r="AH61" s="11"/>
      <c r="AI61" s="11">
        <f>(Opti_Medias__30_INS[[#This Row],[All: Perfect Profit Correlation]]-AD$114) /ABS(AD$114)</f>
        <v>-0.60114830660875718</v>
      </c>
      <c r="AJ61" s="11">
        <f>(Opti_Medias__30_INS[[#This Row],[All: Robustness Index]]-AE$114) /ABS(AE$114)</f>
        <v>-0.30116589928578397</v>
      </c>
      <c r="AK61" s="11">
        <f>SUM(Opti_Medias__30_INS[[#This Row],[VAR TS Index]:[VAR Robustness Index]])</f>
        <v>-2.3697730405633015</v>
      </c>
      <c r="AL61" s="11">
        <f>Opti_Medias__30_INS[[#This Row],[SUMA]]-Opti_Medias__30_INS[[#This Row],[VAR Robustness Index]]</f>
        <v>-2.0686071412775178</v>
      </c>
    </row>
    <row r="62" spans="1:38" x14ac:dyDescent="0.25">
      <c r="A62" s="11"/>
      <c r="B62" s="17">
        <v>12</v>
      </c>
      <c r="C62" s="17">
        <v>8</v>
      </c>
      <c r="D62" s="17">
        <v>327</v>
      </c>
      <c r="E62" s="10">
        <v>213920</v>
      </c>
      <c r="F62" s="10">
        <v>1563530</v>
      </c>
      <c r="G62" s="10">
        <v>-1349610</v>
      </c>
      <c r="H62" s="17">
        <v>3730</v>
      </c>
      <c r="I62" s="11">
        <v>37.184986595174266</v>
      </c>
      <c r="J62" s="17">
        <v>1387</v>
      </c>
      <c r="K62" s="17">
        <v>2326</v>
      </c>
      <c r="L62" s="12">
        <v>17970</v>
      </c>
      <c r="M62" s="12">
        <v>-4570</v>
      </c>
      <c r="N62" s="12">
        <v>1127.274658203125</v>
      </c>
      <c r="O62" s="12">
        <v>-580.22784423828125</v>
      </c>
      <c r="P62" s="11">
        <v>1.942813791852755</v>
      </c>
      <c r="Q62" s="13">
        <v>57.351206434316353</v>
      </c>
      <c r="R62" s="17">
        <v>6</v>
      </c>
      <c r="S62" s="17">
        <v>15</v>
      </c>
      <c r="T62" s="17">
        <v>64</v>
      </c>
      <c r="U62" s="17">
        <v>25</v>
      </c>
      <c r="V62" s="12">
        <v>-34935</v>
      </c>
      <c r="W62" s="11">
        <v>1.158505049606924</v>
      </c>
      <c r="X62" s="17">
        <v>1</v>
      </c>
      <c r="Y62" s="12">
        <v>34935</v>
      </c>
      <c r="Z62" s="11">
        <v>612.33719765278374</v>
      </c>
      <c r="AA62" s="14">
        <v>8493.1169314441104</v>
      </c>
      <c r="AB62" s="11">
        <v>0.28135176819232299</v>
      </c>
      <c r="AC62" s="11">
        <v>1.999211200340774</v>
      </c>
      <c r="AD62" s="15">
        <v>206027.72853419141</v>
      </c>
      <c r="AE62" s="11">
        <v>18.695723105689655</v>
      </c>
      <c r="AF62" s="11">
        <f>(Opti_Medias__30_INS[[#This Row],[All: TS Index]]-AA$114) /ABS(AA$114)</f>
        <v>-0.26418970313549833</v>
      </c>
      <c r="AG62" s="11">
        <f>(Opti_Medias__30_INS[[#This Row],[All: Expectancy Score]]-AB$114) /ABS(AB$114)</f>
        <v>-0.95468435982704969</v>
      </c>
      <c r="AH62" s="11"/>
      <c r="AI62" s="11">
        <f>(Opti_Medias__30_INS[[#This Row],[All: Perfect Profit Correlation]]-AD$114) /ABS(AD$114)</f>
        <v>-0.29031098557488016</v>
      </c>
      <c r="AJ62" s="11">
        <f>(Opti_Medias__30_INS[[#This Row],[All: Robustness Index]]-AE$114) /ABS(AE$114)</f>
        <v>-0.86934633816832774</v>
      </c>
      <c r="AK62" s="11">
        <f>SUM(Opti_Medias__30_INS[[#This Row],[VAR TS Index]:[VAR Robustness Index]])</f>
        <v>-2.378531386705756</v>
      </c>
      <c r="AL62" s="11">
        <f>Opti_Medias__30_INS[[#This Row],[SUMA]]-Opti_Medias__30_INS[[#This Row],[VAR Robustness Index]]</f>
        <v>-1.5091850485374283</v>
      </c>
    </row>
    <row r="63" spans="1:38" x14ac:dyDescent="0.25">
      <c r="A63" s="11"/>
      <c r="B63" s="17">
        <v>28</v>
      </c>
      <c r="C63" s="17">
        <v>1</v>
      </c>
      <c r="D63" s="17">
        <v>28</v>
      </c>
      <c r="E63" s="10">
        <v>129730</v>
      </c>
      <c r="F63" s="10">
        <v>1423090</v>
      </c>
      <c r="G63" s="10">
        <v>-1293360</v>
      </c>
      <c r="H63" s="17">
        <v>3477</v>
      </c>
      <c r="I63" s="11">
        <v>35.519125683060111</v>
      </c>
      <c r="J63" s="17">
        <v>1235</v>
      </c>
      <c r="K63" s="17">
        <v>2221</v>
      </c>
      <c r="L63" s="12">
        <v>17290</v>
      </c>
      <c r="M63" s="12">
        <v>-4790</v>
      </c>
      <c r="N63" s="12">
        <v>1152.299560546875</v>
      </c>
      <c r="O63" s="12">
        <v>-582.332275390625</v>
      </c>
      <c r="P63" s="11">
        <v>1.9787664349772121</v>
      </c>
      <c r="Q63" s="13">
        <v>37.31090020132298</v>
      </c>
      <c r="R63" s="17">
        <v>7</v>
      </c>
      <c r="S63" s="17">
        <v>15</v>
      </c>
      <c r="T63" s="17">
        <v>71</v>
      </c>
      <c r="U63" s="17">
        <v>26</v>
      </c>
      <c r="V63" s="12">
        <v>-51235</v>
      </c>
      <c r="W63" s="11">
        <v>1.100304632894167</v>
      </c>
      <c r="X63" s="17">
        <v>1</v>
      </c>
      <c r="Y63" s="12">
        <v>51235</v>
      </c>
      <c r="Z63" s="11">
        <v>253.20581633648874</v>
      </c>
      <c r="AA63" s="14">
        <v>3127.0918317556357</v>
      </c>
      <c r="AB63" s="11">
        <v>0.11754587653429401</v>
      </c>
      <c r="AC63" s="11">
        <v>1.1667909141942461</v>
      </c>
      <c r="AD63" s="15">
        <v>120885.42740412497</v>
      </c>
      <c r="AE63" s="11">
        <v>127.84679368070432</v>
      </c>
      <c r="AF63" s="11">
        <f>(Opti_Medias__30_INS[[#This Row],[All: TS Index]]-AA$114) /ABS(AA$114)</f>
        <v>-0.72908104437749266</v>
      </c>
      <c r="AG63" s="11">
        <f>(Opti_Medias__30_INS[[#This Row],[All: Expectancy Score]]-AB$114) /ABS(AB$114)</f>
        <v>-0.98106759136768262</v>
      </c>
      <c r="AH63" s="11"/>
      <c r="AI63" s="11">
        <f>(Opti_Medias__30_INS[[#This Row],[All: Perfect Profit Correlation]]-AD$114) /ABS(AD$114)</f>
        <v>-0.58359459455693918</v>
      </c>
      <c r="AJ63" s="11">
        <f>(Opti_Medias__30_INS[[#This Row],[All: Robustness Index]]-AE$114) /ABS(AE$114)</f>
        <v>-0.10655224976353474</v>
      </c>
      <c r="AK63" s="11">
        <f>SUM(Opti_Medias__30_INS[[#This Row],[VAR TS Index]:[VAR Robustness Index]])</f>
        <v>-2.4002954800656493</v>
      </c>
      <c r="AL63" s="11">
        <f>Opti_Medias__30_INS[[#This Row],[SUMA]]-Opti_Medias__30_INS[[#This Row],[VAR Robustness Index]]</f>
        <v>-2.2937432303021144</v>
      </c>
    </row>
    <row r="64" spans="1:38" x14ac:dyDescent="0.25">
      <c r="A64" s="11"/>
      <c r="B64" s="17">
        <v>31</v>
      </c>
      <c r="C64" s="17">
        <v>1</v>
      </c>
      <c r="D64" s="17">
        <v>31</v>
      </c>
      <c r="E64" s="10">
        <v>139870</v>
      </c>
      <c r="F64" s="10">
        <v>1444220</v>
      </c>
      <c r="G64" s="10">
        <v>-1304350</v>
      </c>
      <c r="H64" s="17">
        <v>3585</v>
      </c>
      <c r="I64" s="11">
        <v>35.174337517433749</v>
      </c>
      <c r="J64" s="17">
        <v>1261</v>
      </c>
      <c r="K64" s="17">
        <v>2308</v>
      </c>
      <c r="L64" s="12">
        <v>17310</v>
      </c>
      <c r="M64" s="12">
        <v>-4570</v>
      </c>
      <c r="N64" s="12">
        <v>1145.29736328125</v>
      </c>
      <c r="O64" s="12">
        <v>-565.14300537109375</v>
      </c>
      <c r="P64" s="11">
        <v>2.026562042520911</v>
      </c>
      <c r="Q64" s="13">
        <v>39.015341701534169</v>
      </c>
      <c r="R64" s="17">
        <v>6</v>
      </c>
      <c r="S64" s="17">
        <v>13</v>
      </c>
      <c r="T64" s="17">
        <v>70</v>
      </c>
      <c r="U64" s="17">
        <v>25</v>
      </c>
      <c r="V64" s="12">
        <v>-35385</v>
      </c>
      <c r="W64" s="11">
        <v>1.107233487944187</v>
      </c>
      <c r="X64" s="17">
        <v>1</v>
      </c>
      <c r="Y64" s="12">
        <v>35385</v>
      </c>
      <c r="Z64" s="11">
        <v>395.28048608167302</v>
      </c>
      <c r="AA64" s="14">
        <v>4984.4869294898972</v>
      </c>
      <c r="AB64" s="11">
        <v>0.44038534224380399</v>
      </c>
      <c r="AC64" s="11">
        <v>1.2635024698776891</v>
      </c>
      <c r="AD64" s="15">
        <v>130907.51813845764</v>
      </c>
      <c r="AE64" s="11">
        <v>90.852294861167067</v>
      </c>
      <c r="AF64" s="11">
        <f>(Opti_Medias__30_INS[[#This Row],[All: TS Index]]-AA$114) /ABS(AA$114)</f>
        <v>-0.56816362745148619</v>
      </c>
      <c r="AG64" s="11">
        <f>(Opti_Medias__30_INS[[#This Row],[All: Expectancy Score]]-AB$114) /ABS(AB$114)</f>
        <v>-0.92906977683211045</v>
      </c>
      <c r="AH64" s="11"/>
      <c r="AI64" s="11">
        <f>(Opti_Medias__30_INS[[#This Row],[All: Perfect Profit Correlation]]-AD$114) /ABS(AD$114)</f>
        <v>-0.54907221377678472</v>
      </c>
      <c r="AJ64" s="11">
        <f>(Opti_Medias__30_INS[[#This Row],[All: Robustness Index]]-AE$114) /ABS(AE$114)</f>
        <v>-0.3650855362845068</v>
      </c>
      <c r="AK64" s="11">
        <f>SUM(Opti_Medias__30_INS[[#This Row],[VAR TS Index]:[VAR Robustness Index]])</f>
        <v>-2.411391154344888</v>
      </c>
      <c r="AL64" s="11">
        <f>Opti_Medias__30_INS[[#This Row],[SUMA]]-Opti_Medias__30_INS[[#This Row],[VAR Robustness Index]]</f>
        <v>-2.0463056180603814</v>
      </c>
    </row>
    <row r="65" spans="1:38" x14ac:dyDescent="0.25">
      <c r="A65" s="11"/>
      <c r="B65" s="17">
        <v>19</v>
      </c>
      <c r="C65" s="17">
        <v>3</v>
      </c>
      <c r="D65" s="17">
        <v>109</v>
      </c>
      <c r="E65" s="10">
        <v>216090</v>
      </c>
      <c r="F65" s="10">
        <v>1444900</v>
      </c>
      <c r="G65" s="10">
        <v>-1228810</v>
      </c>
      <c r="H65" s="17">
        <v>2792</v>
      </c>
      <c r="I65" s="11">
        <v>41.475644699140403</v>
      </c>
      <c r="J65" s="17">
        <v>1158</v>
      </c>
      <c r="K65" s="17">
        <v>1620</v>
      </c>
      <c r="L65" s="12">
        <v>26020</v>
      </c>
      <c r="M65" s="12">
        <v>-6640</v>
      </c>
      <c r="N65" s="12">
        <v>1247.7547607421875</v>
      </c>
      <c r="O65" s="12">
        <v>-758.52471923828125</v>
      </c>
      <c r="P65" s="11">
        <v>1.6449757392154549</v>
      </c>
      <c r="Q65" s="13">
        <v>77.396131805157594</v>
      </c>
      <c r="R65" s="17">
        <v>8</v>
      </c>
      <c r="S65" s="17">
        <v>12</v>
      </c>
      <c r="T65" s="17">
        <v>71</v>
      </c>
      <c r="U65" s="17">
        <v>39</v>
      </c>
      <c r="V65" s="12">
        <v>-33025</v>
      </c>
      <c r="W65" s="11">
        <v>1.1758530610916249</v>
      </c>
      <c r="X65" s="17">
        <v>1</v>
      </c>
      <c r="Y65" s="12">
        <v>33025</v>
      </c>
      <c r="Z65" s="11">
        <v>654.32248296744888</v>
      </c>
      <c r="AA65" s="14">
        <v>7577.054352763058</v>
      </c>
      <c r="AB65" s="11">
        <v>1.8943249608213359</v>
      </c>
      <c r="AC65" s="11">
        <v>2.0415968560978071</v>
      </c>
      <c r="AD65" s="15">
        <v>208074.44839143322</v>
      </c>
      <c r="AE65" s="11">
        <v>-13.141312663972318</v>
      </c>
      <c r="AF65" s="11">
        <f>(Opti_Medias__30_INS[[#This Row],[All: TS Index]]-AA$114) /ABS(AA$114)</f>
        <v>-0.34355376740149629</v>
      </c>
      <c r="AG65" s="11">
        <f>(Opti_Medias__30_INS[[#This Row],[All: Expectancy Score]]-AB$114) /ABS(AB$114)</f>
        <v>-0.6948924513723379</v>
      </c>
      <c r="AH65" s="11"/>
      <c r="AI65" s="11">
        <f>(Opti_Medias__30_INS[[#This Row],[All: Perfect Profit Correlation]]-AD$114) /ABS(AD$114)</f>
        <v>-0.28326079573575269</v>
      </c>
      <c r="AJ65" s="11">
        <f>(Opti_Medias__30_INS[[#This Row],[All: Robustness Index]]-AE$114) /ABS(AE$114)</f>
        <v>-1.0918370801234423</v>
      </c>
      <c r="AK65" s="11">
        <f>SUM(Opti_Medias__30_INS[[#This Row],[VAR TS Index]:[VAR Robustness Index]])</f>
        <v>-2.4135440946330293</v>
      </c>
      <c r="AL65" s="11">
        <f>Opti_Medias__30_INS[[#This Row],[SUMA]]-Opti_Medias__30_INS[[#This Row],[VAR Robustness Index]]</f>
        <v>-1.3217070145095871</v>
      </c>
    </row>
    <row r="66" spans="1:38" x14ac:dyDescent="0.25">
      <c r="A66" s="11"/>
      <c r="B66" s="17">
        <v>32</v>
      </c>
      <c r="C66" s="17">
        <v>8</v>
      </c>
      <c r="D66" s="17">
        <v>347</v>
      </c>
      <c r="E66" s="10">
        <v>168800</v>
      </c>
      <c r="F66" s="10">
        <v>1496040</v>
      </c>
      <c r="G66" s="10">
        <v>-1327240</v>
      </c>
      <c r="H66" s="17">
        <v>3742</v>
      </c>
      <c r="I66" s="11">
        <v>32.923570283270976</v>
      </c>
      <c r="J66" s="17">
        <v>1232</v>
      </c>
      <c r="K66" s="17">
        <v>2495</v>
      </c>
      <c r="L66" s="12">
        <v>16890</v>
      </c>
      <c r="M66" s="12">
        <v>-4450</v>
      </c>
      <c r="N66" s="12">
        <v>1214.3182373046875</v>
      </c>
      <c r="O66" s="12">
        <v>-531.95989990234375</v>
      </c>
      <c r="P66" s="11">
        <v>2.282725140612309</v>
      </c>
      <c r="Q66" s="13">
        <v>45.10956707642972</v>
      </c>
      <c r="R66" s="17">
        <v>11</v>
      </c>
      <c r="S66" s="17">
        <v>16</v>
      </c>
      <c r="T66" s="17">
        <v>74</v>
      </c>
      <c r="U66" s="17">
        <v>22</v>
      </c>
      <c r="V66" s="12">
        <v>-31605</v>
      </c>
      <c r="W66" s="11">
        <v>1.1271812181670231</v>
      </c>
      <c r="X66" s="17">
        <v>1</v>
      </c>
      <c r="Y66" s="12">
        <v>31605</v>
      </c>
      <c r="Z66" s="11">
        <v>534.09270685018191</v>
      </c>
      <c r="AA66" s="14">
        <v>6580.0221483942414</v>
      </c>
      <c r="AB66" s="11">
        <v>0.29144582011113401</v>
      </c>
      <c r="AC66" s="11">
        <v>1.527489894820091</v>
      </c>
      <c r="AD66" s="15">
        <v>161758.65631710828</v>
      </c>
      <c r="AE66" s="11">
        <v>57.988565102959264</v>
      </c>
      <c r="AF66" s="11">
        <f>(Opti_Medias__30_INS[[#This Row],[All: TS Index]]-AA$114) /ABS(AA$114)</f>
        <v>-0.42993272205405481</v>
      </c>
      <c r="AG66" s="11">
        <f>(Opti_Medias__30_INS[[#This Row],[All: Expectancy Score]]-AB$114) /ABS(AB$114)</f>
        <v>-0.95305857148536333</v>
      </c>
      <c r="AH66" s="11"/>
      <c r="AI66" s="11">
        <f>(Opti_Medias__30_INS[[#This Row],[All: Perfect Profit Correlation]]-AD$114) /ABS(AD$114)</f>
        <v>-0.44280149961771353</v>
      </c>
      <c r="AJ66" s="11">
        <f>(Opti_Medias__30_INS[[#This Row],[All: Robustness Index]]-AE$114) /ABS(AE$114)</f>
        <v>-0.59475125234603909</v>
      </c>
      <c r="AK66" s="11">
        <f>SUM(Opti_Medias__30_INS[[#This Row],[VAR TS Index]:[VAR Robustness Index]])</f>
        <v>-2.420544045503171</v>
      </c>
      <c r="AL66" s="11">
        <f>Opti_Medias__30_INS[[#This Row],[SUMA]]-Opti_Medias__30_INS[[#This Row],[VAR Robustness Index]]</f>
        <v>-1.8257927931571318</v>
      </c>
    </row>
    <row r="67" spans="1:38" x14ac:dyDescent="0.25">
      <c r="A67" s="11"/>
      <c r="B67" s="17">
        <v>37</v>
      </c>
      <c r="C67" s="17">
        <v>1</v>
      </c>
      <c r="D67" s="17">
        <v>37</v>
      </c>
      <c r="E67" s="10">
        <v>178530</v>
      </c>
      <c r="F67" s="10">
        <v>1552760</v>
      </c>
      <c r="G67" s="10">
        <v>-1374230</v>
      </c>
      <c r="H67" s="17">
        <v>4141</v>
      </c>
      <c r="I67" s="11">
        <v>32.914754890123156</v>
      </c>
      <c r="J67" s="17">
        <v>1363</v>
      </c>
      <c r="K67" s="17">
        <v>2756</v>
      </c>
      <c r="L67" s="12">
        <v>18220</v>
      </c>
      <c r="M67" s="12">
        <v>-4300</v>
      </c>
      <c r="N67" s="12">
        <v>1139.2222900390625</v>
      </c>
      <c r="O67" s="12">
        <v>-498.632080078125</v>
      </c>
      <c r="P67" s="11">
        <v>2.284695140073159</v>
      </c>
      <c r="Q67" s="13">
        <v>43.112774692103358</v>
      </c>
      <c r="R67" s="17">
        <v>7</v>
      </c>
      <c r="S67" s="17">
        <v>16</v>
      </c>
      <c r="T67" s="17">
        <v>67</v>
      </c>
      <c r="U67" s="17">
        <v>20</v>
      </c>
      <c r="V67" s="12">
        <v>-38285</v>
      </c>
      <c r="W67" s="11">
        <v>1.129912751140639</v>
      </c>
      <c r="X67" s="17">
        <v>1</v>
      </c>
      <c r="Y67" s="12">
        <v>38285</v>
      </c>
      <c r="Z67" s="11">
        <v>466.31840146271384</v>
      </c>
      <c r="AA67" s="14">
        <v>6355.9198119367902</v>
      </c>
      <c r="AB67" s="11">
        <v>2.254776819542732</v>
      </c>
      <c r="AC67" s="11">
        <v>1.626482422842721</v>
      </c>
      <c r="AD67" s="15">
        <v>170914.60865043761</v>
      </c>
      <c r="AE67" s="11">
        <v>5.5546994408598547</v>
      </c>
      <c r="AF67" s="11">
        <f>(Opti_Medias__30_INS[[#This Row],[All: TS Index]]-AA$114) /ABS(AA$114)</f>
        <v>-0.44934806839248648</v>
      </c>
      <c r="AG67" s="11">
        <f>(Opti_Medias__30_INS[[#This Row],[All: Expectancy Score]]-AB$114) /ABS(AB$114)</f>
        <v>-0.63683663450494776</v>
      </c>
      <c r="AH67" s="11"/>
      <c r="AI67" s="11">
        <f>(Opti_Medias__30_INS[[#This Row],[All: Perfect Profit Correlation]]-AD$114) /ABS(AD$114)</f>
        <v>-0.41126264398020401</v>
      </c>
      <c r="AJ67" s="11">
        <f>(Opti_Medias__30_INS[[#This Row],[All: Robustness Index]]-AE$114) /ABS(AE$114)</f>
        <v>-0.96118139864288976</v>
      </c>
      <c r="AK67" s="11">
        <f>SUM(Opti_Medias__30_INS[[#This Row],[VAR TS Index]:[VAR Robustness Index]])</f>
        <v>-2.458628745520528</v>
      </c>
      <c r="AL67" s="11">
        <f>Opti_Medias__30_INS[[#This Row],[SUMA]]-Opti_Medias__30_INS[[#This Row],[VAR Robustness Index]]</f>
        <v>-1.4974473468776384</v>
      </c>
    </row>
    <row r="68" spans="1:38" x14ac:dyDescent="0.25">
      <c r="A68" s="11"/>
      <c r="B68" s="17">
        <v>12</v>
      </c>
      <c r="C68" s="17">
        <v>3</v>
      </c>
      <c r="D68" s="17">
        <v>102</v>
      </c>
      <c r="E68" s="10">
        <v>257580</v>
      </c>
      <c r="F68" s="10">
        <v>1550170</v>
      </c>
      <c r="G68" s="10">
        <v>-1292590</v>
      </c>
      <c r="H68" s="17">
        <v>3151</v>
      </c>
      <c r="I68" s="11">
        <v>44.049508092668994</v>
      </c>
      <c r="J68" s="17">
        <v>1388</v>
      </c>
      <c r="K68" s="17">
        <v>1744</v>
      </c>
      <c r="L68" s="12">
        <v>18390</v>
      </c>
      <c r="M68" s="12">
        <v>-6950</v>
      </c>
      <c r="N68" s="12">
        <v>1116.837158203125</v>
      </c>
      <c r="O68" s="12">
        <v>-741.16400146484375</v>
      </c>
      <c r="P68" s="11">
        <v>1.506869135570261</v>
      </c>
      <c r="Q68" s="13">
        <v>81.745477626150432</v>
      </c>
      <c r="R68" s="17">
        <v>8</v>
      </c>
      <c r="S68" s="17">
        <v>12</v>
      </c>
      <c r="T68" s="17">
        <v>60</v>
      </c>
      <c r="U68" s="17">
        <v>36</v>
      </c>
      <c r="V68" s="12">
        <v>-44525</v>
      </c>
      <c r="W68" s="11">
        <v>1.1992743251920559</v>
      </c>
      <c r="X68" s="17">
        <v>1</v>
      </c>
      <c r="Y68" s="12">
        <v>44525</v>
      </c>
      <c r="Z68" s="11">
        <v>578.50645704660303</v>
      </c>
      <c r="AA68" s="14">
        <v>8029.6696238068498</v>
      </c>
      <c r="AB68" s="11">
        <v>0.50875000048830399</v>
      </c>
      <c r="AC68" s="11">
        <v>2.46923174061406</v>
      </c>
      <c r="AD68" s="15">
        <v>242902.14865415203</v>
      </c>
      <c r="AE68" s="11">
        <v>-10.44479710542695</v>
      </c>
      <c r="AF68" s="11">
        <f>(Opti_Medias__30_INS[[#This Row],[All: TS Index]]-AA$114) /ABS(AA$114)</f>
        <v>-0.30434095782399861</v>
      </c>
      <c r="AG68" s="11">
        <f>(Opti_Medias__30_INS[[#This Row],[All: Expectancy Score]]-AB$114) /ABS(AB$114)</f>
        <v>-0.91805869176426469</v>
      </c>
      <c r="AH68" s="11"/>
      <c r="AI68" s="11">
        <f>(Opti_Medias__30_INS[[#This Row],[All: Perfect Profit Correlation]]-AD$114) /ABS(AD$114)</f>
        <v>-0.16329230193157768</v>
      </c>
      <c r="AJ68" s="11">
        <f>(Opti_Medias__30_INS[[#This Row],[All: Robustness Index]]-AE$114) /ABS(AE$114)</f>
        <v>-1.0729926829360015</v>
      </c>
      <c r="AK68" s="11">
        <f>SUM(Opti_Medias__30_INS[[#This Row],[VAR TS Index]:[VAR Robustness Index]])</f>
        <v>-2.4586846344558424</v>
      </c>
      <c r="AL68" s="11">
        <f>Opti_Medias__30_INS[[#This Row],[SUMA]]-Opti_Medias__30_INS[[#This Row],[VAR Robustness Index]]</f>
        <v>-1.3856919515198409</v>
      </c>
    </row>
    <row r="69" spans="1:38" x14ac:dyDescent="0.25">
      <c r="A69" s="11"/>
      <c r="B69" s="17">
        <v>29</v>
      </c>
      <c r="C69" s="17">
        <v>2</v>
      </c>
      <c r="D69" s="17">
        <v>74</v>
      </c>
      <c r="E69" s="10">
        <v>117720</v>
      </c>
      <c r="F69" s="10">
        <v>1262470</v>
      </c>
      <c r="G69" s="10">
        <v>-1144750</v>
      </c>
      <c r="H69" s="17">
        <v>2942</v>
      </c>
      <c r="I69" s="11">
        <v>28.857919782460911</v>
      </c>
      <c r="J69" s="17">
        <v>849</v>
      </c>
      <c r="K69" s="17">
        <v>2087</v>
      </c>
      <c r="L69" s="12">
        <v>19170</v>
      </c>
      <c r="M69" s="12">
        <v>-4190</v>
      </c>
      <c r="N69" s="12">
        <v>1487.00830078125</v>
      </c>
      <c r="O69" s="12">
        <v>-548.51458740234375</v>
      </c>
      <c r="P69" s="11">
        <v>2.7109731170932498</v>
      </c>
      <c r="Q69" s="13">
        <v>40.013596193065943</v>
      </c>
      <c r="R69" s="17">
        <v>9</v>
      </c>
      <c r="S69" s="17">
        <v>18</v>
      </c>
      <c r="T69" s="17">
        <v>110</v>
      </c>
      <c r="U69" s="17">
        <v>25</v>
      </c>
      <c r="V69" s="12">
        <v>-37925</v>
      </c>
      <c r="W69" s="11">
        <v>1.102834680061149</v>
      </c>
      <c r="X69" s="17">
        <v>1</v>
      </c>
      <c r="Y69" s="12">
        <v>37925</v>
      </c>
      <c r="Z69" s="11">
        <v>310.40210942649969</v>
      </c>
      <c r="AA69" s="14">
        <v>2635.3139090309824</v>
      </c>
      <c r="AB69" s="11">
        <v>1.842596352043989</v>
      </c>
      <c r="AC69" s="11">
        <v>0.99450316175692499</v>
      </c>
      <c r="AD69" s="15">
        <v>112467.5716249105</v>
      </c>
      <c r="AE69" s="11">
        <v>87.312917263964479</v>
      </c>
      <c r="AF69" s="11">
        <f>(Opti_Medias__30_INS[[#This Row],[All: TS Index]]-AA$114) /ABS(AA$114)</f>
        <v>-0.77168675229748329</v>
      </c>
      <c r="AG69" s="11">
        <f>(Opti_Medias__30_INS[[#This Row],[All: Expectancy Score]]-AB$114) /ABS(AB$114)</f>
        <v>-0.7032240678290691</v>
      </c>
      <c r="AH69" s="11"/>
      <c r="AI69" s="11">
        <f>(Opti_Medias__30_INS[[#This Row],[All: Perfect Profit Correlation]]-AD$114) /ABS(AD$114)</f>
        <v>-0.61259098166476533</v>
      </c>
      <c r="AJ69" s="11">
        <f>(Opti_Medias__30_INS[[#This Row],[All: Robustness Index]]-AE$114) /ABS(AE$114)</f>
        <v>-0.38982021175361298</v>
      </c>
      <c r="AK69" s="11">
        <f>SUM(Opti_Medias__30_INS[[#This Row],[VAR TS Index]:[VAR Robustness Index]])</f>
        <v>-2.477322013544931</v>
      </c>
      <c r="AL69" s="11">
        <f>Opti_Medias__30_INS[[#This Row],[SUMA]]-Opti_Medias__30_INS[[#This Row],[VAR Robustness Index]]</f>
        <v>-2.0875018017913178</v>
      </c>
    </row>
    <row r="70" spans="1:38" x14ac:dyDescent="0.25">
      <c r="A70" s="11"/>
      <c r="B70" s="17">
        <v>34</v>
      </c>
      <c r="C70" s="17">
        <v>8</v>
      </c>
      <c r="D70" s="17">
        <v>349</v>
      </c>
      <c r="E70" s="10">
        <v>148820</v>
      </c>
      <c r="F70" s="10">
        <v>1517120</v>
      </c>
      <c r="G70" s="10">
        <v>-1368300</v>
      </c>
      <c r="H70" s="17">
        <v>3902</v>
      </c>
      <c r="I70" s="11">
        <v>31.881086622245004</v>
      </c>
      <c r="J70" s="17">
        <v>1244</v>
      </c>
      <c r="K70" s="17">
        <v>2642</v>
      </c>
      <c r="L70" s="12">
        <v>16890</v>
      </c>
      <c r="M70" s="12">
        <v>-4300</v>
      </c>
      <c r="N70" s="12">
        <v>1219.5498046875</v>
      </c>
      <c r="O70" s="12">
        <v>-517.903076171875</v>
      </c>
      <c r="P70" s="11">
        <v>2.3547838597559738</v>
      </c>
      <c r="Q70" s="13">
        <v>38.139415684264478</v>
      </c>
      <c r="R70" s="17">
        <v>11</v>
      </c>
      <c r="S70" s="17">
        <v>14</v>
      </c>
      <c r="T70" s="17">
        <v>73</v>
      </c>
      <c r="U70" s="17">
        <v>21</v>
      </c>
      <c r="V70" s="12">
        <v>-34345</v>
      </c>
      <c r="W70" s="11">
        <v>1.10876269823869</v>
      </c>
      <c r="X70" s="17">
        <v>1</v>
      </c>
      <c r="Y70" s="12">
        <v>34345</v>
      </c>
      <c r="Z70" s="11">
        <v>433.30906973358566</v>
      </c>
      <c r="AA70" s="14">
        <v>5390.364827485806</v>
      </c>
      <c r="AB70" s="11">
        <v>0.49317667367809198</v>
      </c>
      <c r="AC70" s="11">
        <v>1.3242642969591449</v>
      </c>
      <c r="AD70" s="15">
        <v>141561.87660349029</v>
      </c>
      <c r="AE70" s="11">
        <v>69.850456345877646</v>
      </c>
      <c r="AF70" s="11">
        <f>(Opti_Medias__30_INS[[#This Row],[All: TS Index]]-AA$114) /ABS(AA$114)</f>
        <v>-0.53299996032835739</v>
      </c>
      <c r="AG70" s="11">
        <f>(Opti_Medias__30_INS[[#This Row],[All: Expectancy Score]]-AB$114) /ABS(AB$114)</f>
        <v>-0.92056699401721132</v>
      </c>
      <c r="AH70" s="11"/>
      <c r="AI70" s="11">
        <f>(Opti_Medias__30_INS[[#This Row],[All: Perfect Profit Correlation]]-AD$114) /ABS(AD$114)</f>
        <v>-0.51237190546306122</v>
      </c>
      <c r="AJ70" s="11">
        <f>(Opti_Medias__30_INS[[#This Row],[All: Robustness Index]]-AE$114) /ABS(AE$114)</f>
        <v>-0.51185531307826693</v>
      </c>
      <c r="AK70" s="11">
        <f>SUM(Opti_Medias__30_INS[[#This Row],[VAR TS Index]:[VAR Robustness Index]])</f>
        <v>-2.4777941728868971</v>
      </c>
      <c r="AL70" s="11">
        <f>Opti_Medias__30_INS[[#This Row],[SUMA]]-Opti_Medias__30_INS[[#This Row],[VAR Robustness Index]]</f>
        <v>-1.96593885980863</v>
      </c>
    </row>
    <row r="71" spans="1:38" x14ac:dyDescent="0.25">
      <c r="A71" s="11"/>
      <c r="B71" s="17">
        <v>13</v>
      </c>
      <c r="C71" s="17">
        <v>3</v>
      </c>
      <c r="D71" s="17">
        <v>103</v>
      </c>
      <c r="E71" s="10">
        <v>187440</v>
      </c>
      <c r="F71" s="10">
        <v>1507910</v>
      </c>
      <c r="G71" s="10">
        <v>-1320470</v>
      </c>
      <c r="H71" s="17">
        <v>3119</v>
      </c>
      <c r="I71" s="11">
        <v>43.218980442449507</v>
      </c>
      <c r="J71" s="17">
        <v>1348</v>
      </c>
      <c r="K71" s="17">
        <v>1754</v>
      </c>
      <c r="L71" s="12">
        <v>17760</v>
      </c>
      <c r="M71" s="12">
        <v>-6320</v>
      </c>
      <c r="N71" s="12">
        <v>1118.6275634765625</v>
      </c>
      <c r="O71" s="12">
        <v>-752.83349609375</v>
      </c>
      <c r="P71" s="11">
        <v>1.4858897342916051</v>
      </c>
      <c r="Q71" s="13">
        <v>60.096184674575184</v>
      </c>
      <c r="R71" s="17">
        <v>8</v>
      </c>
      <c r="S71" s="17">
        <v>10</v>
      </c>
      <c r="T71" s="17">
        <v>61</v>
      </c>
      <c r="U71" s="17">
        <v>36</v>
      </c>
      <c r="V71" s="12">
        <v>-37035</v>
      </c>
      <c r="W71" s="11">
        <v>1.1419494573901721</v>
      </c>
      <c r="X71" s="17">
        <v>1</v>
      </c>
      <c r="Y71" s="12">
        <v>37035</v>
      </c>
      <c r="Z71" s="11">
        <v>506.1158363710004</v>
      </c>
      <c r="AA71" s="14">
        <v>6822.4414742810859</v>
      </c>
      <c r="AB71" s="11">
        <v>2.359716746456737</v>
      </c>
      <c r="AC71" s="11">
        <v>1.778987116843795</v>
      </c>
      <c r="AD71" s="15">
        <v>176235.05522936417</v>
      </c>
      <c r="AE71" s="11">
        <v>-9.722357756634409</v>
      </c>
      <c r="AF71" s="11">
        <f>(Opti_Medias__30_INS[[#This Row],[All: TS Index]]-AA$114) /ABS(AA$114)</f>
        <v>-0.40893046368574076</v>
      </c>
      <c r="AG71" s="11">
        <f>(Opti_Medias__30_INS[[#This Row],[All: Expectancy Score]]-AB$114) /ABS(AB$114)</f>
        <v>-0.61993459049660837</v>
      </c>
      <c r="AH71" s="11"/>
      <c r="AI71" s="11">
        <f>(Opti_Medias__30_INS[[#This Row],[All: Perfect Profit Correlation]]-AD$114) /ABS(AD$114)</f>
        <v>-0.39293568131472345</v>
      </c>
      <c r="AJ71" s="11">
        <f>(Opti_Medias__30_INS[[#This Row],[All: Robustness Index]]-AE$114) /ABS(AE$114)</f>
        <v>-1.0679439696106363</v>
      </c>
      <c r="AK71" s="11">
        <f>SUM(Opti_Medias__30_INS[[#This Row],[VAR TS Index]:[VAR Robustness Index]])</f>
        <v>-2.4897447051077091</v>
      </c>
      <c r="AL71" s="11">
        <f>Opti_Medias__30_INS[[#This Row],[SUMA]]-Opti_Medias__30_INS[[#This Row],[VAR Robustness Index]]</f>
        <v>-1.4218007354970728</v>
      </c>
    </row>
    <row r="72" spans="1:38" x14ac:dyDescent="0.25">
      <c r="A72" s="11"/>
      <c r="B72" s="17">
        <v>4</v>
      </c>
      <c r="C72" s="17">
        <v>3</v>
      </c>
      <c r="D72" s="17">
        <v>94</v>
      </c>
      <c r="E72" s="10">
        <v>169260</v>
      </c>
      <c r="F72" s="10">
        <v>1653300</v>
      </c>
      <c r="G72" s="10">
        <v>-1484040</v>
      </c>
      <c r="H72" s="17">
        <v>4522</v>
      </c>
      <c r="I72" s="11">
        <v>46.528084918177797</v>
      </c>
      <c r="J72" s="17">
        <v>2104</v>
      </c>
      <c r="K72" s="17">
        <v>2369</v>
      </c>
      <c r="L72" s="12">
        <v>13830</v>
      </c>
      <c r="M72" s="12">
        <v>-8650</v>
      </c>
      <c r="N72" s="12">
        <v>785.78900146484375</v>
      </c>
      <c r="O72" s="12">
        <v>-626.4415283203125</v>
      </c>
      <c r="P72" s="11">
        <v>1.254369268224909</v>
      </c>
      <c r="Q72" s="13">
        <v>37.430340557275542</v>
      </c>
      <c r="R72" s="17">
        <v>9</v>
      </c>
      <c r="S72" s="17">
        <v>11</v>
      </c>
      <c r="T72" s="17">
        <v>38</v>
      </c>
      <c r="U72" s="17">
        <v>28</v>
      </c>
      <c r="V72" s="12">
        <v>-64695</v>
      </c>
      <c r="W72" s="11">
        <v>1.1140535295544589</v>
      </c>
      <c r="X72" s="17">
        <v>1</v>
      </c>
      <c r="Y72" s="12">
        <v>64695</v>
      </c>
      <c r="Z72" s="11">
        <v>261.62763737537676</v>
      </c>
      <c r="AA72" s="14">
        <v>5504.6454903779268</v>
      </c>
      <c r="AB72" s="11">
        <v>1.7299329738044</v>
      </c>
      <c r="AC72" s="11">
        <v>1.637067439784603</v>
      </c>
      <c r="AD72" s="15">
        <v>144374.44124160902</v>
      </c>
      <c r="AE72" s="11">
        <v>36.683720652824057</v>
      </c>
      <c r="AF72" s="11">
        <f>(Opti_Medias__30_INS[[#This Row],[All: TS Index]]-AA$114) /ABS(AA$114)</f>
        <v>-0.52309913249715201</v>
      </c>
      <c r="AG72" s="11">
        <f>(Opti_Medias__30_INS[[#This Row],[All: Expectancy Score]]-AB$114) /ABS(AB$114)</f>
        <v>-0.72137008177373463</v>
      </c>
      <c r="AH72" s="11"/>
      <c r="AI72" s="11">
        <f>(Opti_Medias__30_INS[[#This Row],[All: Perfect Profit Correlation]]-AD$114) /ABS(AD$114)</f>
        <v>-0.50268366475762538</v>
      </c>
      <c r="AJ72" s="11">
        <f>(Opti_Medias__30_INS[[#This Row],[All: Robustness Index]]-AE$114) /ABS(AE$114)</f>
        <v>-0.74363856344005219</v>
      </c>
      <c r="AK72" s="11">
        <f>SUM(Opti_Medias__30_INS[[#This Row],[VAR TS Index]:[VAR Robustness Index]])</f>
        <v>-2.4907914424685642</v>
      </c>
      <c r="AL72" s="11">
        <f>Opti_Medias__30_INS[[#This Row],[SUMA]]-Opti_Medias__30_INS[[#This Row],[VAR Robustness Index]]</f>
        <v>-1.747152879028512</v>
      </c>
    </row>
    <row r="73" spans="1:38" x14ac:dyDescent="0.25">
      <c r="A73" s="11"/>
      <c r="B73" s="17">
        <v>36</v>
      </c>
      <c r="C73" s="17">
        <v>8</v>
      </c>
      <c r="D73" s="17">
        <v>351</v>
      </c>
      <c r="E73" s="10">
        <v>125040</v>
      </c>
      <c r="F73" s="10">
        <v>1539080</v>
      </c>
      <c r="G73" s="10">
        <v>-1414040</v>
      </c>
      <c r="H73" s="17">
        <v>4124</v>
      </c>
      <c r="I73" s="11">
        <v>31.377303588748788</v>
      </c>
      <c r="J73" s="17">
        <v>1294</v>
      </c>
      <c r="K73" s="17">
        <v>2814</v>
      </c>
      <c r="L73" s="12">
        <v>18070</v>
      </c>
      <c r="M73" s="12">
        <v>-4300</v>
      </c>
      <c r="N73" s="12">
        <v>1189.397216796875</v>
      </c>
      <c r="O73" s="12">
        <v>-502.50177001953125</v>
      </c>
      <c r="P73" s="11">
        <v>2.366951298003678</v>
      </c>
      <c r="Q73" s="13">
        <v>30.320077594568382</v>
      </c>
      <c r="R73" s="17">
        <v>7</v>
      </c>
      <c r="S73" s="17">
        <v>14</v>
      </c>
      <c r="T73" s="17">
        <v>71</v>
      </c>
      <c r="U73" s="17">
        <v>19</v>
      </c>
      <c r="V73" s="12">
        <v>-51545</v>
      </c>
      <c r="W73" s="11">
        <v>1.088427484371022</v>
      </c>
      <c r="X73" s="17">
        <v>1</v>
      </c>
      <c r="Y73" s="12">
        <v>51545</v>
      </c>
      <c r="Z73" s="11">
        <v>242.58414977204384</v>
      </c>
      <c r="AA73" s="14">
        <v>3139.0388980502476</v>
      </c>
      <c r="AB73" s="11">
        <v>2.1778036348887482</v>
      </c>
      <c r="AC73" s="11">
        <v>1.089110382700895</v>
      </c>
      <c r="AD73" s="15">
        <v>115754.43025268677</v>
      </c>
      <c r="AE73" s="11">
        <v>68.019182385666838</v>
      </c>
      <c r="AF73" s="11">
        <f>(Opti_Medias__30_INS[[#This Row],[All: TS Index]]-AA$114) /ABS(AA$114)</f>
        <v>-0.72804599747211529</v>
      </c>
      <c r="AG73" s="11">
        <f>(Opti_Medias__30_INS[[#This Row],[All: Expectancy Score]]-AB$114) /ABS(AB$114)</f>
        <v>-0.64923424323922674</v>
      </c>
      <c r="AH73" s="11"/>
      <c r="AI73" s="11">
        <f>(Opti_Medias__30_INS[[#This Row],[All: Perfect Profit Correlation]]-AD$114) /ABS(AD$114)</f>
        <v>-0.60126897429858628</v>
      </c>
      <c r="AJ73" s="11">
        <f>(Opti_Medias__30_INS[[#This Row],[All: Robustness Index]]-AE$114) /ABS(AE$114)</f>
        <v>-0.52465303410600916</v>
      </c>
      <c r="AK73" s="11">
        <f>SUM(Opti_Medias__30_INS[[#This Row],[VAR TS Index]:[VAR Robustness Index]])</f>
        <v>-2.5032022491159376</v>
      </c>
      <c r="AL73" s="11">
        <f>Opti_Medias__30_INS[[#This Row],[SUMA]]-Opti_Medias__30_INS[[#This Row],[VAR Robustness Index]]</f>
        <v>-1.9785492150099284</v>
      </c>
    </row>
    <row r="74" spans="1:38" x14ac:dyDescent="0.25">
      <c r="A74" s="11"/>
      <c r="B74" s="17">
        <v>36</v>
      </c>
      <c r="C74" s="17">
        <v>1</v>
      </c>
      <c r="D74" s="17">
        <v>36</v>
      </c>
      <c r="E74" s="10">
        <v>171340</v>
      </c>
      <c r="F74" s="10">
        <v>1529560</v>
      </c>
      <c r="G74" s="10">
        <v>-1358220</v>
      </c>
      <c r="H74" s="17">
        <v>4007</v>
      </c>
      <c r="I74" s="11">
        <v>33.69104067881208</v>
      </c>
      <c r="J74" s="17">
        <v>1350</v>
      </c>
      <c r="K74" s="17">
        <v>2643</v>
      </c>
      <c r="L74" s="12">
        <v>18070</v>
      </c>
      <c r="M74" s="12">
        <v>-4450</v>
      </c>
      <c r="N74" s="12">
        <v>1133.0074462890625</v>
      </c>
      <c r="O74" s="12">
        <v>-513.893310546875</v>
      </c>
      <c r="P74" s="11">
        <v>2.2047522764663712</v>
      </c>
      <c r="Q74" s="13">
        <v>42.760169703019713</v>
      </c>
      <c r="R74" s="17">
        <v>7</v>
      </c>
      <c r="S74" s="17">
        <v>15</v>
      </c>
      <c r="T74" s="17">
        <v>68</v>
      </c>
      <c r="U74" s="17">
        <v>21</v>
      </c>
      <c r="V74" s="12">
        <v>-31675</v>
      </c>
      <c r="W74" s="11">
        <v>1.1261504027329889</v>
      </c>
      <c r="X74" s="17">
        <v>1</v>
      </c>
      <c r="Y74" s="12">
        <v>31675</v>
      </c>
      <c r="Z74" s="11">
        <v>540.93133385951069</v>
      </c>
      <c r="AA74" s="14">
        <v>7302.573007103394</v>
      </c>
      <c r="AB74" s="11">
        <v>2.0845877131848911</v>
      </c>
      <c r="AC74" s="11">
        <v>1.5612996384243949</v>
      </c>
      <c r="AD74" s="15">
        <v>164979.13780077378</v>
      </c>
      <c r="AE74" s="11">
        <v>-7.7488337530407083</v>
      </c>
      <c r="AF74" s="11">
        <f>(Opti_Medias__30_INS[[#This Row],[All: TS Index]]-AA$114) /ABS(AA$114)</f>
        <v>-0.36733375324931439</v>
      </c>
      <c r="AG74" s="11">
        <f>(Opti_Medias__30_INS[[#This Row],[All: Expectancy Score]]-AB$114) /ABS(AB$114)</f>
        <v>-0.6642479721148683</v>
      </c>
      <c r="AH74" s="11"/>
      <c r="AI74" s="11">
        <f>(Opti_Medias__30_INS[[#This Row],[All: Perfect Profit Correlation]]-AD$114) /ABS(AD$114)</f>
        <v>-0.43170813686320636</v>
      </c>
      <c r="AJ74" s="11">
        <f>(Opti_Medias__30_INS[[#This Row],[All: Robustness Index]]-AE$114) /ABS(AE$114)</f>
        <v>-1.0541521447999795</v>
      </c>
      <c r="AK74" s="11">
        <f>SUM(Opti_Medias__30_INS[[#This Row],[VAR TS Index]:[VAR Robustness Index]])</f>
        <v>-2.5174420070273684</v>
      </c>
      <c r="AL74" s="11">
        <f>Opti_Medias__30_INS[[#This Row],[SUMA]]-Opti_Medias__30_INS[[#This Row],[VAR Robustness Index]]</f>
        <v>-1.4632898622273889</v>
      </c>
    </row>
    <row r="75" spans="1:38" x14ac:dyDescent="0.25">
      <c r="A75" s="11"/>
      <c r="B75" s="17">
        <v>29</v>
      </c>
      <c r="C75" s="17">
        <v>1</v>
      </c>
      <c r="D75" s="17">
        <v>29</v>
      </c>
      <c r="E75" s="10">
        <v>122310</v>
      </c>
      <c r="F75" s="10">
        <v>1430700</v>
      </c>
      <c r="G75" s="10">
        <v>-1308390</v>
      </c>
      <c r="H75" s="17">
        <v>3505</v>
      </c>
      <c r="I75" s="11">
        <v>35.549215406562055</v>
      </c>
      <c r="J75" s="17">
        <v>1246</v>
      </c>
      <c r="K75" s="17">
        <v>2235</v>
      </c>
      <c r="L75" s="12">
        <v>17550</v>
      </c>
      <c r="M75" s="12">
        <v>-4600</v>
      </c>
      <c r="N75" s="12">
        <v>1148.234375</v>
      </c>
      <c r="O75" s="12">
        <v>-585.409423828125</v>
      </c>
      <c r="P75" s="11">
        <v>1.961421064067324</v>
      </c>
      <c r="Q75" s="13">
        <v>34.895863052781742</v>
      </c>
      <c r="R75" s="17">
        <v>9</v>
      </c>
      <c r="S75" s="17">
        <v>13</v>
      </c>
      <c r="T75" s="17">
        <v>71</v>
      </c>
      <c r="U75" s="17">
        <v>26</v>
      </c>
      <c r="V75" s="12">
        <v>-50885</v>
      </c>
      <c r="W75" s="11">
        <v>1.0934813014468161</v>
      </c>
      <c r="X75" s="17">
        <v>1</v>
      </c>
      <c r="Y75" s="12">
        <v>50885</v>
      </c>
      <c r="Z75" s="11">
        <v>240.36553011693033</v>
      </c>
      <c r="AA75" s="14">
        <v>2994.954505256952</v>
      </c>
      <c r="AB75" s="11">
        <v>0.68192504087614103</v>
      </c>
      <c r="AC75" s="11">
        <v>1.0945448091512919</v>
      </c>
      <c r="AD75" s="15">
        <v>112990.74133145499</v>
      </c>
      <c r="AE75" s="11">
        <v>100.6527535423167</v>
      </c>
      <c r="AF75" s="11">
        <f>(Opti_Medias__30_INS[[#This Row],[All: TS Index]]-AA$114) /ABS(AA$114)</f>
        <v>-0.74052890341707689</v>
      </c>
      <c r="AG75" s="11">
        <f>(Opti_Medias__30_INS[[#This Row],[All: Expectancy Score]]-AB$114) /ABS(AB$114)</f>
        <v>-0.89016642768655307</v>
      </c>
      <c r="AH75" s="11"/>
      <c r="AI75" s="11">
        <f>(Opti_Medias__30_INS[[#This Row],[All: Perfect Profit Correlation]]-AD$114) /ABS(AD$114)</f>
        <v>-0.61078885630981328</v>
      </c>
      <c r="AJ75" s="11">
        <f>(Opti_Medias__30_INS[[#This Row],[All: Robustness Index]]-AE$114) /ABS(AE$114)</f>
        <v>-0.29659576420757022</v>
      </c>
      <c r="AK75" s="11">
        <f>SUM(Opti_Medias__30_INS[[#This Row],[VAR TS Index]:[VAR Robustness Index]])</f>
        <v>-2.5380799516210133</v>
      </c>
      <c r="AL75" s="11">
        <f>Opti_Medias__30_INS[[#This Row],[SUMA]]-Opti_Medias__30_INS[[#This Row],[VAR Robustness Index]]</f>
        <v>-2.2414841874134432</v>
      </c>
    </row>
    <row r="76" spans="1:38" x14ac:dyDescent="0.25">
      <c r="A76" s="11"/>
      <c r="B76" s="17">
        <v>14</v>
      </c>
      <c r="C76" s="17">
        <v>3</v>
      </c>
      <c r="D76" s="17">
        <v>104</v>
      </c>
      <c r="E76" s="10">
        <v>205140</v>
      </c>
      <c r="F76" s="10">
        <v>1516270</v>
      </c>
      <c r="G76" s="10">
        <v>-1311130</v>
      </c>
      <c r="H76" s="17">
        <v>3005</v>
      </c>
      <c r="I76" s="11">
        <v>43.061564059900164</v>
      </c>
      <c r="J76" s="17">
        <v>1294</v>
      </c>
      <c r="K76" s="17">
        <v>1698</v>
      </c>
      <c r="L76" s="12">
        <v>21350</v>
      </c>
      <c r="M76" s="12">
        <v>-6240</v>
      </c>
      <c r="N76" s="12">
        <v>1171.7696533203125</v>
      </c>
      <c r="O76" s="12">
        <v>-772.161376953125</v>
      </c>
      <c r="P76" s="11">
        <v>1.517519120088606</v>
      </c>
      <c r="Q76" s="13">
        <v>68.266222961730449</v>
      </c>
      <c r="R76" s="17">
        <v>10</v>
      </c>
      <c r="S76" s="17">
        <v>17</v>
      </c>
      <c r="T76" s="17">
        <v>64</v>
      </c>
      <c r="U76" s="17">
        <v>38</v>
      </c>
      <c r="V76" s="12">
        <v>-38715</v>
      </c>
      <c r="W76" s="11">
        <v>1.1564604577730659</v>
      </c>
      <c r="X76" s="17">
        <v>1</v>
      </c>
      <c r="Y76" s="12">
        <v>38715</v>
      </c>
      <c r="Z76" s="11">
        <v>529.87214258039523</v>
      </c>
      <c r="AA76" s="14">
        <v>6856.5455249903134</v>
      </c>
      <c r="AB76" s="11">
        <v>2.8575591556040369</v>
      </c>
      <c r="AC76" s="11">
        <v>1.948071478555945</v>
      </c>
      <c r="AD76" s="15">
        <v>192908.04740842924</v>
      </c>
      <c r="AE76" s="11">
        <v>-37.001263272689947</v>
      </c>
      <c r="AF76" s="11">
        <f>(Opti_Medias__30_INS[[#This Row],[All: TS Index]]-AA$114) /ABS(AA$114)</f>
        <v>-0.40597582266534782</v>
      </c>
      <c r="AG76" s="11">
        <f>(Opti_Medias__30_INS[[#This Row],[All: Expectancy Score]]-AB$114) /ABS(AB$114)</f>
        <v>-0.53975010251310851</v>
      </c>
      <c r="AH76" s="11"/>
      <c r="AI76" s="11">
        <f>(Opti_Medias__30_INS[[#This Row],[All: Perfect Profit Correlation]]-AD$114) /ABS(AD$114)</f>
        <v>-0.33550341493357599</v>
      </c>
      <c r="AJ76" s="11">
        <f>(Opti_Medias__30_INS[[#This Row],[All: Robustness Index]]-AE$114) /ABS(AE$114)</f>
        <v>-1.2585805593956125</v>
      </c>
      <c r="AK76" s="11">
        <f>SUM(Opti_Medias__30_INS[[#This Row],[VAR TS Index]:[VAR Robustness Index]])</f>
        <v>-2.5398098995076448</v>
      </c>
      <c r="AL76" s="11">
        <f>Opti_Medias__30_INS[[#This Row],[SUMA]]-Opti_Medias__30_INS[[#This Row],[VAR Robustness Index]]</f>
        <v>-1.2812293401120323</v>
      </c>
    </row>
    <row r="77" spans="1:38" x14ac:dyDescent="0.25">
      <c r="A77" s="11"/>
      <c r="B77" s="17">
        <v>21</v>
      </c>
      <c r="C77" s="17">
        <v>1</v>
      </c>
      <c r="D77" s="17">
        <v>21</v>
      </c>
      <c r="E77" s="10">
        <v>131030</v>
      </c>
      <c r="F77" s="10">
        <v>1397330</v>
      </c>
      <c r="G77" s="10">
        <v>-1266300</v>
      </c>
      <c r="H77" s="17">
        <v>3487</v>
      </c>
      <c r="I77" s="11">
        <v>37.596788069974188</v>
      </c>
      <c r="J77" s="17">
        <v>1311</v>
      </c>
      <c r="K77" s="17">
        <v>2155</v>
      </c>
      <c r="L77" s="12">
        <v>16140</v>
      </c>
      <c r="M77" s="12">
        <v>-6620</v>
      </c>
      <c r="N77" s="12">
        <v>1065.8504638671875</v>
      </c>
      <c r="O77" s="12">
        <v>-587.6102294921875</v>
      </c>
      <c r="P77" s="11">
        <v>1.8138732281572001</v>
      </c>
      <c r="Q77" s="13">
        <v>37.576713507312874</v>
      </c>
      <c r="R77" s="17">
        <v>8</v>
      </c>
      <c r="S77" s="17">
        <v>14</v>
      </c>
      <c r="T77" s="17">
        <v>67</v>
      </c>
      <c r="U77" s="17">
        <v>27</v>
      </c>
      <c r="V77" s="12">
        <v>-80775</v>
      </c>
      <c r="W77" s="11">
        <v>1.1034746900418539</v>
      </c>
      <c r="X77" s="17">
        <v>1</v>
      </c>
      <c r="Y77" s="12">
        <v>80775</v>
      </c>
      <c r="Z77" s="11">
        <v>162.21603218817702</v>
      </c>
      <c r="AA77" s="14">
        <v>2126.6521819870009</v>
      </c>
      <c r="AB77" s="11">
        <v>0.23715236051713201</v>
      </c>
      <c r="AC77" s="11">
        <v>1.197159967089954</v>
      </c>
      <c r="AD77" s="15">
        <v>110888.63752358138</v>
      </c>
      <c r="AE77" s="11">
        <v>119.75795939256611</v>
      </c>
      <c r="AF77" s="11">
        <f>(Opti_Medias__30_INS[[#This Row],[All: TS Index]]-AA$114) /ABS(AA$114)</f>
        <v>-0.8157552067178091</v>
      </c>
      <c r="AG77" s="11">
        <f>(Opti_Medias__30_INS[[#This Row],[All: Expectancy Score]]-AB$114) /ABS(AB$114)</f>
        <v>-0.96180329306473722</v>
      </c>
      <c r="AH77" s="11"/>
      <c r="AI77" s="11">
        <f>(Opti_Medias__30_INS[[#This Row],[All: Perfect Profit Correlation]]-AD$114) /ABS(AD$114)</f>
        <v>-0.61802982329150546</v>
      </c>
      <c r="AJ77" s="11">
        <f>(Opti_Medias__30_INS[[#This Row],[All: Robustness Index]]-AE$114) /ABS(AE$114)</f>
        <v>-0.16308046285913949</v>
      </c>
      <c r="AK77" s="11">
        <f>SUM(Opti_Medias__30_INS[[#This Row],[VAR TS Index]:[VAR Robustness Index]])</f>
        <v>-2.5586687859331914</v>
      </c>
      <c r="AL77" s="11">
        <f>Opti_Medias__30_INS[[#This Row],[SUMA]]-Opti_Medias__30_INS[[#This Row],[VAR Robustness Index]]</f>
        <v>-2.395588323074052</v>
      </c>
    </row>
    <row r="78" spans="1:38" x14ac:dyDescent="0.25">
      <c r="A78" s="11"/>
      <c r="B78" s="17">
        <v>30</v>
      </c>
      <c r="C78" s="17">
        <v>1</v>
      </c>
      <c r="D78" s="17">
        <v>30</v>
      </c>
      <c r="E78" s="10">
        <v>128330</v>
      </c>
      <c r="F78" s="10">
        <v>1434630</v>
      </c>
      <c r="G78" s="10">
        <v>-1306300</v>
      </c>
      <c r="H78" s="17">
        <v>3535</v>
      </c>
      <c r="I78" s="11">
        <v>35.728429985855726</v>
      </c>
      <c r="J78" s="17">
        <v>1263</v>
      </c>
      <c r="K78" s="17">
        <v>2256</v>
      </c>
      <c r="L78" s="12">
        <v>17550</v>
      </c>
      <c r="M78" s="12">
        <v>-4600</v>
      </c>
      <c r="N78" s="12">
        <v>1135.8907470703125</v>
      </c>
      <c r="O78" s="12">
        <v>-579.03369140625</v>
      </c>
      <c r="P78" s="11">
        <v>1.9617006124663849</v>
      </c>
      <c r="Q78" s="13">
        <v>36.302687411598299</v>
      </c>
      <c r="R78" s="17">
        <v>5</v>
      </c>
      <c r="S78" s="17">
        <v>13</v>
      </c>
      <c r="T78" s="17">
        <v>70</v>
      </c>
      <c r="U78" s="17">
        <v>26</v>
      </c>
      <c r="V78" s="12">
        <v>-51005</v>
      </c>
      <c r="W78" s="11">
        <v>1.098239301844905</v>
      </c>
      <c r="X78" s="17">
        <v>1</v>
      </c>
      <c r="Y78" s="12">
        <v>51005</v>
      </c>
      <c r="Z78" s="11">
        <v>251.60278404078031</v>
      </c>
      <c r="AA78" s="14">
        <v>3177.7431624350552</v>
      </c>
      <c r="AB78" s="11">
        <v>0.50254874420031603</v>
      </c>
      <c r="AC78" s="11">
        <v>1.1546448342884541</v>
      </c>
      <c r="AD78" s="15">
        <v>117958.11481069792</v>
      </c>
      <c r="AE78" s="11">
        <v>96.40384787783178</v>
      </c>
      <c r="AF78" s="11">
        <f>(Opti_Medias__30_INS[[#This Row],[All: TS Index]]-AA$114) /ABS(AA$114)</f>
        <v>-0.72469281200477897</v>
      </c>
      <c r="AG78" s="11">
        <f>(Opti_Medias__30_INS[[#This Row],[All: Expectancy Score]]-AB$114) /ABS(AB$114)</f>
        <v>-0.91905749088456945</v>
      </c>
      <c r="AH78" s="11"/>
      <c r="AI78" s="11">
        <f>(Opti_Medias__30_INS[[#This Row],[All: Perfect Profit Correlation]]-AD$114) /ABS(AD$114)</f>
        <v>-0.5936780993556573</v>
      </c>
      <c r="AJ78" s="11">
        <f>(Opti_Medias__30_INS[[#This Row],[All: Robustness Index]]-AE$114) /ABS(AE$114)</f>
        <v>-0.32628892347742194</v>
      </c>
      <c r="AK78" s="11">
        <f>SUM(Opti_Medias__30_INS[[#This Row],[VAR TS Index]:[VAR Robustness Index]])</f>
        <v>-2.5637173257224277</v>
      </c>
      <c r="AL78" s="11">
        <f>Opti_Medias__30_INS[[#This Row],[SUMA]]-Opti_Medias__30_INS[[#This Row],[VAR Robustness Index]]</f>
        <v>-2.2374284022450057</v>
      </c>
    </row>
    <row r="79" spans="1:38" x14ac:dyDescent="0.25">
      <c r="A79" s="11"/>
      <c r="B79" s="17">
        <v>37</v>
      </c>
      <c r="C79" s="17">
        <v>5</v>
      </c>
      <c r="D79" s="17">
        <v>217</v>
      </c>
      <c r="E79" s="10">
        <v>138320</v>
      </c>
      <c r="F79" s="10">
        <v>1405980</v>
      </c>
      <c r="G79" s="10">
        <v>-1267660</v>
      </c>
      <c r="H79" s="17">
        <v>3925</v>
      </c>
      <c r="I79" s="11">
        <v>30.445859872611464</v>
      </c>
      <c r="J79" s="17">
        <v>1195</v>
      </c>
      <c r="K79" s="17">
        <v>2711</v>
      </c>
      <c r="L79" s="12">
        <v>17380</v>
      </c>
      <c r="M79" s="12">
        <v>-4450</v>
      </c>
      <c r="N79" s="12">
        <v>1176.55224609375</v>
      </c>
      <c r="O79" s="12">
        <v>-467.59866333007813</v>
      </c>
      <c r="P79" s="11">
        <v>2.5161582749504592</v>
      </c>
      <c r="Q79" s="13">
        <v>35.240764331210194</v>
      </c>
      <c r="R79" s="17">
        <v>5</v>
      </c>
      <c r="S79" s="17">
        <v>21</v>
      </c>
      <c r="T79" s="17">
        <v>78</v>
      </c>
      <c r="U79" s="17">
        <v>20</v>
      </c>
      <c r="V79" s="12">
        <v>-35745</v>
      </c>
      <c r="W79" s="11">
        <v>1.1091144313143899</v>
      </c>
      <c r="X79" s="17">
        <v>1</v>
      </c>
      <c r="Y79" s="12">
        <v>35745</v>
      </c>
      <c r="Z79" s="11">
        <v>386.96321163799132</v>
      </c>
      <c r="AA79" s="14">
        <v>4624.2103790739966</v>
      </c>
      <c r="AB79" s="11">
        <v>1.1306405084608471</v>
      </c>
      <c r="AC79" s="11">
        <v>1.2199461530365929</v>
      </c>
      <c r="AD79" s="15">
        <v>131338.51330395904</v>
      </c>
      <c r="AE79" s="11">
        <v>38.445205310647459</v>
      </c>
      <c r="AF79" s="11">
        <f>(Opti_Medias__30_INS[[#This Row],[All: TS Index]]-AA$114) /ABS(AA$114)</f>
        <v>-0.59937657290539592</v>
      </c>
      <c r="AG79" s="11">
        <f>(Opti_Medias__30_INS[[#This Row],[All: Expectancy Score]]-AB$114) /ABS(AB$114)</f>
        <v>-0.81789452124093176</v>
      </c>
      <c r="AH79" s="11"/>
      <c r="AI79" s="11">
        <f>(Opti_Medias__30_INS[[#This Row],[All: Perfect Profit Correlation]]-AD$114) /ABS(AD$114)</f>
        <v>-0.54758759548582525</v>
      </c>
      <c r="AJ79" s="11">
        <f>(Opti_Medias__30_INS[[#This Row],[All: Robustness Index]]-AE$114) /ABS(AE$114)</f>
        <v>-0.7313285597293695</v>
      </c>
      <c r="AK79" s="11">
        <f>SUM(Opti_Medias__30_INS[[#This Row],[VAR TS Index]:[VAR Robustness Index]])</f>
        <v>-2.6961872493615222</v>
      </c>
      <c r="AL79" s="11">
        <f>Opti_Medias__30_INS[[#This Row],[SUMA]]-Opti_Medias__30_INS[[#This Row],[VAR Robustness Index]]</f>
        <v>-1.9648586896321527</v>
      </c>
    </row>
    <row r="80" spans="1:38" x14ac:dyDescent="0.25">
      <c r="A80" s="11"/>
      <c r="B80" s="17">
        <v>37</v>
      </c>
      <c r="C80" s="17">
        <v>2</v>
      </c>
      <c r="D80" s="17">
        <v>82</v>
      </c>
      <c r="E80" s="10">
        <v>120480</v>
      </c>
      <c r="F80" s="10">
        <v>1411570</v>
      </c>
      <c r="G80" s="10">
        <v>-1291090</v>
      </c>
      <c r="H80" s="17">
        <v>4024</v>
      </c>
      <c r="I80" s="11">
        <v>26.491053677932406</v>
      </c>
      <c r="J80" s="17">
        <v>1066</v>
      </c>
      <c r="K80" s="17">
        <v>2945</v>
      </c>
      <c r="L80" s="12">
        <v>17460</v>
      </c>
      <c r="M80" s="12">
        <v>-4300</v>
      </c>
      <c r="N80" s="12">
        <v>1324.1744384765625</v>
      </c>
      <c r="O80" s="12">
        <v>-438.40066528320313</v>
      </c>
      <c r="P80" s="11">
        <v>3.020466307050782</v>
      </c>
      <c r="Q80" s="13">
        <v>29.940357852882705</v>
      </c>
      <c r="R80" s="17">
        <v>6</v>
      </c>
      <c r="S80" s="17">
        <v>21</v>
      </c>
      <c r="T80" s="17">
        <v>88</v>
      </c>
      <c r="U80" s="17">
        <v>18</v>
      </c>
      <c r="V80" s="12">
        <v>-57095</v>
      </c>
      <c r="W80" s="11">
        <v>1.0933165000116181</v>
      </c>
      <c r="X80" s="17">
        <v>1</v>
      </c>
      <c r="Y80" s="12">
        <v>57095</v>
      </c>
      <c r="Z80" s="11">
        <v>211.01672650845083</v>
      </c>
      <c r="AA80" s="14">
        <v>2249.438304580086</v>
      </c>
      <c r="AB80" s="11">
        <v>2.5416094050065889</v>
      </c>
      <c r="AC80" s="11">
        <v>1.010372234979984</v>
      </c>
      <c r="AD80" s="15">
        <v>113261.8622653491</v>
      </c>
      <c r="AE80" s="11">
        <v>43.208327002094357</v>
      </c>
      <c r="AF80" s="11">
        <f>(Opti_Medias__30_INS[[#This Row],[All: TS Index]]-AA$114) /ABS(AA$114)</f>
        <v>-0.80511749926066045</v>
      </c>
      <c r="AG80" s="11">
        <f>(Opti_Medias__30_INS[[#This Row],[All: Expectancy Score]]-AB$114) /ABS(AB$114)</f>
        <v>-0.59063823199882903</v>
      </c>
      <c r="AH80" s="11"/>
      <c r="AI80" s="11">
        <f>(Opti_Medias__30_INS[[#This Row],[All: Perfect Profit Correlation]]-AD$114) /ABS(AD$114)</f>
        <v>-0.60985494537591012</v>
      </c>
      <c r="AJ80" s="11">
        <f>(Opti_Medias__30_INS[[#This Row],[All: Robustness Index]]-AE$114) /ABS(AE$114)</f>
        <v>-0.69804184023639526</v>
      </c>
      <c r="AK80" s="11">
        <f>SUM(Opti_Medias__30_INS[[#This Row],[VAR TS Index]:[VAR Robustness Index]])</f>
        <v>-2.7036525168717951</v>
      </c>
      <c r="AL80" s="11">
        <f>Opti_Medias__30_INS[[#This Row],[SUMA]]-Opti_Medias__30_INS[[#This Row],[VAR Robustness Index]]</f>
        <v>-2.0056106766354</v>
      </c>
    </row>
    <row r="81" spans="1:38" x14ac:dyDescent="0.25">
      <c r="A81" s="11"/>
      <c r="B81" s="17">
        <v>38</v>
      </c>
      <c r="C81" s="17">
        <v>5</v>
      </c>
      <c r="D81" s="17">
        <v>218</v>
      </c>
      <c r="E81" s="10">
        <v>141300</v>
      </c>
      <c r="F81" s="10">
        <v>1437280</v>
      </c>
      <c r="G81" s="10">
        <v>-1295980</v>
      </c>
      <c r="H81" s="17">
        <v>4155</v>
      </c>
      <c r="I81" s="11">
        <v>29.241877256317689</v>
      </c>
      <c r="J81" s="17">
        <v>1215</v>
      </c>
      <c r="K81" s="17">
        <v>2912</v>
      </c>
      <c r="L81" s="12">
        <v>17480</v>
      </c>
      <c r="M81" s="12">
        <v>-4300</v>
      </c>
      <c r="N81" s="12">
        <v>1182.946533203125</v>
      </c>
      <c r="O81" s="12">
        <v>-445.04806518554688</v>
      </c>
      <c r="P81" s="11">
        <v>2.6580197190834611</v>
      </c>
      <c r="Q81" s="13">
        <v>34.007220216606498</v>
      </c>
      <c r="R81" s="17">
        <v>7</v>
      </c>
      <c r="S81" s="17">
        <v>19</v>
      </c>
      <c r="T81" s="17">
        <v>77</v>
      </c>
      <c r="U81" s="17">
        <v>18</v>
      </c>
      <c r="V81" s="12">
        <v>-35015</v>
      </c>
      <c r="W81" s="11">
        <v>1.1090294603311781</v>
      </c>
      <c r="X81" s="17">
        <v>1</v>
      </c>
      <c r="Y81" s="12">
        <v>35015</v>
      </c>
      <c r="Z81" s="11">
        <v>403.5413394259603</v>
      </c>
      <c r="AA81" s="14">
        <v>4903.0272740254177</v>
      </c>
      <c r="AB81" s="11">
        <v>0.62672186933173502</v>
      </c>
      <c r="AC81" s="11">
        <v>1.240823183178501</v>
      </c>
      <c r="AD81" s="15">
        <v>134197.14415561478</v>
      </c>
      <c r="AE81" s="11">
        <v>38.856403908893022</v>
      </c>
      <c r="AF81" s="11">
        <f>(Opti_Medias__30_INS[[#This Row],[All: TS Index]]-AA$114) /ABS(AA$114)</f>
        <v>-0.57522097209346168</v>
      </c>
      <c r="AG81" s="11">
        <f>(Opti_Medias__30_INS[[#This Row],[All: Expectancy Score]]-AB$114) /ABS(AB$114)</f>
        <v>-0.89905767110821144</v>
      </c>
      <c r="AH81" s="11"/>
      <c r="AI81" s="11">
        <f>(Opti_Medias__30_INS[[#This Row],[All: Perfect Profit Correlation]]-AD$114) /ABS(AD$114)</f>
        <v>-0.53774067378188517</v>
      </c>
      <c r="AJ81" s="11">
        <f>(Opti_Medias__30_INS[[#This Row],[All: Robustness Index]]-AE$114) /ABS(AE$114)</f>
        <v>-0.72845492909753351</v>
      </c>
      <c r="AK81" s="11">
        <f>SUM(Opti_Medias__30_INS[[#This Row],[VAR TS Index]:[VAR Robustness Index]])</f>
        <v>-2.7404742460810922</v>
      </c>
      <c r="AL81" s="11">
        <f>Opti_Medias__30_INS[[#This Row],[SUMA]]-Opti_Medias__30_INS[[#This Row],[VAR Robustness Index]]</f>
        <v>-2.012019316983559</v>
      </c>
    </row>
    <row r="82" spans="1:38" x14ac:dyDescent="0.25">
      <c r="A82" s="11"/>
      <c r="B82" s="17">
        <v>24</v>
      </c>
      <c r="C82" s="17">
        <v>3</v>
      </c>
      <c r="D82" s="17">
        <v>114</v>
      </c>
      <c r="E82" s="10">
        <v>194540</v>
      </c>
      <c r="F82" s="10">
        <v>1386350</v>
      </c>
      <c r="G82" s="10">
        <v>-1191810</v>
      </c>
      <c r="H82" s="17">
        <v>2626</v>
      </c>
      <c r="I82" s="11">
        <v>38.994668697638993</v>
      </c>
      <c r="J82" s="17">
        <v>1024</v>
      </c>
      <c r="K82" s="17">
        <v>1585</v>
      </c>
      <c r="L82" s="12">
        <v>21740</v>
      </c>
      <c r="M82" s="12">
        <v>-4590</v>
      </c>
      <c r="N82" s="12">
        <v>1353.857421875</v>
      </c>
      <c r="O82" s="12">
        <v>-751.93060302734375</v>
      </c>
      <c r="P82" s="11">
        <v>1.800508473021635</v>
      </c>
      <c r="Q82" s="13">
        <v>74.08225437928408</v>
      </c>
      <c r="R82" s="17">
        <v>7</v>
      </c>
      <c r="S82" s="17">
        <v>13</v>
      </c>
      <c r="T82" s="17">
        <v>82</v>
      </c>
      <c r="U82" s="17">
        <v>39</v>
      </c>
      <c r="V82" s="12">
        <v>-30965</v>
      </c>
      <c r="W82" s="11">
        <v>1.1632307163054509</v>
      </c>
      <c r="X82" s="17">
        <v>1</v>
      </c>
      <c r="Y82" s="12">
        <v>30965</v>
      </c>
      <c r="Z82" s="11">
        <v>628.25771031810109</v>
      </c>
      <c r="AA82" s="14">
        <v>6433.3589536573554</v>
      </c>
      <c r="AB82" s="11">
        <v>1.4979218503248439</v>
      </c>
      <c r="AC82" s="11">
        <v>1.8115246749106491</v>
      </c>
      <c r="AD82" s="15">
        <v>188441.04948919296</v>
      </c>
      <c r="AE82" s="11">
        <v>-28.702295192712423</v>
      </c>
      <c r="AF82" s="11">
        <f>(Opti_Medias__30_INS[[#This Row],[All: TS Index]]-AA$114) /ABS(AA$114)</f>
        <v>-0.44263904527196613</v>
      </c>
      <c r="AG82" s="11">
        <f>(Opti_Medias__30_INS[[#This Row],[All: Expectancy Score]]-AB$114) /ABS(AB$114)</f>
        <v>-0.75873872052540114</v>
      </c>
      <c r="AH82" s="11"/>
      <c r="AI82" s="11">
        <f>(Opti_Medias__30_INS[[#This Row],[All: Perfect Profit Correlation]]-AD$114) /ABS(AD$114)</f>
        <v>-0.35089056390277773</v>
      </c>
      <c r="AJ82" s="11">
        <f>(Opti_Medias__30_INS[[#This Row],[All: Robustness Index]]-AE$114) /ABS(AE$114)</f>
        <v>-1.2005838420210786</v>
      </c>
      <c r="AK82" s="11">
        <f>SUM(Opti_Medias__30_INS[[#This Row],[VAR TS Index]:[VAR Robustness Index]])</f>
        <v>-2.7528521717212238</v>
      </c>
      <c r="AL82" s="11">
        <f>Opti_Medias__30_INS[[#This Row],[SUMA]]-Opti_Medias__30_INS[[#This Row],[VAR Robustness Index]]</f>
        <v>-1.5522683297001452</v>
      </c>
    </row>
    <row r="83" spans="1:38" x14ac:dyDescent="0.25">
      <c r="A83" s="11"/>
      <c r="B83" s="17">
        <v>16</v>
      </c>
      <c r="C83" s="17">
        <v>1</v>
      </c>
      <c r="D83" s="17">
        <v>16</v>
      </c>
      <c r="E83" s="10">
        <v>149640</v>
      </c>
      <c r="F83" s="10">
        <v>1437550</v>
      </c>
      <c r="G83" s="10">
        <v>-1287910</v>
      </c>
      <c r="H83" s="17">
        <v>3616</v>
      </c>
      <c r="I83" s="11">
        <v>39.076327433628322</v>
      </c>
      <c r="J83" s="17">
        <v>1413</v>
      </c>
      <c r="K83" s="17">
        <v>2175</v>
      </c>
      <c r="L83" s="12">
        <v>17520</v>
      </c>
      <c r="M83" s="12">
        <v>-8650</v>
      </c>
      <c r="N83" s="12">
        <v>1017.3743896484375</v>
      </c>
      <c r="O83" s="12">
        <v>-592.14251708984375</v>
      </c>
      <c r="P83" s="11">
        <v>1.718124202005368</v>
      </c>
      <c r="Q83" s="13">
        <v>41.38274336283186</v>
      </c>
      <c r="R83" s="17">
        <v>8</v>
      </c>
      <c r="S83" s="17">
        <v>13</v>
      </c>
      <c r="T83" s="17">
        <v>61</v>
      </c>
      <c r="U83" s="17">
        <v>27</v>
      </c>
      <c r="V83" s="12">
        <v>-87515</v>
      </c>
      <c r="W83" s="11">
        <v>1.116188242967288</v>
      </c>
      <c r="X83" s="17">
        <v>1</v>
      </c>
      <c r="Y83" s="12">
        <v>87515</v>
      </c>
      <c r="Z83" s="11">
        <v>170.98783065760156</v>
      </c>
      <c r="AA83" s="14">
        <v>2416.0580471919097</v>
      </c>
      <c r="AB83" s="11">
        <v>0.27972007029364998</v>
      </c>
      <c r="AC83" s="11">
        <v>1.3901269573597801</v>
      </c>
      <c r="AD83" s="15">
        <v>126947.70599943223</v>
      </c>
      <c r="AE83" s="11">
        <v>79.229029288627814</v>
      </c>
      <c r="AF83" s="11">
        <f>(Opti_Medias__30_INS[[#This Row],[All: TS Index]]-AA$114) /ABS(AA$114)</f>
        <v>-0.79068221910800074</v>
      </c>
      <c r="AG83" s="11">
        <f>(Opti_Medias__30_INS[[#This Row],[All: Expectancy Score]]-AB$114) /ABS(AB$114)</f>
        <v>-0.95494716761149079</v>
      </c>
      <c r="AH83" s="11"/>
      <c r="AI83" s="11">
        <f>(Opti_Medias__30_INS[[#This Row],[All: Perfect Profit Correlation]]-AD$114) /ABS(AD$114)</f>
        <v>-0.56271229608146911</v>
      </c>
      <c r="AJ83" s="11">
        <f>(Opti_Medias__30_INS[[#This Row],[All: Robustness Index]]-AE$114) /ABS(AE$114)</f>
        <v>-0.44631385791236089</v>
      </c>
      <c r="AK83" s="11">
        <f>SUM(Opti_Medias__30_INS[[#This Row],[VAR TS Index]:[VAR Robustness Index]])</f>
        <v>-2.7546555407133217</v>
      </c>
      <c r="AL83" s="11">
        <f>Opti_Medias__30_INS[[#This Row],[SUMA]]-Opti_Medias__30_INS[[#This Row],[VAR Robustness Index]]</f>
        <v>-2.3083416828009611</v>
      </c>
    </row>
    <row r="84" spans="1:38" x14ac:dyDescent="0.25">
      <c r="A84" s="11"/>
      <c r="B84" s="17">
        <v>41</v>
      </c>
      <c r="C84" s="17">
        <v>11</v>
      </c>
      <c r="D84" s="17">
        <v>491</v>
      </c>
      <c r="E84" s="10">
        <v>133790</v>
      </c>
      <c r="F84" s="10">
        <v>1518460</v>
      </c>
      <c r="G84" s="10">
        <v>-1384670</v>
      </c>
      <c r="H84" s="17">
        <v>4048</v>
      </c>
      <c r="I84" s="11">
        <v>32.658102766798422</v>
      </c>
      <c r="J84" s="17">
        <v>1322</v>
      </c>
      <c r="K84" s="17">
        <v>2709</v>
      </c>
      <c r="L84" s="12">
        <v>18310</v>
      </c>
      <c r="M84" s="12">
        <v>-4310</v>
      </c>
      <c r="N84" s="12">
        <v>1148.608154296875</v>
      </c>
      <c r="O84" s="12">
        <v>-511.136962890625</v>
      </c>
      <c r="P84" s="11">
        <v>2.247163163080927</v>
      </c>
      <c r="Q84" s="13">
        <v>33.050889328063242</v>
      </c>
      <c r="R84" s="17">
        <v>6</v>
      </c>
      <c r="S84" s="17">
        <v>16</v>
      </c>
      <c r="T84" s="17">
        <v>70</v>
      </c>
      <c r="U84" s="17">
        <v>20</v>
      </c>
      <c r="V84" s="12">
        <v>-36195</v>
      </c>
      <c r="W84" s="11">
        <v>1.0966222998981709</v>
      </c>
      <c r="X84" s="17">
        <v>1</v>
      </c>
      <c r="Y84" s="12">
        <v>36195</v>
      </c>
      <c r="Z84" s="11">
        <v>369.63669015057326</v>
      </c>
      <c r="AA84" s="14">
        <v>4886.5970437905789</v>
      </c>
      <c r="AB84" s="11">
        <v>0.85118202891851602</v>
      </c>
      <c r="AC84" s="11">
        <v>1.18631074385033</v>
      </c>
      <c r="AD84" s="15">
        <v>127384.42533524305</v>
      </c>
      <c r="AE84" s="11">
        <v>33.817149305832942</v>
      </c>
      <c r="AF84" s="11">
        <f>(Opti_Medias__30_INS[[#This Row],[All: TS Index]]-AA$114) /ABS(AA$114)</f>
        <v>-0.57664442271638783</v>
      </c>
      <c r="AG84" s="11">
        <f>(Opti_Medias__30_INS[[#This Row],[All: Expectancy Score]]-AB$114) /ABS(AB$114)</f>
        <v>-0.86290522077761811</v>
      </c>
      <c r="AH84" s="11"/>
      <c r="AI84" s="11">
        <f>(Opti_Medias__30_INS[[#This Row],[All: Perfect Profit Correlation]]-AD$114) /ABS(AD$114)</f>
        <v>-0.56120796014951946</v>
      </c>
      <c r="AJ84" s="11">
        <f>(Opti_Medias__30_INS[[#This Row],[All: Robustness Index]]-AE$114) /ABS(AE$114)</f>
        <v>-0.76367138277893942</v>
      </c>
      <c r="AK84" s="11">
        <f>SUM(Opti_Medias__30_INS[[#This Row],[VAR TS Index]:[VAR Robustness Index]])</f>
        <v>-2.7644289864224652</v>
      </c>
      <c r="AL84" s="11">
        <f>Opti_Medias__30_INS[[#This Row],[SUMA]]-Opti_Medias__30_INS[[#This Row],[VAR Robustness Index]]</f>
        <v>-2.0007576036435255</v>
      </c>
    </row>
    <row r="85" spans="1:38" x14ac:dyDescent="0.25">
      <c r="A85" s="11"/>
      <c r="B85" s="17">
        <v>37</v>
      </c>
      <c r="C85" s="17">
        <v>8</v>
      </c>
      <c r="D85" s="17">
        <v>352</v>
      </c>
      <c r="E85" s="10">
        <v>130940</v>
      </c>
      <c r="F85" s="10">
        <v>1545260</v>
      </c>
      <c r="G85" s="10">
        <v>-1414320</v>
      </c>
      <c r="H85" s="17">
        <v>4214</v>
      </c>
      <c r="I85" s="11">
        <v>30.84954912197437</v>
      </c>
      <c r="J85" s="17">
        <v>1300</v>
      </c>
      <c r="K85" s="17">
        <v>2895</v>
      </c>
      <c r="L85" s="12">
        <v>18070</v>
      </c>
      <c r="M85" s="12">
        <v>-4310</v>
      </c>
      <c r="N85" s="12">
        <v>1188.6614990234375</v>
      </c>
      <c r="O85" s="12">
        <v>-488.53884887695313</v>
      </c>
      <c r="P85" s="11">
        <v>2.433095140245074</v>
      </c>
      <c r="Q85" s="13">
        <v>31.072615092548649</v>
      </c>
      <c r="R85" s="17">
        <v>7</v>
      </c>
      <c r="S85" s="17">
        <v>14</v>
      </c>
      <c r="T85" s="17">
        <v>71</v>
      </c>
      <c r="U85" s="17">
        <v>19</v>
      </c>
      <c r="V85" s="12">
        <v>-56085</v>
      </c>
      <c r="W85" s="11">
        <v>1.09258159398156</v>
      </c>
      <c r="X85" s="17">
        <v>1</v>
      </c>
      <c r="Y85" s="12">
        <v>56085</v>
      </c>
      <c r="Z85" s="11">
        <v>233.46705892841223</v>
      </c>
      <c r="AA85" s="14">
        <v>3035.071766069359</v>
      </c>
      <c r="AB85" s="11">
        <v>1.506597899092488</v>
      </c>
      <c r="AC85" s="11">
        <v>1.1436813187108399</v>
      </c>
      <c r="AD85" s="15">
        <v>121906.88606554132</v>
      </c>
      <c r="AE85" s="11">
        <v>39.614115704288913</v>
      </c>
      <c r="AF85" s="11">
        <f>(Opti_Medias__30_INS[[#This Row],[All: TS Index]]-AA$114) /ABS(AA$114)</f>
        <v>-0.73705330148835735</v>
      </c>
      <c r="AG85" s="11">
        <f>(Opti_Medias__30_INS[[#This Row],[All: Expectancy Score]]-AB$114) /ABS(AB$114)</f>
        <v>-0.75734132143811772</v>
      </c>
      <c r="AH85" s="11"/>
      <c r="AI85" s="11">
        <f>(Opti_Medias__30_INS[[#This Row],[All: Perfect Profit Correlation]]-AD$114) /ABS(AD$114)</f>
        <v>-0.58007604879684149</v>
      </c>
      <c r="AJ85" s="11">
        <f>(Opti_Medias__30_INS[[#This Row],[All: Robustness Index]]-AE$114) /ABS(AE$114)</f>
        <v>-0.72315971691869052</v>
      </c>
      <c r="AK85" s="11">
        <f>SUM(Opti_Medias__30_INS[[#This Row],[VAR TS Index]:[VAR Robustness Index]])</f>
        <v>-2.7976303886420073</v>
      </c>
      <c r="AL85" s="11">
        <f>Opti_Medias__30_INS[[#This Row],[SUMA]]-Opti_Medias__30_INS[[#This Row],[VAR Robustness Index]]</f>
        <v>-2.0744706717233168</v>
      </c>
    </row>
    <row r="86" spans="1:38" x14ac:dyDescent="0.25">
      <c r="A86" s="11"/>
      <c r="B86" s="17">
        <v>20</v>
      </c>
      <c r="C86" s="17">
        <v>3</v>
      </c>
      <c r="D86" s="17">
        <v>110</v>
      </c>
      <c r="E86" s="10">
        <v>167070</v>
      </c>
      <c r="F86" s="10">
        <v>1435890</v>
      </c>
      <c r="G86" s="10">
        <v>-1268820</v>
      </c>
      <c r="H86" s="17">
        <v>2839</v>
      </c>
      <c r="I86" s="11">
        <v>40.014089468122577</v>
      </c>
      <c r="J86" s="17">
        <v>1136</v>
      </c>
      <c r="K86" s="17">
        <v>1689</v>
      </c>
      <c r="L86" s="12">
        <v>26070</v>
      </c>
      <c r="M86" s="12">
        <v>-6460</v>
      </c>
      <c r="N86" s="12">
        <v>1263.9876708984375</v>
      </c>
      <c r="O86" s="12">
        <v>-751.2255859375</v>
      </c>
      <c r="P86" s="11">
        <v>1.682567386627321</v>
      </c>
      <c r="Q86" s="13">
        <v>58.848185980979217</v>
      </c>
      <c r="R86" s="17">
        <v>7</v>
      </c>
      <c r="S86" s="17">
        <v>13</v>
      </c>
      <c r="T86" s="17">
        <v>73</v>
      </c>
      <c r="U86" s="17">
        <v>37</v>
      </c>
      <c r="V86" s="12">
        <v>-30285</v>
      </c>
      <c r="W86" s="11">
        <v>1.1316735234312201</v>
      </c>
      <c r="X86" s="17">
        <v>1</v>
      </c>
      <c r="Y86" s="12">
        <v>30285</v>
      </c>
      <c r="Z86" s="11">
        <v>551.65923724616141</v>
      </c>
      <c r="AA86" s="14">
        <v>6266.8489351163944</v>
      </c>
      <c r="AB86" s="11">
        <v>1.1242400457843491</v>
      </c>
      <c r="AC86" s="11">
        <v>1.553412540968955</v>
      </c>
      <c r="AD86" s="15">
        <v>158825.64338912998</v>
      </c>
      <c r="AE86" s="11">
        <v>-14.846279468920637</v>
      </c>
      <c r="AF86" s="11">
        <f>(Opti_Medias__30_INS[[#This Row],[All: TS Index]]-AA$114) /ABS(AA$114)</f>
        <v>-0.45706481936203341</v>
      </c>
      <c r="AG86" s="11">
        <f>(Opti_Medias__30_INS[[#This Row],[All: Expectancy Score]]-AB$114) /ABS(AB$114)</f>
        <v>-0.81892540533827407</v>
      </c>
      <c r="AH86" s="11"/>
      <c r="AI86" s="11">
        <f>(Opti_Medias__30_INS[[#This Row],[All: Perfect Profit Correlation]]-AD$114) /ABS(AD$114)</f>
        <v>-0.45290463995208663</v>
      </c>
      <c r="AJ86" s="11">
        <f>(Opti_Medias__30_INS[[#This Row],[All: Robustness Index]]-AE$114) /ABS(AE$114)</f>
        <v>-1.103752113048815</v>
      </c>
      <c r="AK86" s="11">
        <f>SUM(Opti_Medias__30_INS[[#This Row],[VAR TS Index]:[VAR Robustness Index]])</f>
        <v>-2.8326469777012093</v>
      </c>
      <c r="AL86" s="11">
        <f>Opti_Medias__30_INS[[#This Row],[SUMA]]-Opti_Medias__30_INS[[#This Row],[VAR Robustness Index]]</f>
        <v>-1.7288948646523943</v>
      </c>
    </row>
    <row r="87" spans="1:38" x14ac:dyDescent="0.25">
      <c r="A87" s="11"/>
      <c r="B87" s="17">
        <v>38</v>
      </c>
      <c r="C87" s="17">
        <v>11</v>
      </c>
      <c r="D87" s="17">
        <v>488</v>
      </c>
      <c r="E87" s="10">
        <v>134050</v>
      </c>
      <c r="F87" s="10">
        <v>1475790</v>
      </c>
      <c r="G87" s="10">
        <v>-1341740</v>
      </c>
      <c r="H87" s="17">
        <v>3708</v>
      </c>
      <c r="I87" s="11">
        <v>34.627831715210355</v>
      </c>
      <c r="J87" s="17">
        <v>1284</v>
      </c>
      <c r="K87" s="17">
        <v>2409</v>
      </c>
      <c r="L87" s="12">
        <v>18310</v>
      </c>
      <c r="M87" s="12">
        <v>-4440</v>
      </c>
      <c r="N87" s="12">
        <v>1149.369140625</v>
      </c>
      <c r="O87" s="12">
        <v>-556.9697265625</v>
      </c>
      <c r="P87" s="11">
        <v>2.0636115138944171</v>
      </c>
      <c r="Q87" s="13">
        <v>36.151564185544771</v>
      </c>
      <c r="R87" s="17">
        <v>7</v>
      </c>
      <c r="S87" s="17">
        <v>16</v>
      </c>
      <c r="T87" s="17">
        <v>71</v>
      </c>
      <c r="U87" s="17">
        <v>23</v>
      </c>
      <c r="V87" s="12">
        <v>-39265</v>
      </c>
      <c r="W87" s="11">
        <v>1.099907582691132</v>
      </c>
      <c r="X87" s="17">
        <v>1</v>
      </c>
      <c r="Y87" s="12">
        <v>39265</v>
      </c>
      <c r="Z87" s="11">
        <v>341.39819177384442</v>
      </c>
      <c r="AA87" s="14">
        <v>4383.5527823761622</v>
      </c>
      <c r="AB87" s="11">
        <v>0.68996611759250603</v>
      </c>
      <c r="AC87" s="11">
        <v>1.2020166155638889</v>
      </c>
      <c r="AD87" s="15">
        <v>128215.60621386912</v>
      </c>
      <c r="AE87" s="11">
        <v>28.94731389651567</v>
      </c>
      <c r="AF87" s="11">
        <f>(Opti_Medias__30_INS[[#This Row],[All: TS Index]]-AA$114) /ABS(AA$114)</f>
        <v>-0.62022620197541767</v>
      </c>
      <c r="AG87" s="11">
        <f>(Opti_Medias__30_INS[[#This Row],[All: Expectancy Score]]-AB$114) /ABS(AB$114)</f>
        <v>-0.88887129973543666</v>
      </c>
      <c r="AH87" s="11"/>
      <c r="AI87" s="11">
        <f>(Opti_Medias__30_INS[[#This Row],[All: Perfect Profit Correlation]]-AD$114) /ABS(AD$114)</f>
        <v>-0.55834485068965256</v>
      </c>
      <c r="AJ87" s="11">
        <f>(Opti_Medias__30_INS[[#This Row],[All: Robustness Index]]-AE$114) /ABS(AE$114)</f>
        <v>-0.79770386310334096</v>
      </c>
      <c r="AK87" s="11">
        <f>SUM(Opti_Medias__30_INS[[#This Row],[VAR TS Index]:[VAR Robustness Index]])</f>
        <v>-2.8651462155038478</v>
      </c>
      <c r="AL87" s="11">
        <f>Opti_Medias__30_INS[[#This Row],[SUMA]]-Opti_Medias__30_INS[[#This Row],[VAR Robustness Index]]</f>
        <v>-2.0674423524005068</v>
      </c>
    </row>
    <row r="88" spans="1:38" x14ac:dyDescent="0.25">
      <c r="A88" s="11"/>
      <c r="B88" s="17">
        <v>34</v>
      </c>
      <c r="C88" s="17">
        <v>5</v>
      </c>
      <c r="D88" s="17">
        <v>214</v>
      </c>
      <c r="E88" s="10">
        <v>118880</v>
      </c>
      <c r="F88" s="10">
        <v>1325090</v>
      </c>
      <c r="G88" s="10">
        <v>-1206210</v>
      </c>
      <c r="H88" s="17">
        <v>3431</v>
      </c>
      <c r="I88" s="11">
        <v>32.26464587583795</v>
      </c>
      <c r="J88" s="17">
        <v>1107</v>
      </c>
      <c r="K88" s="17">
        <v>2304</v>
      </c>
      <c r="L88" s="12">
        <v>16700</v>
      </c>
      <c r="M88" s="12">
        <v>-4430</v>
      </c>
      <c r="N88" s="12">
        <v>1197.0098876953125</v>
      </c>
      <c r="O88" s="12">
        <v>-523.52862548828125</v>
      </c>
      <c r="P88" s="11">
        <v>2.28642681492133</v>
      </c>
      <c r="Q88" s="13">
        <v>34.648790440104925</v>
      </c>
      <c r="R88" s="17">
        <v>6</v>
      </c>
      <c r="S88" s="17">
        <v>16</v>
      </c>
      <c r="T88" s="17">
        <v>84</v>
      </c>
      <c r="U88" s="17">
        <v>23</v>
      </c>
      <c r="V88" s="12">
        <v>-49465</v>
      </c>
      <c r="W88" s="11">
        <v>1.098556636074979</v>
      </c>
      <c r="X88" s="17">
        <v>1</v>
      </c>
      <c r="Y88" s="12">
        <v>49465</v>
      </c>
      <c r="Z88" s="11">
        <v>240.33154755888</v>
      </c>
      <c r="AA88" s="14">
        <v>2660.4702314768019</v>
      </c>
      <c r="AB88" s="11">
        <v>0.309257145851418</v>
      </c>
      <c r="AC88" s="11">
        <v>1.041829277932846</v>
      </c>
      <c r="AD88" s="15">
        <v>111449.6419253622</v>
      </c>
      <c r="AE88" s="11">
        <v>66.165682363959476</v>
      </c>
      <c r="AF88" s="11">
        <f>(Opti_Medias__30_INS[[#This Row],[All: TS Index]]-AA$114) /ABS(AA$114)</f>
        <v>-0.76950730731441153</v>
      </c>
      <c r="AG88" s="11">
        <f>(Opti_Medias__30_INS[[#This Row],[All: Expectancy Score]]-AB$114) /ABS(AB$114)</f>
        <v>-0.95018980818085064</v>
      </c>
      <c r="AH88" s="11"/>
      <c r="AI88" s="11">
        <f>(Opti_Medias__30_INS[[#This Row],[All: Perfect Profit Correlation]]-AD$114) /ABS(AD$114)</f>
        <v>-0.61609737146174159</v>
      </c>
      <c r="AJ88" s="11">
        <f>(Opti_Medias__30_INS[[#This Row],[All: Robustness Index]]-AE$114) /ABS(AE$114)</f>
        <v>-0.53760608030123513</v>
      </c>
      <c r="AK88" s="11">
        <f>SUM(Opti_Medias__30_INS[[#This Row],[VAR TS Index]:[VAR Robustness Index]])</f>
        <v>-2.8734005672582392</v>
      </c>
      <c r="AL88" s="11">
        <f>Opti_Medias__30_INS[[#This Row],[SUMA]]-Opti_Medias__30_INS[[#This Row],[VAR Robustness Index]]</f>
        <v>-2.335794486957004</v>
      </c>
    </row>
    <row r="89" spans="1:38" x14ac:dyDescent="0.25">
      <c r="A89" s="11"/>
      <c r="B89" s="17">
        <v>32</v>
      </c>
      <c r="C89" s="17">
        <v>1</v>
      </c>
      <c r="D89" s="17">
        <v>32</v>
      </c>
      <c r="E89" s="10">
        <v>134220</v>
      </c>
      <c r="F89" s="10">
        <v>1449550</v>
      </c>
      <c r="G89" s="10">
        <v>-1315330</v>
      </c>
      <c r="H89" s="17">
        <v>3629</v>
      </c>
      <c r="I89" s="11">
        <v>34.775420225957561</v>
      </c>
      <c r="J89" s="17">
        <v>1262</v>
      </c>
      <c r="K89" s="17">
        <v>2340</v>
      </c>
      <c r="L89" s="12">
        <v>17310</v>
      </c>
      <c r="M89" s="12">
        <v>-4430</v>
      </c>
      <c r="N89" s="12">
        <v>1148.61328125</v>
      </c>
      <c r="O89" s="12">
        <v>-562.1068115234375</v>
      </c>
      <c r="P89" s="11">
        <v>2.0434075120651829</v>
      </c>
      <c r="Q89" s="13">
        <v>36.985395425737117</v>
      </c>
      <c r="R89" s="17">
        <v>7</v>
      </c>
      <c r="S89" s="17">
        <v>12</v>
      </c>
      <c r="T89" s="17">
        <v>71</v>
      </c>
      <c r="U89" s="17">
        <v>24</v>
      </c>
      <c r="V89" s="12">
        <v>-47545</v>
      </c>
      <c r="W89" s="11">
        <v>1.1020428333574079</v>
      </c>
      <c r="X89" s="17">
        <v>1</v>
      </c>
      <c r="Y89" s="12">
        <v>47545</v>
      </c>
      <c r="Z89" s="11">
        <v>282.30097802082236</v>
      </c>
      <c r="AA89" s="14">
        <v>3562.6383426227785</v>
      </c>
      <c r="AB89" s="11">
        <v>0.22632391666827201</v>
      </c>
      <c r="AC89" s="11">
        <v>1.206070275879072</v>
      </c>
      <c r="AD89" s="15">
        <v>124240.83344425468</v>
      </c>
      <c r="AE89" s="11">
        <v>45.495592756570851</v>
      </c>
      <c r="AF89" s="11">
        <f>(Opti_Medias__30_INS[[#This Row],[All: TS Index]]-AA$114) /ABS(AA$114)</f>
        <v>-0.6913470051494518</v>
      </c>
      <c r="AG89" s="11">
        <f>(Opti_Medias__30_INS[[#This Row],[All: Expectancy Score]]-AB$114) /ABS(AB$114)</f>
        <v>-0.96354736550558473</v>
      </c>
      <c r="AH89" s="11"/>
      <c r="AI89" s="11">
        <f>(Opti_Medias__30_INS[[#This Row],[All: Perfect Profit Correlation]]-AD$114) /ABS(AD$114)</f>
        <v>-0.57203646681094245</v>
      </c>
      <c r="AJ89" s="11">
        <f>(Opti_Medias__30_INS[[#This Row],[All: Robustness Index]]-AE$114) /ABS(AE$114)</f>
        <v>-0.68205745467852452</v>
      </c>
      <c r="AK89" s="11">
        <f>SUM(Opti_Medias__30_INS[[#This Row],[VAR TS Index]:[VAR Robustness Index]])</f>
        <v>-2.9089882921445036</v>
      </c>
      <c r="AL89" s="11">
        <f>Opti_Medias__30_INS[[#This Row],[SUMA]]-Opti_Medias__30_INS[[#This Row],[VAR Robustness Index]]</f>
        <v>-2.2269308374659791</v>
      </c>
    </row>
    <row r="90" spans="1:38" x14ac:dyDescent="0.25">
      <c r="A90" s="11"/>
      <c r="B90" s="17">
        <v>21</v>
      </c>
      <c r="C90" s="17">
        <v>3</v>
      </c>
      <c r="D90" s="17">
        <v>111</v>
      </c>
      <c r="E90" s="10">
        <v>176000</v>
      </c>
      <c r="F90" s="10">
        <v>1435170</v>
      </c>
      <c r="G90" s="10">
        <v>-1259170</v>
      </c>
      <c r="H90" s="17">
        <v>2833</v>
      </c>
      <c r="I90" s="11">
        <v>39.781150723614545</v>
      </c>
      <c r="J90" s="17">
        <v>1127</v>
      </c>
      <c r="K90" s="17">
        <v>1695</v>
      </c>
      <c r="L90" s="12">
        <v>23710</v>
      </c>
      <c r="M90" s="12">
        <v>-6740</v>
      </c>
      <c r="N90" s="12">
        <v>1273.4427490234375</v>
      </c>
      <c r="O90" s="12">
        <v>-742.8731689453125</v>
      </c>
      <c r="P90" s="11">
        <v>1.7142128727456889</v>
      </c>
      <c r="Q90" s="13">
        <v>62.124955877162016</v>
      </c>
      <c r="R90" s="17">
        <v>7</v>
      </c>
      <c r="S90" s="17">
        <v>12</v>
      </c>
      <c r="T90" s="17">
        <v>74</v>
      </c>
      <c r="U90" s="17">
        <v>37</v>
      </c>
      <c r="V90" s="12">
        <v>-34465</v>
      </c>
      <c r="W90" s="11">
        <v>1.1397746134358351</v>
      </c>
      <c r="X90" s="17">
        <v>1</v>
      </c>
      <c r="Y90" s="12">
        <v>34465</v>
      </c>
      <c r="Z90" s="11">
        <v>510.6629914405919</v>
      </c>
      <c r="AA90" s="14">
        <v>5755.1719135354706</v>
      </c>
      <c r="AB90" s="11">
        <v>2.157862599661208</v>
      </c>
      <c r="AC90" s="11">
        <v>1.638338496269689</v>
      </c>
      <c r="AD90" s="15">
        <v>167242.67686800155</v>
      </c>
      <c r="AE90" s="11">
        <v>-48.244990740535385</v>
      </c>
      <c r="AF90" s="11">
        <f>(Opti_Medias__30_INS[[#This Row],[All: TS Index]]-AA$114) /ABS(AA$114)</f>
        <v>-0.50139450705940825</v>
      </c>
      <c r="AG90" s="11">
        <f>(Opti_Medias__30_INS[[#This Row],[All: Expectancy Score]]-AB$114) /ABS(AB$114)</f>
        <v>-0.65244602606488034</v>
      </c>
      <c r="AH90" s="11"/>
      <c r="AI90" s="11">
        <f>(Opti_Medias__30_INS[[#This Row],[All: Perfect Profit Correlation]]-AD$114) /ABS(AD$114)</f>
        <v>-0.42391108536357269</v>
      </c>
      <c r="AJ90" s="11">
        <f>(Opti_Medias__30_INS[[#This Row],[All: Robustness Index]]-AE$114) /ABS(AE$114)</f>
        <v>-1.3371565073815073</v>
      </c>
      <c r="AK90" s="11">
        <f>SUM(Opti_Medias__30_INS[[#This Row],[VAR TS Index]:[VAR Robustness Index]])</f>
        <v>-2.9149081258693683</v>
      </c>
      <c r="AL90" s="11">
        <f>Opti_Medias__30_INS[[#This Row],[SUMA]]-Opti_Medias__30_INS[[#This Row],[VAR Robustness Index]]</f>
        <v>-1.5777516184878611</v>
      </c>
    </row>
    <row r="91" spans="1:38" x14ac:dyDescent="0.25">
      <c r="A91" s="11"/>
      <c r="B91" s="17">
        <v>39</v>
      </c>
      <c r="C91" s="17">
        <v>5</v>
      </c>
      <c r="D91" s="17">
        <v>219</v>
      </c>
      <c r="E91" s="10">
        <v>121990</v>
      </c>
      <c r="F91" s="10">
        <v>1453160</v>
      </c>
      <c r="G91" s="10">
        <v>-1331170</v>
      </c>
      <c r="H91" s="17">
        <v>4403</v>
      </c>
      <c r="I91" s="11">
        <v>29.048376107199637</v>
      </c>
      <c r="J91" s="17">
        <v>1279</v>
      </c>
      <c r="K91" s="17">
        <v>3098</v>
      </c>
      <c r="L91" s="12">
        <v>17230</v>
      </c>
      <c r="M91" s="12">
        <v>-4300</v>
      </c>
      <c r="N91" s="12">
        <v>1136.1688232421875</v>
      </c>
      <c r="O91" s="12">
        <v>-429.6868896484375</v>
      </c>
      <c r="P91" s="11">
        <v>2.6441784718444201</v>
      </c>
      <c r="Q91" s="13">
        <v>27.706109470815353</v>
      </c>
      <c r="R91" s="17">
        <v>6</v>
      </c>
      <c r="S91" s="17">
        <v>16</v>
      </c>
      <c r="T91" s="17">
        <v>74</v>
      </c>
      <c r="U91" s="17">
        <v>17</v>
      </c>
      <c r="V91" s="12">
        <v>-37785</v>
      </c>
      <c r="W91" s="11">
        <v>1.0916411878272501</v>
      </c>
      <c r="X91" s="17">
        <v>1</v>
      </c>
      <c r="Y91" s="12">
        <v>37785</v>
      </c>
      <c r="Z91" s="11">
        <v>322.85298398835516</v>
      </c>
      <c r="AA91" s="14">
        <v>4129.289665211063</v>
      </c>
      <c r="AB91" s="11">
        <v>0.93971711081136</v>
      </c>
      <c r="AC91" s="11">
        <v>1.052733030315435</v>
      </c>
      <c r="AD91" s="15">
        <v>116738.98393592137</v>
      </c>
      <c r="AE91" s="11">
        <v>22.627853219638013</v>
      </c>
      <c r="AF91" s="11">
        <f>(Opti_Medias__30_INS[[#This Row],[All: TS Index]]-AA$114) /ABS(AA$114)</f>
        <v>-0.6422545599072722</v>
      </c>
      <c r="AG91" s="11">
        <f>(Opti_Medias__30_INS[[#This Row],[All: Expectancy Score]]-AB$114) /ABS(AB$114)</f>
        <v>-0.84864540666834154</v>
      </c>
      <c r="AH91" s="11"/>
      <c r="AI91" s="11">
        <f>(Opti_Medias__30_INS[[#This Row],[All: Perfect Profit Correlation]]-AD$114) /ABS(AD$114)</f>
        <v>-0.59787755248330665</v>
      </c>
      <c r="AJ91" s="11">
        <f>(Opti_Medias__30_INS[[#This Row],[All: Robustness Index]]-AE$114) /ABS(AE$114)</f>
        <v>-0.84186694112753624</v>
      </c>
      <c r="AK91" s="11">
        <f>SUM(Opti_Medias__30_INS[[#This Row],[VAR TS Index]:[VAR Robustness Index]])</f>
        <v>-2.930644460186457</v>
      </c>
      <c r="AL91" s="11">
        <f>Opti_Medias__30_INS[[#This Row],[SUMA]]-Opti_Medias__30_INS[[#This Row],[VAR Robustness Index]]</f>
        <v>-2.0887775190589206</v>
      </c>
    </row>
    <row r="92" spans="1:38" x14ac:dyDescent="0.25">
      <c r="A92" s="11"/>
      <c r="B92" s="17">
        <v>38</v>
      </c>
      <c r="C92" s="17">
        <v>1</v>
      </c>
      <c r="D92" s="17">
        <v>38</v>
      </c>
      <c r="E92" s="10">
        <v>171310</v>
      </c>
      <c r="F92" s="10">
        <v>1565020</v>
      </c>
      <c r="G92" s="10">
        <v>-1393710</v>
      </c>
      <c r="H92" s="17">
        <v>4257</v>
      </c>
      <c r="I92" s="11">
        <v>32.323232323232325</v>
      </c>
      <c r="J92" s="17">
        <v>1376</v>
      </c>
      <c r="K92" s="17">
        <v>2861</v>
      </c>
      <c r="L92" s="12">
        <v>18740</v>
      </c>
      <c r="M92" s="12">
        <v>-4310</v>
      </c>
      <c r="N92" s="12">
        <v>1137.369140625</v>
      </c>
      <c r="O92" s="12">
        <v>-487.140869140625</v>
      </c>
      <c r="P92" s="11">
        <v>2.3347848901108539</v>
      </c>
      <c r="Q92" s="13">
        <v>40.241954428000938</v>
      </c>
      <c r="R92" s="17">
        <v>7</v>
      </c>
      <c r="S92" s="17">
        <v>16</v>
      </c>
      <c r="T92" s="17">
        <v>66</v>
      </c>
      <c r="U92" s="17">
        <v>19</v>
      </c>
      <c r="V92" s="12">
        <v>-42295</v>
      </c>
      <c r="W92" s="11">
        <v>1.1229165321336581</v>
      </c>
      <c r="X92" s="17">
        <v>1</v>
      </c>
      <c r="Y92" s="12">
        <v>42295</v>
      </c>
      <c r="Z92" s="11">
        <v>405.0360562714269</v>
      </c>
      <c r="AA92" s="14">
        <v>5573.2961342948338</v>
      </c>
      <c r="AB92" s="11">
        <v>0.29599716868863901</v>
      </c>
      <c r="AC92" s="11">
        <v>1.5517623280232451</v>
      </c>
      <c r="AD92" s="15">
        <v>163211.17234246497</v>
      </c>
      <c r="AE92" s="11">
        <v>-4.127078723147827</v>
      </c>
      <c r="AF92" s="11">
        <f>(Opti_Medias__30_INS[[#This Row],[All: TS Index]]-AA$114) /ABS(AA$114)</f>
        <v>-0.51715151031224826</v>
      </c>
      <c r="AG92" s="11">
        <f>(Opti_Medias__30_INS[[#This Row],[All: Expectancy Score]]-AB$114) /ABS(AB$114)</f>
        <v>-0.95232551309456304</v>
      </c>
      <c r="AH92" s="11"/>
      <c r="AI92" s="11">
        <f>(Opti_Medias__30_INS[[#This Row],[All: Perfect Profit Correlation]]-AD$114) /ABS(AD$114)</f>
        <v>-0.43779812131613216</v>
      </c>
      <c r="AJ92" s="11">
        <f>(Opti_Medias__30_INS[[#This Row],[All: Robustness Index]]-AE$114) /ABS(AE$114)</f>
        <v>-1.0288417808072237</v>
      </c>
      <c r="AK92" s="11">
        <f>SUM(Opti_Medias__30_INS[[#This Row],[VAR TS Index]:[VAR Robustness Index]])</f>
        <v>-2.9361169255301673</v>
      </c>
      <c r="AL92" s="11">
        <f>Opti_Medias__30_INS[[#This Row],[SUMA]]-Opti_Medias__30_INS[[#This Row],[VAR Robustness Index]]</f>
        <v>-1.9072751447229437</v>
      </c>
    </row>
    <row r="93" spans="1:38" x14ac:dyDescent="0.25">
      <c r="A93" s="11"/>
      <c r="B93" s="17">
        <v>39</v>
      </c>
      <c r="C93" s="17">
        <v>1</v>
      </c>
      <c r="D93" s="17">
        <v>39</v>
      </c>
      <c r="E93" s="4">
        <v>145270</v>
      </c>
      <c r="F93" s="4">
        <v>1577710</v>
      </c>
      <c r="G93" s="4">
        <v>-1432440</v>
      </c>
      <c r="H93" s="17">
        <v>4505</v>
      </c>
      <c r="I93" s="5">
        <v>31.498335183129857</v>
      </c>
      <c r="J93" s="17">
        <v>1419</v>
      </c>
      <c r="K93" s="17">
        <v>3064</v>
      </c>
      <c r="L93" s="6">
        <v>18740</v>
      </c>
      <c r="M93" s="6">
        <v>-4310</v>
      </c>
      <c r="N93" s="6">
        <v>1111.8463134765625</v>
      </c>
      <c r="O93" s="6">
        <v>-467.50653076171875</v>
      </c>
      <c r="P93" s="5">
        <v>2.3782476614070109</v>
      </c>
      <c r="Q93" s="7">
        <v>32.246392896781352</v>
      </c>
      <c r="R93" s="17">
        <v>7</v>
      </c>
      <c r="S93" s="17">
        <v>19</v>
      </c>
      <c r="T93" s="17">
        <v>65</v>
      </c>
      <c r="U93" s="17">
        <v>18</v>
      </c>
      <c r="V93" s="6">
        <v>-41005</v>
      </c>
      <c r="W93" s="5">
        <v>1.1014143698863481</v>
      </c>
      <c r="X93" s="17">
        <v>1</v>
      </c>
      <c r="Y93" s="6">
        <v>41005</v>
      </c>
      <c r="Z93" s="5">
        <v>354.27386904036092</v>
      </c>
      <c r="AA93" s="8">
        <v>5027.1462016827218</v>
      </c>
      <c r="AB93" s="5">
        <v>3.117818250317185</v>
      </c>
      <c r="AC93" s="5">
        <v>1.292652542120118</v>
      </c>
      <c r="AD93" s="9">
        <v>137299.12943562234</v>
      </c>
      <c r="AE93" s="5">
        <v>-49.905470723254261</v>
      </c>
      <c r="AF93" s="11">
        <f>(Opti_Medias__30_INS[[#This Row],[All: TS Index]]-AA$114) /ABS(AA$114)</f>
        <v>-0.56446779563972649</v>
      </c>
      <c r="AG93" s="11">
        <f>(Opti_Medias__30_INS[[#This Row],[All: Expectancy Score]]-AB$114) /ABS(AB$114)</f>
        <v>-0.49783173262500119</v>
      </c>
      <c r="AH93" s="11"/>
      <c r="AI93" s="11">
        <f>(Opti_Medias__30_INS[[#This Row],[All: Perfect Profit Correlation]]-AD$114) /ABS(AD$114)</f>
        <v>-0.52705548644427669</v>
      </c>
      <c r="AJ93" s="11">
        <f>(Opti_Medias__30_INS[[#This Row],[All: Robustness Index]]-AE$114) /ABS(AE$114)</f>
        <v>-1.3487606474788962</v>
      </c>
      <c r="AK93" s="11">
        <f>SUM(Opti_Medias__30_INS[[#This Row],[VAR TS Index]:[VAR Robustness Index]])</f>
        <v>-2.9381156621879008</v>
      </c>
      <c r="AL93" s="11">
        <f>Opti_Medias__30_INS[[#This Row],[SUMA]]-Opti_Medias__30_INS[[#This Row],[VAR Robustness Index]]</f>
        <v>-1.5893550147090045</v>
      </c>
    </row>
    <row r="94" spans="1:38" x14ac:dyDescent="0.25">
      <c r="A94" s="11"/>
      <c r="B94" s="17">
        <v>25</v>
      </c>
      <c r="C94" s="17">
        <v>3</v>
      </c>
      <c r="D94" s="17">
        <v>115</v>
      </c>
      <c r="E94" s="10">
        <v>201080</v>
      </c>
      <c r="F94" s="10">
        <v>1381890</v>
      </c>
      <c r="G94" s="10">
        <v>-1180810</v>
      </c>
      <c r="H94" s="17">
        <v>2582</v>
      </c>
      <c r="I94" s="11">
        <v>38.807126258714177</v>
      </c>
      <c r="J94" s="17">
        <v>1002</v>
      </c>
      <c r="K94" s="17">
        <v>1559</v>
      </c>
      <c r="L94" s="12">
        <v>21170</v>
      </c>
      <c r="M94" s="12">
        <v>-8070</v>
      </c>
      <c r="N94" s="12">
        <v>1379.1317138671875</v>
      </c>
      <c r="O94" s="12">
        <v>-757.4150390625</v>
      </c>
      <c r="P94" s="11">
        <v>1.8208401506975951</v>
      </c>
      <c r="Q94" s="13">
        <v>77.877614252517432</v>
      </c>
      <c r="R94" s="17">
        <v>11</v>
      </c>
      <c r="S94" s="17">
        <v>14</v>
      </c>
      <c r="T94" s="17">
        <v>84</v>
      </c>
      <c r="U94" s="17">
        <v>39</v>
      </c>
      <c r="V94" s="12">
        <v>-33815</v>
      </c>
      <c r="W94" s="11">
        <v>1.170289885756387</v>
      </c>
      <c r="X94" s="17">
        <v>1</v>
      </c>
      <c r="Y94" s="12">
        <v>33815</v>
      </c>
      <c r="Z94" s="11">
        <v>594.64734585243241</v>
      </c>
      <c r="AA94" s="14">
        <v>5958.3664054413721</v>
      </c>
      <c r="AB94" s="11">
        <v>0.87258757118724894</v>
      </c>
      <c r="AC94" s="11">
        <v>1.8733034106495701</v>
      </c>
      <c r="AD94" s="15">
        <v>191481.49398853342</v>
      </c>
      <c r="AE94" s="11">
        <v>-37.156542116662081</v>
      </c>
      <c r="AF94" s="11">
        <f>(Opti_Medias__30_INS[[#This Row],[All: TS Index]]-AA$114) /ABS(AA$114)</f>
        <v>-0.48379053426386459</v>
      </c>
      <c r="AG94" s="11">
        <f>(Opti_Medias__30_INS[[#This Row],[All: Expectancy Score]]-AB$114) /ABS(AB$114)</f>
        <v>-0.85945755859518713</v>
      </c>
      <c r="AH94" s="11"/>
      <c r="AI94" s="11">
        <f>(Opti_Medias__30_INS[[#This Row],[All: Perfect Profit Correlation]]-AD$114) /ABS(AD$114)</f>
        <v>-0.3404173617008075</v>
      </c>
      <c r="AJ94" s="11">
        <f>(Opti_Medias__30_INS[[#This Row],[All: Robustness Index]]-AE$114) /ABS(AE$114)</f>
        <v>-1.259665713976436</v>
      </c>
      <c r="AK94" s="11">
        <f>SUM(Opti_Medias__30_INS[[#This Row],[VAR TS Index]:[VAR Robustness Index]])</f>
        <v>-2.9433311685362953</v>
      </c>
      <c r="AL94" s="11">
        <f>Opti_Medias__30_INS[[#This Row],[SUMA]]-Opti_Medias__30_INS[[#This Row],[VAR Robustness Index]]</f>
        <v>-1.6836654545598593</v>
      </c>
    </row>
    <row r="95" spans="1:38" x14ac:dyDescent="0.25">
      <c r="A95" s="11"/>
      <c r="B95" s="17">
        <v>15</v>
      </c>
      <c r="C95" s="17">
        <v>1</v>
      </c>
      <c r="D95" s="17">
        <v>15</v>
      </c>
      <c r="E95" s="10">
        <v>135760</v>
      </c>
      <c r="F95" s="10">
        <v>1435070</v>
      </c>
      <c r="G95" s="10">
        <v>-1299310</v>
      </c>
      <c r="H95" s="17">
        <v>3678</v>
      </c>
      <c r="I95" s="11">
        <v>38.852637302882002</v>
      </c>
      <c r="J95" s="17">
        <v>1429</v>
      </c>
      <c r="K95" s="17">
        <v>2214</v>
      </c>
      <c r="L95" s="12">
        <v>17520</v>
      </c>
      <c r="M95" s="12">
        <v>-8950</v>
      </c>
      <c r="N95" s="12">
        <v>1004.2477416992188</v>
      </c>
      <c r="O95" s="12">
        <v>-586.86090087890625</v>
      </c>
      <c r="P95" s="11">
        <v>1.7112193710557599</v>
      </c>
      <c r="Q95" s="13">
        <v>36.911364872213163</v>
      </c>
      <c r="R95" s="17">
        <v>7</v>
      </c>
      <c r="S95" s="17">
        <v>12</v>
      </c>
      <c r="T95" s="17">
        <v>60</v>
      </c>
      <c r="U95" s="17">
        <v>27</v>
      </c>
      <c r="V95" s="12">
        <v>-97205</v>
      </c>
      <c r="W95" s="11">
        <v>1.104486227305262</v>
      </c>
      <c r="X95" s="17">
        <v>1</v>
      </c>
      <c r="Y95" s="12">
        <v>97205</v>
      </c>
      <c r="Z95" s="11">
        <v>139.66359755156628</v>
      </c>
      <c r="AA95" s="14">
        <v>1995.7928090118821</v>
      </c>
      <c r="AB95" s="11">
        <v>0.88406353466306697</v>
      </c>
      <c r="AC95" s="11">
        <v>1.254109706050381</v>
      </c>
      <c r="AD95" s="15">
        <v>110720.69013407228</v>
      </c>
      <c r="AE95" s="11">
        <v>48.210748687141162</v>
      </c>
      <c r="AF95" s="11">
        <f>(Opti_Medias__30_INS[[#This Row],[All: TS Index]]-AA$114) /ABS(AA$114)</f>
        <v>-0.82709234888287675</v>
      </c>
      <c r="AG95" s="11">
        <f>(Opti_Medias__30_INS[[#This Row],[All: Expectancy Score]]-AB$114) /ABS(AB$114)</f>
        <v>-0.85760919405548885</v>
      </c>
      <c r="AH95" s="11"/>
      <c r="AI95" s="11">
        <f>(Opti_Medias__30_INS[[#This Row],[All: Perfect Profit Correlation]]-AD$114) /ABS(AD$114)</f>
        <v>-0.61860833967948869</v>
      </c>
      <c r="AJ95" s="11">
        <f>(Opti_Medias__30_INS[[#This Row],[All: Robustness Index]]-AE$114) /ABS(AE$114)</f>
        <v>-0.66308279064613773</v>
      </c>
      <c r="AK95" s="11">
        <f>SUM(Opti_Medias__30_INS[[#This Row],[VAR TS Index]:[VAR Robustness Index]])</f>
        <v>-2.966392673263992</v>
      </c>
      <c r="AL95" s="11">
        <f>Opti_Medias__30_INS[[#This Row],[SUMA]]-Opti_Medias__30_INS[[#This Row],[VAR Robustness Index]]</f>
        <v>-2.3033098826178544</v>
      </c>
    </row>
    <row r="96" spans="1:38" x14ac:dyDescent="0.25">
      <c r="A96" s="11"/>
      <c r="B96" s="17">
        <v>16</v>
      </c>
      <c r="C96" s="17">
        <v>3</v>
      </c>
      <c r="D96" s="17">
        <v>106</v>
      </c>
      <c r="E96" s="10">
        <v>176890</v>
      </c>
      <c r="F96" s="10">
        <v>1469120</v>
      </c>
      <c r="G96" s="10">
        <v>-1292230</v>
      </c>
      <c r="H96" s="17">
        <v>2992</v>
      </c>
      <c r="I96" s="11">
        <v>42.613636363636367</v>
      </c>
      <c r="J96" s="17">
        <v>1275</v>
      </c>
      <c r="K96" s="17">
        <v>1702</v>
      </c>
      <c r="L96" s="12">
        <v>26140</v>
      </c>
      <c r="M96" s="12">
        <v>-5930</v>
      </c>
      <c r="N96" s="12">
        <v>1152.2509765625</v>
      </c>
      <c r="O96" s="12">
        <v>-759.2420654296875</v>
      </c>
      <c r="P96" s="11">
        <v>1.517633214790848</v>
      </c>
      <c r="Q96" s="13">
        <v>59.120989304812831</v>
      </c>
      <c r="R96" s="17">
        <v>9</v>
      </c>
      <c r="S96" s="17">
        <v>12</v>
      </c>
      <c r="T96" s="17">
        <v>64</v>
      </c>
      <c r="U96" s="17">
        <v>38</v>
      </c>
      <c r="V96" s="12">
        <v>-31575</v>
      </c>
      <c r="W96" s="11">
        <v>1.136887396206558</v>
      </c>
      <c r="X96" s="17">
        <v>1</v>
      </c>
      <c r="Y96" s="12">
        <v>31575</v>
      </c>
      <c r="Z96" s="11">
        <v>560.22169437846401</v>
      </c>
      <c r="AA96" s="14">
        <v>7142.8266033254158</v>
      </c>
      <c r="AB96" s="11">
        <v>1.4731014290317721</v>
      </c>
      <c r="AC96" s="11">
        <v>1.6706917179537559</v>
      </c>
      <c r="AD96" s="15">
        <v>169027.02709147811</v>
      </c>
      <c r="AE96" s="11">
        <v>-71.178937131278346</v>
      </c>
      <c r="AF96" s="11">
        <f>(Opti_Medias__30_INS[[#This Row],[All: TS Index]]-AA$114) /ABS(AA$114)</f>
        <v>-0.38117355431831068</v>
      </c>
      <c r="AG96" s="11">
        <f>(Opti_Medias__30_INS[[#This Row],[All: Expectancy Score]]-AB$114) /ABS(AB$114)</f>
        <v>-0.7627363967706382</v>
      </c>
      <c r="AH96" s="11"/>
      <c r="AI96" s="11">
        <f>(Opti_Medias__30_INS[[#This Row],[All: Perfect Profit Correlation]]-AD$114) /ABS(AD$114)</f>
        <v>-0.41776466147928393</v>
      </c>
      <c r="AJ96" s="11">
        <f>(Opti_Medias__30_INS[[#This Row],[All: Robustness Index]]-AE$114) /ABS(AE$114)</f>
        <v>-1.4974286754737882</v>
      </c>
      <c r="AK96" s="11">
        <f>SUM(Opti_Medias__30_INS[[#This Row],[VAR TS Index]:[VAR Robustness Index]])</f>
        <v>-3.0591032880420208</v>
      </c>
      <c r="AL96" s="11">
        <f>Opti_Medias__30_INS[[#This Row],[SUMA]]-Opti_Medias__30_INS[[#This Row],[VAR Robustness Index]]</f>
        <v>-1.5616746125682326</v>
      </c>
    </row>
    <row r="97" spans="1:38" x14ac:dyDescent="0.25">
      <c r="A97" s="11"/>
      <c r="B97" s="17">
        <v>40</v>
      </c>
      <c r="C97" s="17">
        <v>1</v>
      </c>
      <c r="D97" s="17">
        <v>40</v>
      </c>
      <c r="E97" s="10">
        <v>134980</v>
      </c>
      <c r="F97" s="10">
        <v>1595540</v>
      </c>
      <c r="G97" s="10">
        <v>-1460560</v>
      </c>
      <c r="H97" s="17">
        <v>4747</v>
      </c>
      <c r="I97" s="11">
        <v>30.587739625026334</v>
      </c>
      <c r="J97" s="17">
        <v>1452</v>
      </c>
      <c r="K97" s="17">
        <v>3268</v>
      </c>
      <c r="L97" s="12">
        <v>18740</v>
      </c>
      <c r="M97" s="12">
        <v>-4310</v>
      </c>
      <c r="N97" s="12">
        <v>1098.856689453125</v>
      </c>
      <c r="O97" s="12">
        <v>-446.92779541015625</v>
      </c>
      <c r="P97" s="11">
        <v>2.458689525999783</v>
      </c>
      <c r="Q97" s="13">
        <v>28.4348009269012</v>
      </c>
      <c r="R97" s="17">
        <v>7</v>
      </c>
      <c r="S97" s="17">
        <v>20</v>
      </c>
      <c r="T97" s="17">
        <v>64</v>
      </c>
      <c r="U97" s="17">
        <v>17</v>
      </c>
      <c r="V97" s="12">
        <v>-41965</v>
      </c>
      <c r="W97" s="11">
        <v>1.0924166073286961</v>
      </c>
      <c r="X97" s="17">
        <v>1</v>
      </c>
      <c r="Y97" s="12">
        <v>41965</v>
      </c>
      <c r="Z97" s="11">
        <v>321.64899320862622</v>
      </c>
      <c r="AA97" s="14">
        <v>4670.3433813892525</v>
      </c>
      <c r="AB97" s="11">
        <v>1.749782495001176</v>
      </c>
      <c r="AC97" s="11">
        <v>1.186571972607207</v>
      </c>
      <c r="AD97" s="15">
        <v>128128.75457443188</v>
      </c>
      <c r="AE97" s="11">
        <v>-38.1864364221166</v>
      </c>
      <c r="AF97" s="11">
        <f>(Opti_Medias__30_INS[[#This Row],[All: TS Index]]-AA$114) /ABS(AA$114)</f>
        <v>-0.59537979075782366</v>
      </c>
      <c r="AG97" s="11">
        <f>(Opti_Medias__30_INS[[#This Row],[All: Expectancy Score]]-AB$114) /ABS(AB$114)</f>
        <v>-0.71817303856360082</v>
      </c>
      <c r="AH97" s="11"/>
      <c r="AI97" s="11">
        <f>(Opti_Medias__30_INS[[#This Row],[All: Perfect Profit Correlation]]-AD$114) /ABS(AD$114)</f>
        <v>-0.55864402233432364</v>
      </c>
      <c r="AJ97" s="11">
        <f>(Opti_Medias__30_INS[[#This Row],[All: Robustness Index]]-AE$114) /ABS(AE$114)</f>
        <v>-1.2668630532580747</v>
      </c>
      <c r="AK97" s="11">
        <f>SUM(Opti_Medias__30_INS[[#This Row],[VAR TS Index]:[VAR Robustness Index]])</f>
        <v>-3.1390599049138226</v>
      </c>
      <c r="AL97" s="11">
        <f>Opti_Medias__30_INS[[#This Row],[SUMA]]-Opti_Medias__30_INS[[#This Row],[VAR Robustness Index]]</f>
        <v>-1.8721968516557479</v>
      </c>
    </row>
    <row r="98" spans="1:38" x14ac:dyDescent="0.25">
      <c r="A98" s="11"/>
      <c r="B98" s="17">
        <v>26</v>
      </c>
      <c r="C98" s="17">
        <v>3</v>
      </c>
      <c r="D98" s="17">
        <v>116</v>
      </c>
      <c r="E98" s="10">
        <v>155710</v>
      </c>
      <c r="F98" s="10">
        <v>1365880</v>
      </c>
      <c r="G98" s="10">
        <v>-1210170</v>
      </c>
      <c r="H98" s="17">
        <v>2576</v>
      </c>
      <c r="I98" s="11">
        <v>38.392857142857146</v>
      </c>
      <c r="J98" s="17">
        <v>989</v>
      </c>
      <c r="K98" s="17">
        <v>1574</v>
      </c>
      <c r="L98" s="12">
        <v>21040</v>
      </c>
      <c r="M98" s="12">
        <v>-8810</v>
      </c>
      <c r="N98" s="12">
        <v>1381.07177734375</v>
      </c>
      <c r="O98" s="12">
        <v>-768.85003662109375</v>
      </c>
      <c r="P98" s="11">
        <v>1.796282384810983</v>
      </c>
      <c r="Q98" s="13">
        <v>60.446428571428569</v>
      </c>
      <c r="R98" s="17">
        <v>7</v>
      </c>
      <c r="S98" s="17">
        <v>15</v>
      </c>
      <c r="T98" s="17">
        <v>87</v>
      </c>
      <c r="U98" s="17">
        <v>38</v>
      </c>
      <c r="V98" s="12">
        <v>-30115</v>
      </c>
      <c r="W98" s="11">
        <v>1.128667873108737</v>
      </c>
      <c r="X98" s="17">
        <v>1</v>
      </c>
      <c r="Y98" s="12">
        <v>30115</v>
      </c>
      <c r="Z98" s="11">
        <v>517.0513033372074</v>
      </c>
      <c r="AA98" s="14">
        <v>5113.6373900049812</v>
      </c>
      <c r="AB98" s="11">
        <v>0.85010097502690896</v>
      </c>
      <c r="AC98" s="11">
        <v>1.4278064564255231</v>
      </c>
      <c r="AD98" s="15">
        <v>147155.38567475474</v>
      </c>
      <c r="AE98" s="11">
        <v>-45.810156309084412</v>
      </c>
      <c r="AF98" s="11">
        <f>(Opti_Medias__30_INS[[#This Row],[All: TS Index]]-AA$114) /ABS(AA$114)</f>
        <v>-0.55697453875073366</v>
      </c>
      <c r="AG98" s="11">
        <f>(Opti_Medias__30_INS[[#This Row],[All: Expectancy Score]]-AB$114) /ABS(AB$114)</f>
        <v>-0.86307933963769989</v>
      </c>
      <c r="AH98" s="11"/>
      <c r="AI98" s="11">
        <f>(Opti_Medias__30_INS[[#This Row],[All: Perfect Profit Correlation]]-AD$114) /ABS(AD$114)</f>
        <v>-0.49310434391585495</v>
      </c>
      <c r="AJ98" s="11">
        <f>(Opti_Medias__30_INS[[#This Row],[All: Robustness Index]]-AE$114) /ABS(AE$114)</f>
        <v>-1.3201408491678868</v>
      </c>
      <c r="AK98" s="11">
        <f>SUM(Opti_Medias__30_INS[[#This Row],[VAR TS Index]:[VAR Robustness Index]])</f>
        <v>-3.2332990714721754</v>
      </c>
      <c r="AL98" s="11">
        <f>Opti_Medias__30_INS[[#This Row],[SUMA]]-Opti_Medias__30_INS[[#This Row],[VAR Robustness Index]]</f>
        <v>-1.9131582223042887</v>
      </c>
    </row>
    <row r="99" spans="1:38" x14ac:dyDescent="0.25">
      <c r="A99" s="11"/>
      <c r="B99" s="17">
        <v>22</v>
      </c>
      <c r="C99" s="17">
        <v>3</v>
      </c>
      <c r="D99" s="17">
        <v>112</v>
      </c>
      <c r="E99" s="10">
        <v>150880</v>
      </c>
      <c r="F99" s="10">
        <v>1409200</v>
      </c>
      <c r="G99" s="10">
        <v>-1258320</v>
      </c>
      <c r="H99" s="17">
        <v>2731</v>
      </c>
      <c r="I99" s="11">
        <v>39.069937751739289</v>
      </c>
      <c r="J99" s="17">
        <v>1067</v>
      </c>
      <c r="K99" s="17">
        <v>1646</v>
      </c>
      <c r="L99" s="12">
        <v>23710</v>
      </c>
      <c r="M99" s="12">
        <v>-6680</v>
      </c>
      <c r="N99" s="12">
        <v>1320.7122802734375</v>
      </c>
      <c r="O99" s="12">
        <v>-764.471435546875</v>
      </c>
      <c r="P99" s="11">
        <v>1.7276149491820429</v>
      </c>
      <c r="Q99" s="13">
        <v>55.247162211644088</v>
      </c>
      <c r="R99" s="17">
        <v>7</v>
      </c>
      <c r="S99" s="17">
        <v>14</v>
      </c>
      <c r="T99" s="17">
        <v>77</v>
      </c>
      <c r="U99" s="17">
        <v>38</v>
      </c>
      <c r="V99" s="12">
        <v>-45575</v>
      </c>
      <c r="W99" s="11">
        <v>1.119905906287749</v>
      </c>
      <c r="X99" s="17">
        <v>1</v>
      </c>
      <c r="Y99" s="12">
        <v>45575</v>
      </c>
      <c r="Z99" s="11">
        <v>331.05869445968182</v>
      </c>
      <c r="AA99" s="14">
        <v>3532.3962698848054</v>
      </c>
      <c r="AB99" s="11">
        <v>0.84777637765198099</v>
      </c>
      <c r="AC99" s="11">
        <v>1.387542925570135</v>
      </c>
      <c r="AD99" s="15">
        <v>141220.81478788806</v>
      </c>
      <c r="AE99" s="11">
        <v>-38.090403745372029</v>
      </c>
      <c r="AF99" s="11">
        <f>(Opti_Medias__30_INS[[#This Row],[All: TS Index]]-AA$114) /ABS(AA$114)</f>
        <v>-0.69396705956513283</v>
      </c>
      <c r="AG99" s="11">
        <f>(Opti_Medias__30_INS[[#This Row],[All: Expectancy Score]]-AB$114) /ABS(AB$114)</f>
        <v>-0.86345374858087454</v>
      </c>
      <c r="AH99" s="11"/>
      <c r="AI99" s="11">
        <f>(Opti_Medias__30_INS[[#This Row],[All: Perfect Profit Correlation]]-AD$114) /ABS(AD$114)</f>
        <v>-0.51354673676123097</v>
      </c>
      <c r="AJ99" s="11">
        <f>(Opti_Medias__30_INS[[#This Row],[All: Robustness Index]]-AE$114) /ABS(AE$114)</f>
        <v>-1.2661919360832403</v>
      </c>
      <c r="AK99" s="11">
        <f>SUM(Opti_Medias__30_INS[[#This Row],[VAR TS Index]:[VAR Robustness Index]])</f>
        <v>-3.3371594809904788</v>
      </c>
      <c r="AL99" s="11">
        <f>Opti_Medias__30_INS[[#This Row],[SUMA]]-Opti_Medias__30_INS[[#This Row],[VAR Robustness Index]]</f>
        <v>-2.0709675449072384</v>
      </c>
    </row>
    <row r="100" spans="1:38" x14ac:dyDescent="0.25">
      <c r="A100" s="11"/>
      <c r="B100" s="17">
        <v>17</v>
      </c>
      <c r="C100" s="17">
        <v>3</v>
      </c>
      <c r="D100" s="17">
        <v>107</v>
      </c>
      <c r="E100" s="10">
        <v>176550</v>
      </c>
      <c r="F100" s="10">
        <v>1453510</v>
      </c>
      <c r="G100" s="10">
        <v>-1276960</v>
      </c>
      <c r="H100" s="17">
        <v>2910</v>
      </c>
      <c r="I100" s="11">
        <v>41.340206185567013</v>
      </c>
      <c r="J100" s="17">
        <v>1203</v>
      </c>
      <c r="K100" s="17">
        <v>1689</v>
      </c>
      <c r="L100" s="12">
        <v>22680</v>
      </c>
      <c r="M100" s="12">
        <v>-6220</v>
      </c>
      <c r="N100" s="12">
        <v>1208.23779296875</v>
      </c>
      <c r="O100" s="12">
        <v>-756.04498291015625</v>
      </c>
      <c r="P100" s="11">
        <v>1.5981030497921169</v>
      </c>
      <c r="Q100" s="13">
        <v>60.670103092783506</v>
      </c>
      <c r="R100" s="17">
        <v>7</v>
      </c>
      <c r="S100" s="17">
        <v>16</v>
      </c>
      <c r="T100" s="17">
        <v>68</v>
      </c>
      <c r="U100" s="17">
        <v>38</v>
      </c>
      <c r="V100" s="12">
        <v>-44035</v>
      </c>
      <c r="W100" s="11">
        <v>1.138258050369628</v>
      </c>
      <c r="X100" s="17">
        <v>1</v>
      </c>
      <c r="Y100" s="12">
        <v>44035</v>
      </c>
      <c r="Z100" s="11">
        <v>400.93107755194734</v>
      </c>
      <c r="AA100" s="14">
        <v>4823.200862949926</v>
      </c>
      <c r="AB100" s="11">
        <v>0.69261942122624998</v>
      </c>
      <c r="AC100" s="11">
        <v>1.657146492148601</v>
      </c>
      <c r="AD100" s="15">
        <v>163828.06081689397</v>
      </c>
      <c r="AE100" s="11">
        <v>-65.59328672377444</v>
      </c>
      <c r="AF100" s="11">
        <f>(Opti_Medias__30_INS[[#This Row],[All: TS Index]]-AA$114) /ABS(AA$114)</f>
        <v>-0.58213681885563473</v>
      </c>
      <c r="AG100" s="11">
        <f>(Opti_Medias__30_INS[[#This Row],[All: Expectancy Score]]-AB$114) /ABS(AB$114)</f>
        <v>-0.88844394804858284</v>
      </c>
      <c r="AH100" s="11"/>
      <c r="AI100" s="11">
        <f>(Opti_Medias__30_INS[[#This Row],[All: Perfect Profit Correlation]]-AD$114) /ABS(AD$114)</f>
        <v>-0.43567316960918229</v>
      </c>
      <c r="AJ100" s="11">
        <f>(Opti_Medias__30_INS[[#This Row],[All: Robustness Index]]-AE$114) /ABS(AE$114)</f>
        <v>-1.4583937756024983</v>
      </c>
      <c r="AK100" s="11">
        <f>SUM(Opti_Medias__30_INS[[#This Row],[VAR TS Index]:[VAR Robustness Index]])</f>
        <v>-3.364647712115898</v>
      </c>
      <c r="AL100" s="11">
        <f>Opti_Medias__30_INS[[#This Row],[SUMA]]-Opti_Medias__30_INS[[#This Row],[VAR Robustness Index]]</f>
        <v>-1.9062539365133997</v>
      </c>
    </row>
    <row r="101" spans="1:38" x14ac:dyDescent="0.25">
      <c r="A101" s="11"/>
      <c r="B101" s="17">
        <v>23</v>
      </c>
      <c r="C101" s="17">
        <v>3</v>
      </c>
      <c r="D101" s="17">
        <v>113</v>
      </c>
      <c r="E101" s="10">
        <v>143020</v>
      </c>
      <c r="F101" s="10">
        <v>1390360</v>
      </c>
      <c r="G101" s="10">
        <v>-1247340</v>
      </c>
      <c r="H101" s="17">
        <v>2708</v>
      </c>
      <c r="I101" s="11">
        <v>39.217134416543573</v>
      </c>
      <c r="J101" s="17">
        <v>1062</v>
      </c>
      <c r="K101" s="17">
        <v>1632</v>
      </c>
      <c r="L101" s="12">
        <v>21040</v>
      </c>
      <c r="M101" s="12">
        <v>-7020</v>
      </c>
      <c r="N101" s="12">
        <v>1309.190185546875</v>
      </c>
      <c r="O101" s="12">
        <v>-764.30145263671875</v>
      </c>
      <c r="P101" s="11">
        <v>1.712923848345933</v>
      </c>
      <c r="Q101" s="13">
        <v>52.813884785819795</v>
      </c>
      <c r="R101" s="17">
        <v>7</v>
      </c>
      <c r="S101" s="17">
        <v>14</v>
      </c>
      <c r="T101" s="17">
        <v>79</v>
      </c>
      <c r="U101" s="17">
        <v>38</v>
      </c>
      <c r="V101" s="12">
        <v>-48705</v>
      </c>
      <c r="W101" s="11">
        <v>1.114659996472493</v>
      </c>
      <c r="X101" s="17">
        <v>1</v>
      </c>
      <c r="Y101" s="12">
        <v>48705</v>
      </c>
      <c r="Z101" s="11">
        <v>293.64541628169593</v>
      </c>
      <c r="AA101" s="14">
        <v>3118.5143209116109</v>
      </c>
      <c r="AB101" s="11">
        <v>0.40563504833765002</v>
      </c>
      <c r="AC101" s="11">
        <v>1.3123192838170961</v>
      </c>
      <c r="AD101" s="15">
        <v>134959.7496471531</v>
      </c>
      <c r="AE101" s="11">
        <v>-39.041704004966256</v>
      </c>
      <c r="AF101" s="11">
        <f>(Opti_Medias__30_INS[[#This Row],[All: TS Index]]-AA$114) /ABS(AA$114)</f>
        <v>-0.72982416623151236</v>
      </c>
      <c r="AG101" s="11">
        <f>(Opti_Medias__30_INS[[#This Row],[All: Expectancy Score]]-AB$114) /ABS(AB$114)</f>
        <v>-0.93466679804393071</v>
      </c>
      <c r="AH101" s="11"/>
      <c r="AI101" s="11">
        <f>(Opti_Medias__30_INS[[#This Row],[All: Perfect Profit Correlation]]-AD$114) /ABS(AD$114)</f>
        <v>-0.5351137810644071</v>
      </c>
      <c r="AJ101" s="11">
        <f>(Opti_Medias__30_INS[[#This Row],[All: Robustness Index]]-AE$114) /ABS(AE$114)</f>
        <v>-1.2728400267569613</v>
      </c>
      <c r="AK101" s="11">
        <f>SUM(Opti_Medias__30_INS[[#This Row],[VAR TS Index]:[VAR Robustness Index]])</f>
        <v>-3.4724447720968117</v>
      </c>
      <c r="AL101" s="11">
        <f>Opti_Medias__30_INS[[#This Row],[SUMA]]-Opti_Medias__30_INS[[#This Row],[VAR Robustness Index]]</f>
        <v>-2.1996047453398502</v>
      </c>
    </row>
    <row r="104" spans="1:38" ht="30" customHeight="1" x14ac:dyDescent="0.25">
      <c r="A104" s="50" t="s">
        <v>38</v>
      </c>
      <c r="B104" s="51">
        <v>23.13</v>
      </c>
      <c r="C104" s="51">
        <v>5.91</v>
      </c>
      <c r="D104" s="58"/>
      <c r="E104" s="59">
        <v>183323</v>
      </c>
      <c r="F104" s="59">
        <v>1502102.7</v>
      </c>
      <c r="G104" s="59">
        <v>-1318779.7</v>
      </c>
      <c r="H104" s="51">
        <v>3615.9</v>
      </c>
      <c r="I104" s="51">
        <v>37.287840931830765</v>
      </c>
      <c r="J104" s="51">
        <v>1342.34</v>
      </c>
      <c r="K104" s="51">
        <v>2254.59</v>
      </c>
      <c r="L104" s="60">
        <v>18109</v>
      </c>
      <c r="M104" s="60">
        <v>-5279.6</v>
      </c>
      <c r="N104" s="60">
        <v>1134.5321490478516</v>
      </c>
      <c r="O104" s="60">
        <v>-597.89054656982421</v>
      </c>
      <c r="P104" s="61">
        <v>1.9395952407434687</v>
      </c>
      <c r="Q104" s="60">
        <v>51.485348424379879</v>
      </c>
      <c r="R104" s="51">
        <v>8.01</v>
      </c>
      <c r="S104" s="51">
        <v>14.18</v>
      </c>
      <c r="T104" s="51">
        <v>67.430000000000007</v>
      </c>
      <c r="U104" s="51">
        <v>26.46</v>
      </c>
      <c r="V104" s="60">
        <v>-41433.199999999997</v>
      </c>
      <c r="W104" s="61">
        <v>1.1389930875907359</v>
      </c>
      <c r="X104" s="58"/>
      <c r="Y104" s="58"/>
      <c r="Z104" s="51">
        <v>474.24937454005646</v>
      </c>
      <c r="AA104" s="58">
        <v>6341.6606987927025</v>
      </c>
      <c r="AB104" s="61">
        <v>1.3796731285807207</v>
      </c>
      <c r="AC104" s="61">
        <v>1.7013056486887794</v>
      </c>
      <c r="AD104" s="61">
        <v>173411.56323127178</v>
      </c>
      <c r="AE104" s="61">
        <v>41.477532167454598</v>
      </c>
    </row>
    <row r="105" spans="1:38" ht="30" customHeight="1" x14ac:dyDescent="0.25">
      <c r="A105" s="52" t="s">
        <v>39</v>
      </c>
      <c r="B105" s="53">
        <v>1.1042301582660392</v>
      </c>
      <c r="C105" s="53">
        <v>0.34702050706439863</v>
      </c>
      <c r="D105" s="62"/>
      <c r="E105" s="63">
        <v>4458.7824616596899</v>
      </c>
      <c r="F105" s="63">
        <v>8208.1400172344256</v>
      </c>
      <c r="G105" s="63">
        <v>6076.0460569320567</v>
      </c>
      <c r="H105" s="53">
        <v>42.443446627437808</v>
      </c>
      <c r="I105" s="53">
        <v>0.45342839260330087</v>
      </c>
      <c r="J105" s="53">
        <v>19.651880522759335</v>
      </c>
      <c r="K105" s="53">
        <v>35.5496951783377</v>
      </c>
      <c r="L105" s="64">
        <v>242.0397538096633</v>
      </c>
      <c r="M105" s="64">
        <v>127.27080171703551</v>
      </c>
      <c r="N105" s="64">
        <v>11.302010243552088</v>
      </c>
      <c r="O105" s="64">
        <v>8.7630105479124367</v>
      </c>
      <c r="P105" s="65">
        <v>3.5347750896125817E-2</v>
      </c>
      <c r="Q105" s="64">
        <v>1.3789762428860206</v>
      </c>
      <c r="R105" s="53">
        <v>0.16544705277739841</v>
      </c>
      <c r="S105" s="53">
        <v>0.24633884850511931</v>
      </c>
      <c r="T105" s="53">
        <v>1.0331138574350087</v>
      </c>
      <c r="U105" s="53">
        <v>0.5862774190783846</v>
      </c>
      <c r="V105" s="64">
        <v>1222.4679077401358</v>
      </c>
      <c r="W105" s="65">
        <v>3.2549041279392571E-3</v>
      </c>
      <c r="X105" s="62"/>
      <c r="Y105" s="62"/>
      <c r="Z105" s="53">
        <v>15.322356577245781</v>
      </c>
      <c r="AA105" s="62">
        <v>214.43313036885311</v>
      </c>
      <c r="AB105" s="65">
        <v>0.1187418493833946</v>
      </c>
      <c r="AC105" s="65">
        <v>4.5187488639641754E-2</v>
      </c>
      <c r="AD105" s="66">
        <v>4389.1746937190319</v>
      </c>
      <c r="AE105" s="65">
        <v>4.7895249465622438</v>
      </c>
    </row>
    <row r="106" spans="1:38" ht="30" customHeight="1" x14ac:dyDescent="0.25">
      <c r="A106" s="54" t="s">
        <v>40</v>
      </c>
      <c r="B106" s="55">
        <v>23.5</v>
      </c>
      <c r="C106" s="55">
        <v>8</v>
      </c>
      <c r="D106" s="67"/>
      <c r="E106" s="68">
        <v>177710</v>
      </c>
      <c r="F106" s="68">
        <v>1491665</v>
      </c>
      <c r="G106" s="68">
        <v>-1310425</v>
      </c>
      <c r="H106" s="55">
        <v>3646</v>
      </c>
      <c r="I106" s="55">
        <v>36.926435791744353</v>
      </c>
      <c r="J106" s="55">
        <v>1302</v>
      </c>
      <c r="K106" s="55">
        <v>2283.5</v>
      </c>
      <c r="L106" s="69">
        <v>17550</v>
      </c>
      <c r="M106" s="69">
        <v>-4570</v>
      </c>
      <c r="N106" s="69">
        <v>1146.765869140625</v>
      </c>
      <c r="O106" s="69">
        <v>-577.04669189453125</v>
      </c>
      <c r="P106" s="70">
        <v>1.9380382114982919</v>
      </c>
      <c r="Q106" s="69">
        <v>52.297458843950274</v>
      </c>
      <c r="R106" s="55">
        <v>7.5</v>
      </c>
      <c r="S106" s="55">
        <v>14</v>
      </c>
      <c r="T106" s="55">
        <v>68</v>
      </c>
      <c r="U106" s="55">
        <v>25</v>
      </c>
      <c r="V106" s="69">
        <v>-37995</v>
      </c>
      <c r="W106" s="70">
        <v>1.1376899734418775</v>
      </c>
      <c r="X106" s="67"/>
      <c r="Y106" s="67"/>
      <c r="Z106" s="55">
        <v>496.32046447739424</v>
      </c>
      <c r="AA106" s="71">
        <v>6506.6905510257984</v>
      </c>
      <c r="AB106" s="72">
        <v>1.1052571850500121</v>
      </c>
      <c r="AC106" s="70">
        <v>1.652010208594288</v>
      </c>
      <c r="AD106" s="73">
        <v>169023.30335534536</v>
      </c>
      <c r="AE106" s="74">
        <v>42.704885005830647</v>
      </c>
    </row>
    <row r="107" spans="1:38" ht="30" customHeight="1" x14ac:dyDescent="0.25">
      <c r="A107" s="52" t="s">
        <v>41</v>
      </c>
      <c r="B107" s="53">
        <v>37</v>
      </c>
      <c r="C107" s="53">
        <v>8</v>
      </c>
      <c r="D107" s="62"/>
      <c r="E107" s="63" t="e">
        <v>#N/A</v>
      </c>
      <c r="F107" s="63" t="e">
        <v>#N/A</v>
      </c>
      <c r="G107" s="63" t="e">
        <v>#N/A</v>
      </c>
      <c r="H107" s="53">
        <v>3652</v>
      </c>
      <c r="I107" s="53" t="e">
        <v>#N/A</v>
      </c>
      <c r="J107" s="53">
        <v>1275</v>
      </c>
      <c r="K107" s="53">
        <v>2345</v>
      </c>
      <c r="L107" s="64">
        <v>17090</v>
      </c>
      <c r="M107" s="64">
        <v>-4100</v>
      </c>
      <c r="N107" s="64" t="e">
        <v>#N/A</v>
      </c>
      <c r="O107" s="64" t="e">
        <v>#N/A</v>
      </c>
      <c r="P107" s="65" t="e">
        <v>#N/A</v>
      </c>
      <c r="Q107" s="64" t="e">
        <v>#N/A</v>
      </c>
      <c r="R107" s="53">
        <v>7</v>
      </c>
      <c r="S107" s="53">
        <v>15</v>
      </c>
      <c r="T107" s="53">
        <v>71</v>
      </c>
      <c r="U107" s="53">
        <v>25</v>
      </c>
      <c r="V107" s="64" t="e">
        <v>#N/A</v>
      </c>
      <c r="W107" s="65" t="e">
        <v>#N/A</v>
      </c>
      <c r="X107" s="62"/>
      <c r="Y107" s="62"/>
      <c r="Z107" s="53" t="e">
        <v>#N/A</v>
      </c>
      <c r="AA107" s="62" t="e">
        <v>#N/A</v>
      </c>
      <c r="AB107" s="65" t="e">
        <v>#N/A</v>
      </c>
      <c r="AC107" s="65" t="e">
        <v>#N/A</v>
      </c>
      <c r="AD107" s="66" t="e">
        <v>#N/A</v>
      </c>
      <c r="AE107" s="65" t="e">
        <v>#N/A</v>
      </c>
    </row>
    <row r="108" spans="1:38" ht="30" customHeight="1" x14ac:dyDescent="0.25">
      <c r="A108" s="54" t="s">
        <v>42</v>
      </c>
      <c r="B108" s="55">
        <v>11.042301582660393</v>
      </c>
      <c r="C108" s="55">
        <v>3.4702050706439862</v>
      </c>
      <c r="D108" s="70"/>
      <c r="E108" s="68">
        <v>44587.824616596896</v>
      </c>
      <c r="F108" s="68">
        <v>82081.400172344263</v>
      </c>
      <c r="G108" s="68">
        <v>60760.460569320567</v>
      </c>
      <c r="H108" s="55">
        <v>424.43446627437805</v>
      </c>
      <c r="I108" s="55">
        <v>4.5342839260330088</v>
      </c>
      <c r="J108" s="55">
        <v>196.51880522759336</v>
      </c>
      <c r="K108" s="55">
        <v>355.49695178337703</v>
      </c>
      <c r="L108" s="69">
        <v>2420.3975380966331</v>
      </c>
      <c r="M108" s="69">
        <v>1272.7080171703551</v>
      </c>
      <c r="N108" s="69">
        <v>113.02010243552088</v>
      </c>
      <c r="O108" s="69">
        <v>87.630105479124367</v>
      </c>
      <c r="P108" s="70">
        <v>0.35347750896125818</v>
      </c>
      <c r="Q108" s="69">
        <v>13.789762428860206</v>
      </c>
      <c r="R108" s="55">
        <v>1.654470527773984</v>
      </c>
      <c r="S108" s="55">
        <v>2.4633884850511931</v>
      </c>
      <c r="T108" s="55">
        <v>10.331138574350087</v>
      </c>
      <c r="U108" s="55">
        <v>5.8627741907838455</v>
      </c>
      <c r="V108" s="69">
        <v>12224.679077401359</v>
      </c>
      <c r="W108" s="70">
        <v>3.2549041279392572E-2</v>
      </c>
      <c r="X108" s="70"/>
      <c r="Y108" s="70"/>
      <c r="Z108" s="55">
        <v>153.22356577245782</v>
      </c>
      <c r="AA108" s="70">
        <v>2144.3313036885311</v>
      </c>
      <c r="AB108" s="70">
        <v>1.187418493833946</v>
      </c>
      <c r="AC108" s="70">
        <v>0.45187488639641754</v>
      </c>
      <c r="AD108" s="61">
        <v>43891.746937190321</v>
      </c>
      <c r="AE108" s="70">
        <v>47.895249465622442</v>
      </c>
    </row>
    <row r="109" spans="1:38" ht="30" customHeight="1" x14ac:dyDescent="0.25">
      <c r="A109" s="52" t="s">
        <v>43</v>
      </c>
      <c r="B109" s="53">
        <v>121.93242424242422</v>
      </c>
      <c r="C109" s="53">
        <v>12.042323232323232</v>
      </c>
      <c r="D109" s="65"/>
      <c r="E109" s="63">
        <v>1988074104.0404041</v>
      </c>
      <c r="F109" s="63">
        <v>6737356254.2525177</v>
      </c>
      <c r="G109" s="63">
        <v>3691833568.5959597</v>
      </c>
      <c r="H109" s="53">
        <v>180144.61616161617</v>
      </c>
      <c r="I109" s="53">
        <v>20.559730721881316</v>
      </c>
      <c r="J109" s="53">
        <v>38619.640808080781</v>
      </c>
      <c r="K109" s="53">
        <v>126378.0827272727</v>
      </c>
      <c r="L109" s="63">
        <v>5858324.2424242422</v>
      </c>
      <c r="M109" s="63">
        <v>1619785.696969697</v>
      </c>
      <c r="N109" s="63">
        <v>12773.543554535632</v>
      </c>
      <c r="O109" s="63">
        <v>7679.0353862824613</v>
      </c>
      <c r="P109" s="65">
        <v>0.12494634934145636</v>
      </c>
      <c r="Q109" s="63">
        <v>190.15754784440452</v>
      </c>
      <c r="R109" s="53">
        <v>2.7372727272727251</v>
      </c>
      <c r="S109" s="53">
        <v>6.0682828282828121</v>
      </c>
      <c r="T109" s="53">
        <v>106.73242424242433</v>
      </c>
      <c r="U109" s="53">
        <v>34.372121212121179</v>
      </c>
      <c r="V109" s="63">
        <v>149442778.54545453</v>
      </c>
      <c r="W109" s="65">
        <v>1.0594400882076016E-3</v>
      </c>
      <c r="X109" s="62"/>
      <c r="Y109" s="62"/>
      <c r="Z109" s="53">
        <v>23477.461108026706</v>
      </c>
      <c r="AA109" s="62">
        <v>4598156.7399785547</v>
      </c>
      <c r="AB109" s="65">
        <v>1.4099626794988769</v>
      </c>
      <c r="AC109" s="65">
        <v>0.20419091295577524</v>
      </c>
      <c r="AD109" s="75">
        <v>1926485449.1983557</v>
      </c>
      <c r="AE109" s="65">
        <v>2293.9549213742066</v>
      </c>
    </row>
    <row r="110" spans="1:38" ht="30" customHeight="1" x14ac:dyDescent="0.25">
      <c r="A110" s="54" t="s">
        <v>44</v>
      </c>
      <c r="B110" s="55">
        <v>-1.1204474681637249</v>
      </c>
      <c r="C110" s="55">
        <v>-1.4008951924508595</v>
      </c>
      <c r="D110" s="70"/>
      <c r="E110" s="68">
        <v>-0.16313095967486868</v>
      </c>
      <c r="F110" s="68">
        <v>0.60574022524222837</v>
      </c>
      <c r="G110" s="68">
        <v>0.44581457869970187</v>
      </c>
      <c r="H110" s="55">
        <v>0.65970798377483542</v>
      </c>
      <c r="I110" s="55">
        <v>-0.54823848056987279</v>
      </c>
      <c r="J110" s="55">
        <v>2.231115232332344</v>
      </c>
      <c r="K110" s="55">
        <v>0.37923732850548308</v>
      </c>
      <c r="L110" s="69">
        <v>3.4102275309235721</v>
      </c>
      <c r="M110" s="69">
        <v>0.24848126711057317</v>
      </c>
      <c r="N110" s="69">
        <v>1.3588613352810142</v>
      </c>
      <c r="O110" s="69">
        <v>-0.36674210978617472</v>
      </c>
      <c r="P110" s="70">
        <v>-0.10757229672713864</v>
      </c>
      <c r="Q110" s="69">
        <v>-0.87866994961301215</v>
      </c>
      <c r="R110" s="55">
        <v>-0.60674734065304881</v>
      </c>
      <c r="S110" s="55">
        <v>0.39519046334614938</v>
      </c>
      <c r="T110" s="55">
        <v>2.6304817030859824</v>
      </c>
      <c r="U110" s="55">
        <v>-8.0103901914490461E-2</v>
      </c>
      <c r="V110" s="69">
        <v>5.5220139442433975</v>
      </c>
      <c r="W110" s="70">
        <v>-0.72876097875322188</v>
      </c>
      <c r="X110" s="70"/>
      <c r="Y110" s="70"/>
      <c r="Z110" s="55">
        <v>-0.95627104903737203</v>
      </c>
      <c r="AA110" s="70">
        <v>-0.66256699315320366</v>
      </c>
      <c r="AB110" s="70">
        <v>3.8907508241232658</v>
      </c>
      <c r="AC110" s="70">
        <v>-0.18341545450735186</v>
      </c>
      <c r="AD110" s="61">
        <v>-0.14401319085448216</v>
      </c>
      <c r="AE110" s="70">
        <v>-0.2769710226050579</v>
      </c>
    </row>
    <row r="111" spans="1:38" ht="30" customHeight="1" x14ac:dyDescent="0.25">
      <c r="A111" s="52" t="s">
        <v>45</v>
      </c>
      <c r="B111" s="53">
        <v>-0.25145254298887898</v>
      </c>
      <c r="C111" s="53">
        <v>-3.3799272229405826E-2</v>
      </c>
      <c r="D111" s="65"/>
      <c r="E111" s="63">
        <v>0.63041251668770115</v>
      </c>
      <c r="F111" s="63">
        <v>0.31715314970349745</v>
      </c>
      <c r="G111" s="63">
        <v>-5.8460060597878748E-2</v>
      </c>
      <c r="H111" s="53">
        <v>-0.40941346749291457</v>
      </c>
      <c r="I111" s="53">
        <v>0.16387672411152143</v>
      </c>
      <c r="J111" s="53">
        <v>0.92290867069787874</v>
      </c>
      <c r="K111" s="53">
        <v>0.119567502728515</v>
      </c>
      <c r="L111" s="64">
        <v>1.5535214634201284</v>
      </c>
      <c r="M111" s="64">
        <v>-1.0894373161385189</v>
      </c>
      <c r="N111" s="64">
        <v>-0.2121501750689368</v>
      </c>
      <c r="O111" s="64">
        <v>-0.57787348590726362</v>
      </c>
      <c r="P111" s="65">
        <v>0.24560861809900772</v>
      </c>
      <c r="Q111" s="64">
        <v>0.25642196204024531</v>
      </c>
      <c r="R111" s="53">
        <v>0.62558925768351237</v>
      </c>
      <c r="S111" s="53">
        <v>0.55368022831240549</v>
      </c>
      <c r="T111" s="53">
        <v>0.22086441639469029</v>
      </c>
      <c r="U111" s="53">
        <v>0.90022374266108007</v>
      </c>
      <c r="V111" s="64">
        <v>-1.8775083713132763</v>
      </c>
      <c r="W111" s="65">
        <v>0.36147000128819362</v>
      </c>
      <c r="X111" s="65"/>
      <c r="Y111" s="65"/>
      <c r="Z111" s="53">
        <v>-0.21166573460448151</v>
      </c>
      <c r="AA111" s="65">
        <v>-0.12508745040523095</v>
      </c>
      <c r="AB111" s="65">
        <v>1.7874356471738304</v>
      </c>
      <c r="AC111" s="65">
        <v>0.60843209821591981</v>
      </c>
      <c r="AD111" s="66">
        <v>0.60129860823438475</v>
      </c>
      <c r="AE111" s="65">
        <v>-0.20479749560609053</v>
      </c>
    </row>
    <row r="112" spans="1:38" ht="30" customHeight="1" x14ac:dyDescent="0.25">
      <c r="A112" s="54" t="s">
        <v>46</v>
      </c>
      <c r="B112" s="55">
        <v>40</v>
      </c>
      <c r="C112" s="55">
        <v>10</v>
      </c>
      <c r="D112" s="67"/>
      <c r="E112" s="68">
        <v>182390</v>
      </c>
      <c r="F112" s="68">
        <v>440860</v>
      </c>
      <c r="G112" s="68">
        <v>339290</v>
      </c>
      <c r="H112" s="55">
        <v>2171</v>
      </c>
      <c r="I112" s="55">
        <v>20.037031240245391</v>
      </c>
      <c r="J112" s="55">
        <v>1255</v>
      </c>
      <c r="K112" s="55">
        <v>1709</v>
      </c>
      <c r="L112" s="69">
        <v>12460</v>
      </c>
      <c r="M112" s="69">
        <v>4850</v>
      </c>
      <c r="N112" s="69">
        <v>701.21929931640625</v>
      </c>
      <c r="O112" s="69">
        <v>342.4744873046875</v>
      </c>
      <c r="P112" s="70">
        <v>1.766097038825873</v>
      </c>
      <c r="Q112" s="69">
        <v>54.039368155335083</v>
      </c>
      <c r="R112" s="55">
        <v>6</v>
      </c>
      <c r="S112" s="55">
        <v>12</v>
      </c>
      <c r="T112" s="55">
        <v>72</v>
      </c>
      <c r="U112" s="55">
        <v>22</v>
      </c>
      <c r="V112" s="69">
        <v>71280</v>
      </c>
      <c r="W112" s="70">
        <v>0.1268038762532071</v>
      </c>
      <c r="X112" s="67"/>
      <c r="Y112" s="67"/>
      <c r="Z112" s="55">
        <v>623.73080939153874</v>
      </c>
      <c r="AA112" s="67">
        <v>9546.7433142738519</v>
      </c>
      <c r="AB112" s="70">
        <v>6.1873560795267215</v>
      </c>
      <c r="AC112" s="70">
        <v>1.887158553184769</v>
      </c>
      <c r="AD112" s="61">
        <v>179586.36597991193</v>
      </c>
      <c r="AE112" s="70">
        <v>214.27269235856232</v>
      </c>
    </row>
    <row r="113" spans="1:31" ht="30" customHeight="1" x14ac:dyDescent="0.25">
      <c r="A113" s="52" t="s">
        <v>47</v>
      </c>
      <c r="B113" s="53">
        <v>1</v>
      </c>
      <c r="C113" s="53">
        <v>1</v>
      </c>
      <c r="D113" s="62"/>
      <c r="E113" s="63">
        <v>117720</v>
      </c>
      <c r="F113" s="63">
        <v>1262470</v>
      </c>
      <c r="G113" s="63">
        <v>-1484040</v>
      </c>
      <c r="H113" s="53">
        <v>2576</v>
      </c>
      <c r="I113" s="53">
        <v>26.491053677932406</v>
      </c>
      <c r="J113" s="53">
        <v>849</v>
      </c>
      <c r="K113" s="53">
        <v>1559</v>
      </c>
      <c r="L113" s="64">
        <v>13680</v>
      </c>
      <c r="M113" s="64">
        <v>-8950</v>
      </c>
      <c r="N113" s="64">
        <v>785.78900146484375</v>
      </c>
      <c r="O113" s="64">
        <v>-772.161376953125</v>
      </c>
      <c r="P113" s="65">
        <v>1.254369268224909</v>
      </c>
      <c r="Q113" s="64">
        <v>27.706109470815353</v>
      </c>
      <c r="R113" s="53">
        <v>5</v>
      </c>
      <c r="S113" s="53">
        <v>9</v>
      </c>
      <c r="T113" s="53">
        <v>38</v>
      </c>
      <c r="U113" s="53">
        <v>17</v>
      </c>
      <c r="V113" s="64">
        <v>-97205</v>
      </c>
      <c r="W113" s="65">
        <v>1.088427484371022</v>
      </c>
      <c r="X113" s="62"/>
      <c r="Y113" s="62"/>
      <c r="Z113" s="62">
        <v>139.66359755156628</v>
      </c>
      <c r="AA113" s="71">
        <v>1995.7928090118821</v>
      </c>
      <c r="AB113" s="72">
        <v>2.1356124880501998E-2</v>
      </c>
      <c r="AC113" s="65">
        <v>0.99450316175692499</v>
      </c>
      <c r="AD113" s="73">
        <v>110720.69013407228</v>
      </c>
      <c r="AE113" s="74">
        <v>-71.178937131278346</v>
      </c>
    </row>
    <row r="114" spans="1:31" ht="30" customHeight="1" x14ac:dyDescent="0.25">
      <c r="A114" s="54" t="s">
        <v>48</v>
      </c>
      <c r="B114" s="55">
        <v>41</v>
      </c>
      <c r="C114" s="55">
        <v>11</v>
      </c>
      <c r="D114" s="67"/>
      <c r="E114" s="68">
        <v>300110</v>
      </c>
      <c r="F114" s="68">
        <v>1703330</v>
      </c>
      <c r="G114" s="68">
        <v>-1144750</v>
      </c>
      <c r="H114" s="55">
        <v>4747</v>
      </c>
      <c r="I114" s="55">
        <v>46.528084918177797</v>
      </c>
      <c r="J114" s="55">
        <v>2104</v>
      </c>
      <c r="K114" s="55">
        <v>3268</v>
      </c>
      <c r="L114" s="69">
        <v>26140</v>
      </c>
      <c r="M114" s="69">
        <v>-4100</v>
      </c>
      <c r="N114" s="69">
        <v>1487.00830078125</v>
      </c>
      <c r="O114" s="69">
        <v>-429.6868896484375</v>
      </c>
      <c r="P114" s="70">
        <v>3.020466307050782</v>
      </c>
      <c r="Q114" s="69">
        <v>81.745477626150432</v>
      </c>
      <c r="R114" s="55">
        <v>11</v>
      </c>
      <c r="S114" s="55">
        <v>21</v>
      </c>
      <c r="T114" s="55">
        <v>110</v>
      </c>
      <c r="U114" s="55">
        <v>39</v>
      </c>
      <c r="V114" s="69">
        <v>-25925</v>
      </c>
      <c r="W114" s="70">
        <v>1.2152313606242291</v>
      </c>
      <c r="X114" s="67"/>
      <c r="Y114" s="67"/>
      <c r="Z114" s="55">
        <v>763.39440694310508</v>
      </c>
      <c r="AA114" s="71">
        <v>11542.536123285734</v>
      </c>
      <c r="AB114" s="72">
        <v>6.2087122044072238</v>
      </c>
      <c r="AC114" s="70">
        <v>2.8816617149416941</v>
      </c>
      <c r="AD114" s="73">
        <v>290307.0561139842</v>
      </c>
      <c r="AE114" s="76">
        <v>143.09375522728399</v>
      </c>
    </row>
    <row r="115" spans="1:31" ht="30" customHeight="1" x14ac:dyDescent="0.25">
      <c r="A115" s="56" t="s">
        <v>49</v>
      </c>
      <c r="B115" s="57">
        <v>2.1910321984844265</v>
      </c>
      <c r="C115" s="57">
        <v>0.68856397266529357</v>
      </c>
      <c r="D115" s="77"/>
      <c r="E115" s="78">
        <v>8847.1917438613673</v>
      </c>
      <c r="F115" s="78">
        <v>16286.730563191368</v>
      </c>
      <c r="G115" s="78">
        <v>12056.193584784392</v>
      </c>
      <c r="H115" s="57">
        <v>84.217006281915417</v>
      </c>
      <c r="I115" s="57">
        <v>0.89970030293405046</v>
      </c>
      <c r="J115" s="57">
        <v>38.993594463809998</v>
      </c>
      <c r="K115" s="57">
        <v>70.53830779658756</v>
      </c>
      <c r="L115" s="79">
        <v>480.25938246693687</v>
      </c>
      <c r="M115" s="79">
        <v>252.53288220893546</v>
      </c>
      <c r="N115" s="79">
        <v>22.425640312259375</v>
      </c>
      <c r="O115" s="79">
        <v>17.38771407609843</v>
      </c>
      <c r="P115" s="77">
        <v>7.0137606528546795E-2</v>
      </c>
      <c r="Q115" s="79">
        <v>2.7361880369693896</v>
      </c>
      <c r="R115" s="57">
        <v>0.32828284671092645</v>
      </c>
      <c r="S115" s="57">
        <v>0.48878971903813589</v>
      </c>
      <c r="T115" s="57">
        <v>2.0499220288413769</v>
      </c>
      <c r="U115" s="57">
        <v>1.1633015932676642</v>
      </c>
      <c r="V115" s="79">
        <v>2425.6415453083569</v>
      </c>
      <c r="W115" s="77">
        <v>6.4584359464456764E-3</v>
      </c>
      <c r="X115" s="77"/>
      <c r="Y115" s="77"/>
      <c r="Z115" s="57">
        <v>30.402879658822702</v>
      </c>
      <c r="AA115" s="77">
        <v>425.48185225961834</v>
      </c>
      <c r="AB115" s="77">
        <v>0.23560959040925267</v>
      </c>
      <c r="AC115" s="77">
        <v>8.966178095839579E-2</v>
      </c>
      <c r="AD115" s="80">
        <v>8709.0748307514204</v>
      </c>
      <c r="AE115" s="77">
        <v>9.5034565890148297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40A2-85C5-418B-B196-9E5099E33B20}">
  <dimension ref="A1:AL115"/>
  <sheetViews>
    <sheetView workbookViewId="0">
      <pane xSplit="3" ySplit="1" topLeftCell="K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1.375" defaultRowHeight="15" x14ac:dyDescent="0.25"/>
  <cols>
    <col min="1" max="1" width="11.125" customWidth="1"/>
    <col min="2" max="2" width="12.75" bestFit="1" customWidth="1"/>
    <col min="3" max="3" width="11.75" bestFit="1" customWidth="1"/>
    <col min="4" max="4" width="4.875" bestFit="1" customWidth="1"/>
    <col min="5" max="5" width="8.75" bestFit="1" customWidth="1"/>
    <col min="6" max="6" width="10.125" bestFit="1" customWidth="1"/>
    <col min="7" max="7" width="10.625" bestFit="1" customWidth="1"/>
    <col min="8" max="8" width="7.625" bestFit="1" customWidth="1"/>
    <col min="9" max="9" width="7.5" bestFit="1" customWidth="1"/>
    <col min="10" max="10" width="8.375" bestFit="1" customWidth="1"/>
    <col min="11" max="11" width="7.625" bestFit="1" customWidth="1"/>
    <col min="12" max="15" width="9.25" bestFit="1" customWidth="1"/>
    <col min="16" max="16" width="8.625" bestFit="1" customWidth="1"/>
    <col min="17" max="17" width="7.375" bestFit="1" customWidth="1"/>
    <col min="18" max="18" width="11" bestFit="1" customWidth="1"/>
    <col min="19" max="19" width="9.875" bestFit="1" customWidth="1"/>
    <col min="20" max="20" width="10" bestFit="1" customWidth="1"/>
    <col min="21" max="21" width="9.125" bestFit="1" customWidth="1"/>
    <col min="22" max="22" width="11" bestFit="1" customWidth="1"/>
    <col min="23" max="23" width="7.5" bestFit="1" customWidth="1"/>
    <col min="24" max="24" width="8.625" bestFit="1" customWidth="1"/>
    <col min="25" max="25" width="10.125" bestFit="1" customWidth="1"/>
    <col min="26" max="26" width="8.875" bestFit="1" customWidth="1"/>
    <col min="27" max="27" width="7.375" bestFit="1" customWidth="1"/>
    <col min="28" max="28" width="9.25" bestFit="1" customWidth="1"/>
    <col min="29" max="29" width="12.375" bestFit="1" customWidth="1"/>
    <col min="30" max="30" width="10.125" bestFit="1" customWidth="1"/>
    <col min="31" max="31" width="9.25" customWidth="1"/>
    <col min="32" max="32" width="10.125" bestFit="1" customWidth="1"/>
    <col min="33" max="33" width="13" bestFit="1" customWidth="1"/>
    <col min="34" max="34" width="10.125" bestFit="1" customWidth="1"/>
    <col min="35" max="35" width="14" bestFit="1" customWidth="1"/>
    <col min="36" max="36" width="13.125" bestFit="1" customWidth="1"/>
    <col min="37" max="37" width="9.625" bestFit="1" customWidth="1"/>
    <col min="38" max="38" width="12.625" bestFit="1" customWidth="1"/>
  </cols>
  <sheetData>
    <row r="1" spans="1:38" ht="83.25" customHeight="1" x14ac:dyDescent="0.25">
      <c r="A1" s="1" t="s">
        <v>30</v>
      </c>
      <c r="B1" s="16" t="s">
        <v>0</v>
      </c>
      <c r="C1" s="16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16" t="s">
        <v>7</v>
      </c>
      <c r="J1" s="1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2" t="s">
        <v>19</v>
      </c>
      <c r="V1" s="2" t="s">
        <v>20</v>
      </c>
      <c r="W1" s="16" t="s">
        <v>21</v>
      </c>
      <c r="X1" s="2" t="s">
        <v>22</v>
      </c>
      <c r="Y1" s="2" t="s">
        <v>23</v>
      </c>
      <c r="Z1" s="1" t="s">
        <v>24</v>
      </c>
      <c r="AA1" s="18" t="s">
        <v>25</v>
      </c>
      <c r="AB1" s="19" t="s">
        <v>26</v>
      </c>
      <c r="AC1" s="20" t="s">
        <v>27</v>
      </c>
      <c r="AD1" s="21" t="s">
        <v>28</v>
      </c>
      <c r="AE1" s="22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81" t="s">
        <v>59</v>
      </c>
      <c r="B2" s="30">
        <v>35</v>
      </c>
      <c r="C2" s="30">
        <v>11</v>
      </c>
      <c r="D2" s="30">
        <v>485</v>
      </c>
      <c r="E2" s="44">
        <v>89450</v>
      </c>
      <c r="F2" s="44">
        <v>845270</v>
      </c>
      <c r="G2" s="44">
        <v>-755820</v>
      </c>
      <c r="H2" s="30">
        <v>1581</v>
      </c>
      <c r="I2" s="45">
        <v>34.029095509171412</v>
      </c>
      <c r="J2" s="30">
        <v>538</v>
      </c>
      <c r="K2" s="30">
        <v>1036</v>
      </c>
      <c r="L2" s="46">
        <v>15350</v>
      </c>
      <c r="M2" s="47">
        <v>-5640</v>
      </c>
      <c r="N2" s="47">
        <v>1571.1337890625</v>
      </c>
      <c r="O2" s="47">
        <v>-729.55596923828125</v>
      </c>
      <c r="P2" s="48">
        <v>2.1535479871446981</v>
      </c>
      <c r="Q2" s="49">
        <v>56.578115117014548</v>
      </c>
      <c r="R2" s="37">
        <v>9</v>
      </c>
      <c r="S2" s="37">
        <v>12</v>
      </c>
      <c r="T2" s="37">
        <v>70</v>
      </c>
      <c r="U2" s="37">
        <v>24</v>
      </c>
      <c r="V2" s="47">
        <v>-33415</v>
      </c>
      <c r="W2" s="48">
        <v>1.118348283982959</v>
      </c>
      <c r="X2" s="23">
        <v>1</v>
      </c>
      <c r="Y2" s="26">
        <v>33415</v>
      </c>
      <c r="Z2" s="25">
        <v>267.6941493341314</v>
      </c>
      <c r="AA2" s="28">
        <v>1440.1945234176269</v>
      </c>
      <c r="AB2" s="25">
        <v>0.121485078185877</v>
      </c>
      <c r="AC2" s="25">
        <v>0.76490007454630604</v>
      </c>
      <c r="AD2" s="29">
        <v>86343.284461027346</v>
      </c>
      <c r="AE2" s="25">
        <v>139.34146226011583</v>
      </c>
      <c r="AF2" s="11">
        <f>(Opti_Medias__30_OOS[[#This Row],[All: TS Index]]-AA$114) /ABS(AA$114)</f>
        <v>0</v>
      </c>
      <c r="AG2" s="11">
        <f>(Opti_Medias__30_OOS[[#This Row],[All: Expectancy Score]]-AB$114) /ABS(AB$114)</f>
        <v>0</v>
      </c>
      <c r="AH2" s="11"/>
      <c r="AI2" s="11">
        <f>(Opti_Medias__30_OOS[[#This Row],[All: Perfect Profit Correlation]]-AD$114) /ABS(AD$114)</f>
        <v>0</v>
      </c>
      <c r="AJ2" s="11">
        <f>(Opti_Medias__30_OOS[[#This Row],[All: Robustness Index]]-AE$114) /ABS(AE$114)</f>
        <v>-2.6222618598611646E-2</v>
      </c>
      <c r="AK2" s="11">
        <f>SUM(Opti_Medias__30_OOS[[#This Row],[VAR TS Index]:[VAR Robustness Index]])</f>
        <v>-2.6222618598611646E-2</v>
      </c>
      <c r="AL2" s="11">
        <f>Opti_Medias__30_OOS[[#This Row],[SUMA]]-Opti_Medias__30_OOS[[#This Row],[VAR Robustness Index]]</f>
        <v>0</v>
      </c>
    </row>
    <row r="3" spans="1:38" x14ac:dyDescent="0.25">
      <c r="A3" s="81" t="s">
        <v>70</v>
      </c>
      <c r="B3" s="83">
        <v>36</v>
      </c>
      <c r="C3" s="83">
        <v>11</v>
      </c>
      <c r="D3" s="83">
        <v>486</v>
      </c>
      <c r="E3" s="84">
        <v>71130</v>
      </c>
      <c r="F3" s="84">
        <v>844870</v>
      </c>
      <c r="G3" s="84">
        <v>-773740</v>
      </c>
      <c r="H3" s="83">
        <v>1605</v>
      </c>
      <c r="I3" s="82">
        <v>33.457943925233643</v>
      </c>
      <c r="J3" s="83">
        <v>537</v>
      </c>
      <c r="K3" s="83">
        <v>1062</v>
      </c>
      <c r="L3" s="85">
        <v>15070</v>
      </c>
      <c r="M3" s="85">
        <v>-5640</v>
      </c>
      <c r="N3" s="85">
        <v>1573.314697265625</v>
      </c>
      <c r="O3" s="85">
        <v>-728.5687255859375</v>
      </c>
      <c r="P3" s="82">
        <v>2.1594595568184962</v>
      </c>
      <c r="Q3" s="86">
        <v>44.317757009345797</v>
      </c>
      <c r="R3" s="83">
        <v>9</v>
      </c>
      <c r="S3" s="83">
        <v>13</v>
      </c>
      <c r="T3" s="83">
        <v>71</v>
      </c>
      <c r="U3" s="83">
        <v>24</v>
      </c>
      <c r="V3" s="85">
        <v>-36475</v>
      </c>
      <c r="W3" s="82">
        <v>1.0919301057202679</v>
      </c>
      <c r="X3" s="83">
        <v>1</v>
      </c>
      <c r="Y3" s="85">
        <v>36475</v>
      </c>
      <c r="Z3" s="82">
        <v>195.01028101439343</v>
      </c>
      <c r="AA3" s="87">
        <v>1047.2052090472926</v>
      </c>
      <c r="AB3" s="82">
        <v>8.7544877072873006E-2</v>
      </c>
      <c r="AC3" s="82">
        <v>0.58414015248319995</v>
      </c>
      <c r="AD3" s="88">
        <v>64433.657512870901</v>
      </c>
      <c r="AE3" s="82">
        <v>131.17230201142601</v>
      </c>
      <c r="AF3" s="11">
        <f>(Opti_Medias__30_OOS[[#This Row],[All: TS Index]]-AA$114) /ABS(AA$114)</f>
        <v>-0.27287238493155658</v>
      </c>
      <c r="AG3" s="11">
        <f>(Opti_Medias__30_OOS[[#This Row],[All: Expectancy Score]]-AB$114) /ABS(AB$114)</f>
        <v>-0.27937753030931206</v>
      </c>
      <c r="AH3" s="11"/>
      <c r="AI3" s="11">
        <f>(Opti_Medias__30_OOS[[#This Row],[All: Perfect Profit Correlation]]-AD$114) /ABS(AD$114)</f>
        <v>-0.25375021444830215</v>
      </c>
      <c r="AJ3" s="11">
        <f>(Opti_Medias__30_OOS[[#This Row],[All: Robustness Index]]-AE$114) /ABS(AE$114)</f>
        <v>-8.3312183658346611E-2</v>
      </c>
      <c r="AK3" s="11">
        <f>SUM(Opti_Medias__30_OOS[[#This Row],[VAR TS Index]:[VAR Robustness Index]])</f>
        <v>-0.88931231334751737</v>
      </c>
      <c r="AL3" s="11">
        <f>Opti_Medias__30_OOS[[#This Row],[SUMA]]-Opti_Medias__30_OOS[[#This Row],[VAR Robustness Index]]</f>
        <v>-0.80600012968917079</v>
      </c>
    </row>
    <row r="4" spans="1:38" x14ac:dyDescent="0.25">
      <c r="A4" s="81" t="s">
        <v>69</v>
      </c>
      <c r="B4" s="83">
        <v>34</v>
      </c>
      <c r="C4" s="83">
        <v>11</v>
      </c>
      <c r="D4" s="83">
        <v>484</v>
      </c>
      <c r="E4" s="84">
        <v>87440</v>
      </c>
      <c r="F4" s="84">
        <v>852810</v>
      </c>
      <c r="G4" s="84">
        <v>-765370</v>
      </c>
      <c r="H4" s="83">
        <v>1579</v>
      </c>
      <c r="I4" s="82">
        <v>35.402153261557949</v>
      </c>
      <c r="J4" s="83">
        <v>559</v>
      </c>
      <c r="K4" s="83">
        <v>1019</v>
      </c>
      <c r="L4" s="85">
        <v>15720</v>
      </c>
      <c r="M4" s="85">
        <v>-5350</v>
      </c>
      <c r="N4" s="85">
        <v>1525.5992431640625</v>
      </c>
      <c r="O4" s="85">
        <v>-751.09912109375</v>
      </c>
      <c r="P4" s="82">
        <v>2.0311556761542811</v>
      </c>
      <c r="Q4" s="86">
        <v>55.376820772640912</v>
      </c>
      <c r="R4" s="83">
        <v>9</v>
      </c>
      <c r="S4" s="83">
        <v>14</v>
      </c>
      <c r="T4" s="83">
        <v>68</v>
      </c>
      <c r="U4" s="83">
        <v>24</v>
      </c>
      <c r="V4" s="85">
        <v>-36465</v>
      </c>
      <c r="W4" s="82">
        <v>1.1142453976508091</v>
      </c>
      <c r="X4" s="83">
        <v>1</v>
      </c>
      <c r="Y4" s="85">
        <v>36465</v>
      </c>
      <c r="Z4" s="82">
        <v>239.79158096805156</v>
      </c>
      <c r="AA4" s="87">
        <v>1340.4349376114083</v>
      </c>
      <c r="AB4" s="82">
        <v>5.3116099210180998E-2</v>
      </c>
      <c r="AC4" s="82">
        <v>0.75346400548899295</v>
      </c>
      <c r="AD4" s="88">
        <v>82752.75159299912</v>
      </c>
      <c r="AE4" s="82">
        <v>106.03342216901936</v>
      </c>
      <c r="AF4" s="11">
        <f>(Opti_Medias__30_OOS[[#This Row],[All: TS Index]]-AA$114) /ABS(AA$114)</f>
        <v>-6.9268133008509161E-2</v>
      </c>
      <c r="AG4" s="11">
        <f>(Opti_Medias__30_OOS[[#This Row],[All: Expectancy Score]]-AB$114) /ABS(AB$114)</f>
        <v>-0.56277676235338758</v>
      </c>
      <c r="AH4" s="11"/>
      <c r="AI4" s="11">
        <f>(Opti_Medias__30_OOS[[#This Row],[All: Perfect Profit Correlation]]-AD$114) /ABS(AD$114)</f>
        <v>-4.1584390615217785E-2</v>
      </c>
      <c r="AJ4" s="11">
        <f>(Opti_Medias__30_OOS[[#This Row],[All: Robustness Index]]-AE$114) /ABS(AE$114)</f>
        <v>-0.25899336417162011</v>
      </c>
      <c r="AK4" s="11">
        <f>SUM(Opti_Medias__30_OOS[[#This Row],[VAR TS Index]:[VAR Robustness Index]])</f>
        <v>-0.93262265014873469</v>
      </c>
      <c r="AL4" s="11">
        <f>Opti_Medias__30_OOS[[#This Row],[SUMA]]-Opti_Medias__30_OOS[[#This Row],[VAR Robustness Index]]</f>
        <v>-0.67362928597711458</v>
      </c>
    </row>
    <row r="5" spans="1:38" x14ac:dyDescent="0.25">
      <c r="A5" s="81" t="s">
        <v>51</v>
      </c>
      <c r="B5" s="83">
        <v>19</v>
      </c>
      <c r="C5" s="83">
        <v>11</v>
      </c>
      <c r="D5" s="83">
        <v>469</v>
      </c>
      <c r="E5" s="84">
        <v>87750</v>
      </c>
      <c r="F5" s="84">
        <v>870530</v>
      </c>
      <c r="G5" s="84">
        <v>-782780</v>
      </c>
      <c r="H5" s="83">
        <v>1575</v>
      </c>
      <c r="I5" s="82">
        <v>40.825396825396822</v>
      </c>
      <c r="J5" s="83">
        <v>643</v>
      </c>
      <c r="K5" s="83">
        <v>921</v>
      </c>
      <c r="L5" s="85">
        <v>17020</v>
      </c>
      <c r="M5" s="85">
        <v>-4880</v>
      </c>
      <c r="N5" s="85">
        <v>1353.85693359375</v>
      </c>
      <c r="O5" s="85">
        <v>-849.92401123046875</v>
      </c>
      <c r="P5" s="82">
        <v>1.592915267370453</v>
      </c>
      <c r="Q5" s="86">
        <v>55.714285714285715</v>
      </c>
      <c r="R5" s="83">
        <v>6</v>
      </c>
      <c r="S5" s="83">
        <v>11</v>
      </c>
      <c r="T5" s="83">
        <v>57</v>
      </c>
      <c r="U5" s="83">
        <v>28</v>
      </c>
      <c r="V5" s="85">
        <v>-53095</v>
      </c>
      <c r="W5" s="82">
        <v>1.1121004624543289</v>
      </c>
      <c r="X5" s="83">
        <v>1</v>
      </c>
      <c r="Y5" s="85">
        <v>53095</v>
      </c>
      <c r="Z5" s="82">
        <v>165.26979941614087</v>
      </c>
      <c r="AA5" s="87">
        <v>1062.6848102457859</v>
      </c>
      <c r="AB5" s="82">
        <v>4.9020746638422999E-2</v>
      </c>
      <c r="AC5" s="82">
        <v>0.79213126008696899</v>
      </c>
      <c r="AD5" s="88">
        <v>70590.629059812869</v>
      </c>
      <c r="AE5" s="82">
        <v>143.09375522728399</v>
      </c>
      <c r="AF5" s="11">
        <f>(Opti_Medias__30_OOS[[#This Row],[All: TS Index]]-AA$114) /ABS(AA$114)</f>
        <v>-0.26212411381484674</v>
      </c>
      <c r="AG5" s="11">
        <f>(Opti_Medias__30_OOS[[#This Row],[All: Expectancy Score]]-AB$114) /ABS(AB$114)</f>
        <v>-0.59648750800967254</v>
      </c>
      <c r="AH5" s="11"/>
      <c r="AI5" s="11">
        <f>(Opti_Medias__30_OOS[[#This Row],[All: Perfect Profit Correlation]]-AD$114) /ABS(AD$114)</f>
        <v>-0.18244216095722804</v>
      </c>
      <c r="AJ5" s="11">
        <f>(Opti_Medias__30_OOS[[#This Row],[All: Robustness Index]]-AE$114) /ABS(AE$114)</f>
        <v>0</v>
      </c>
      <c r="AK5" s="11">
        <f>SUM(Opti_Medias__30_OOS[[#This Row],[VAR TS Index]:[VAR Robustness Index]])</f>
        <v>-1.0410537827817472</v>
      </c>
      <c r="AL5" s="11">
        <f>Opti_Medias__30_OOS[[#This Row],[SUMA]]-Opti_Medias__30_OOS[[#This Row],[VAR Robustness Index]]</f>
        <v>-1.0410537827817472</v>
      </c>
    </row>
    <row r="6" spans="1:38" x14ac:dyDescent="0.25">
      <c r="A6" s="81" t="s">
        <v>52</v>
      </c>
      <c r="B6" s="83">
        <v>28</v>
      </c>
      <c r="C6" s="83">
        <v>1</v>
      </c>
      <c r="D6" s="83">
        <v>28</v>
      </c>
      <c r="E6" s="84">
        <v>71080</v>
      </c>
      <c r="F6" s="84">
        <v>815710</v>
      </c>
      <c r="G6" s="84">
        <v>-744630</v>
      </c>
      <c r="H6" s="83">
        <v>1561</v>
      </c>
      <c r="I6" s="82">
        <v>35.0416399743754</v>
      </c>
      <c r="J6" s="83">
        <v>547</v>
      </c>
      <c r="K6" s="83">
        <v>1011</v>
      </c>
      <c r="L6" s="85">
        <v>15840</v>
      </c>
      <c r="M6" s="85">
        <v>-5820</v>
      </c>
      <c r="N6" s="85">
        <v>1491.2431640625</v>
      </c>
      <c r="O6" s="85">
        <v>-736.5281982421875</v>
      </c>
      <c r="P6" s="82">
        <v>2.024692561155879</v>
      </c>
      <c r="Q6" s="86">
        <v>45.534913516976296</v>
      </c>
      <c r="R6" s="83">
        <v>7</v>
      </c>
      <c r="S6" s="83">
        <v>11</v>
      </c>
      <c r="T6" s="83">
        <v>68</v>
      </c>
      <c r="U6" s="83">
        <v>25</v>
      </c>
      <c r="V6" s="85">
        <v>-42675</v>
      </c>
      <c r="W6" s="82">
        <v>1.0954568040503341</v>
      </c>
      <c r="X6" s="83">
        <v>1</v>
      </c>
      <c r="Y6" s="85">
        <v>42675</v>
      </c>
      <c r="Z6" s="82">
        <v>166.56121851200936</v>
      </c>
      <c r="AA6" s="87">
        <v>911.08986526069123</v>
      </c>
      <c r="AB6" s="82">
        <v>7.4266871240012994E-2</v>
      </c>
      <c r="AC6" s="82">
        <v>0.59621575842786001</v>
      </c>
      <c r="AD6" s="88">
        <v>60965.442119279774</v>
      </c>
      <c r="AE6" s="82">
        <v>127.84679368070432</v>
      </c>
      <c r="AF6" s="11">
        <f>(Opti_Medias__30_OOS[[#This Row],[All: TS Index]]-AA$114) /ABS(AA$114)</f>
        <v>-0.36738416203760704</v>
      </c>
      <c r="AG6" s="11">
        <f>(Opti_Medias__30_OOS[[#This Row],[All: Expectancy Score]]-AB$114) /ABS(AB$114)</f>
        <v>-0.38867495210908354</v>
      </c>
      <c r="AH6" s="11"/>
      <c r="AI6" s="11">
        <f>(Opti_Medias__30_OOS[[#This Row],[All: Perfect Profit Correlation]]-AD$114) /ABS(AD$114)</f>
        <v>-0.29391796362810746</v>
      </c>
      <c r="AJ6" s="11">
        <f>(Opti_Medias__30_OOS[[#This Row],[All: Robustness Index]]-AE$114) /ABS(AE$114)</f>
        <v>-0.10655224976353474</v>
      </c>
      <c r="AK6" s="11">
        <f>SUM(Opti_Medias__30_OOS[[#This Row],[VAR TS Index]:[VAR Robustness Index]])</f>
        <v>-1.1565293275383328</v>
      </c>
      <c r="AL6" s="11">
        <f>Opti_Medias__30_OOS[[#This Row],[SUMA]]-Opti_Medias__30_OOS[[#This Row],[VAR Robustness Index]]</f>
        <v>-1.0499770777747981</v>
      </c>
    </row>
    <row r="7" spans="1:38" x14ac:dyDescent="0.25">
      <c r="A7" s="81" t="s">
        <v>71</v>
      </c>
      <c r="B7" s="83">
        <v>32</v>
      </c>
      <c r="C7" s="83">
        <v>11</v>
      </c>
      <c r="D7" s="83">
        <v>482</v>
      </c>
      <c r="E7" s="84">
        <v>76220</v>
      </c>
      <c r="F7" s="84">
        <v>849960</v>
      </c>
      <c r="G7" s="84">
        <v>-773740</v>
      </c>
      <c r="H7" s="83">
        <v>1613</v>
      </c>
      <c r="I7" s="82">
        <v>35.895846249225045</v>
      </c>
      <c r="J7" s="83">
        <v>579</v>
      </c>
      <c r="K7" s="83">
        <v>1028</v>
      </c>
      <c r="L7" s="85">
        <v>15720</v>
      </c>
      <c r="M7" s="85">
        <v>-5240</v>
      </c>
      <c r="N7" s="85">
        <v>1467.979248046875</v>
      </c>
      <c r="O7" s="85">
        <v>-752.66534423828125</v>
      </c>
      <c r="P7" s="82">
        <v>1.9503744383667769</v>
      </c>
      <c r="Q7" s="86">
        <v>47.253564786112833</v>
      </c>
      <c r="R7" s="83">
        <v>7</v>
      </c>
      <c r="S7" s="83">
        <v>13</v>
      </c>
      <c r="T7" s="83">
        <v>65</v>
      </c>
      <c r="U7" s="83">
        <v>25</v>
      </c>
      <c r="V7" s="85">
        <v>-39445</v>
      </c>
      <c r="W7" s="82">
        <v>1.098508542921395</v>
      </c>
      <c r="X7" s="83">
        <v>1</v>
      </c>
      <c r="Y7" s="85">
        <v>39445</v>
      </c>
      <c r="Z7" s="82">
        <v>193.23108125237673</v>
      </c>
      <c r="AA7" s="87">
        <v>1118.8079604512614</v>
      </c>
      <c r="AB7" s="82">
        <v>6.0523857611071E-2</v>
      </c>
      <c r="AC7" s="82">
        <v>0.65029155423880802</v>
      </c>
      <c r="AD7" s="88">
        <v>68652.943560637796</v>
      </c>
      <c r="AE7" s="82">
        <v>110.30088437767425</v>
      </c>
      <c r="AF7" s="11">
        <f>(Opti_Medias__30_OOS[[#This Row],[All: TS Index]]-AA$114) /ABS(AA$114)</f>
        <v>-0.22315496812451774</v>
      </c>
      <c r="AG7" s="11">
        <f>(Opti_Medias__30_OOS[[#This Row],[All: Expectancy Score]]-AB$114) /ABS(AB$114)</f>
        <v>-0.50180006865973215</v>
      </c>
      <c r="AH7" s="11"/>
      <c r="AI7" s="11">
        <f>(Opti_Medias__30_OOS[[#This Row],[All: Perfect Profit Correlation]]-AD$114) /ABS(AD$114)</f>
        <v>-0.20488380782380841</v>
      </c>
      <c r="AJ7" s="11">
        <f>(Opti_Medias__30_OOS[[#This Row],[All: Robustness Index]]-AE$114) /ABS(AE$114)</f>
        <v>-0.22917052388151354</v>
      </c>
      <c r="AK7" s="11">
        <f>SUM(Opti_Medias__30_OOS[[#This Row],[VAR TS Index]:[VAR Robustness Index]])</f>
        <v>-1.1590093684895719</v>
      </c>
      <c r="AL7" s="11">
        <f>Opti_Medias__30_OOS[[#This Row],[SUMA]]-Opti_Medias__30_OOS[[#This Row],[VAR Robustness Index]]</f>
        <v>-0.92983884460805832</v>
      </c>
    </row>
    <row r="8" spans="1:38" x14ac:dyDescent="0.25">
      <c r="A8" s="81" t="s">
        <v>73</v>
      </c>
      <c r="B8" s="83">
        <v>21</v>
      </c>
      <c r="C8" s="83">
        <v>11</v>
      </c>
      <c r="D8" s="83">
        <v>471</v>
      </c>
      <c r="E8" s="84">
        <v>76360</v>
      </c>
      <c r="F8" s="84">
        <v>860350</v>
      </c>
      <c r="G8" s="84">
        <v>-783990</v>
      </c>
      <c r="H8" s="83">
        <v>1597</v>
      </c>
      <c r="I8" s="82">
        <v>40.075140889167187</v>
      </c>
      <c r="J8" s="83">
        <v>640</v>
      </c>
      <c r="K8" s="83">
        <v>949</v>
      </c>
      <c r="L8" s="85">
        <v>16110</v>
      </c>
      <c r="M8" s="85">
        <v>-6220</v>
      </c>
      <c r="N8" s="85">
        <v>1344.296875</v>
      </c>
      <c r="O8" s="85">
        <v>-826.12225341796875</v>
      </c>
      <c r="P8" s="82">
        <v>1.627237215119377</v>
      </c>
      <c r="Q8" s="86">
        <v>47.814652473387603</v>
      </c>
      <c r="R8" s="83">
        <v>6</v>
      </c>
      <c r="S8" s="83">
        <v>14</v>
      </c>
      <c r="T8" s="83">
        <v>58</v>
      </c>
      <c r="U8" s="83">
        <v>27</v>
      </c>
      <c r="V8" s="85">
        <v>-50425</v>
      </c>
      <c r="W8" s="82">
        <v>1.097399201520427</v>
      </c>
      <c r="X8" s="83">
        <v>1</v>
      </c>
      <c r="Y8" s="85">
        <v>50425</v>
      </c>
      <c r="Z8" s="82">
        <v>151.4328210213188</v>
      </c>
      <c r="AA8" s="87">
        <v>969.17005453644026</v>
      </c>
      <c r="AB8" s="82">
        <v>3.5085016836905E-2</v>
      </c>
      <c r="AC8" s="82">
        <v>0.67801072522608896</v>
      </c>
      <c r="AD8" s="88">
        <v>67790.828182562414</v>
      </c>
      <c r="AE8" s="82">
        <v>111.38773267765994</v>
      </c>
      <c r="AF8" s="11">
        <f>(Opti_Medias__30_OOS[[#This Row],[All: TS Index]]-AA$114) /ABS(AA$114)</f>
        <v>-0.32705614500146185</v>
      </c>
      <c r="AG8" s="11">
        <f>(Opti_Medias__30_OOS[[#This Row],[All: Expectancy Score]]-AB$114) /ABS(AB$114)</f>
        <v>-0.71119896072155031</v>
      </c>
      <c r="AH8" s="11"/>
      <c r="AI8" s="11">
        <f>(Opti_Medias__30_OOS[[#This Row],[All: Perfect Profit Correlation]]-AD$114) /ABS(AD$114)</f>
        <v>-0.21486854935242738</v>
      </c>
      <c r="AJ8" s="11">
        <f>(Opti_Medias__30_OOS[[#This Row],[All: Robustness Index]]-AE$114) /ABS(AE$114)</f>
        <v>-0.2215751658712399</v>
      </c>
      <c r="AK8" s="11">
        <f>SUM(Opti_Medias__30_OOS[[#This Row],[VAR TS Index]:[VAR Robustness Index]])</f>
        <v>-1.4746988209466794</v>
      </c>
      <c r="AL8" s="11">
        <f>Opti_Medias__30_OOS[[#This Row],[SUMA]]-Opti_Medias__30_OOS[[#This Row],[VAR Robustness Index]]</f>
        <v>-1.2531236550754394</v>
      </c>
    </row>
    <row r="9" spans="1:38" x14ac:dyDescent="0.25">
      <c r="A9" s="82" t="s">
        <v>54</v>
      </c>
      <c r="B9" s="83">
        <v>28</v>
      </c>
      <c r="C9" s="83">
        <v>11</v>
      </c>
      <c r="D9" s="83">
        <v>478</v>
      </c>
      <c r="E9" s="84">
        <v>65340</v>
      </c>
      <c r="F9" s="84">
        <v>854610</v>
      </c>
      <c r="G9" s="84">
        <v>-789270</v>
      </c>
      <c r="H9" s="83">
        <v>1621</v>
      </c>
      <c r="I9" s="82">
        <v>36.520666255397906</v>
      </c>
      <c r="J9" s="83">
        <v>592</v>
      </c>
      <c r="K9" s="83">
        <v>1021</v>
      </c>
      <c r="L9" s="85">
        <v>14860</v>
      </c>
      <c r="M9" s="85">
        <v>-4670</v>
      </c>
      <c r="N9" s="85">
        <v>1443.5980224609375</v>
      </c>
      <c r="O9" s="85">
        <v>-773.0362548828125</v>
      </c>
      <c r="P9" s="82">
        <v>1.8674389633637269</v>
      </c>
      <c r="Q9" s="86">
        <v>40.308451573103021</v>
      </c>
      <c r="R9" s="83">
        <v>6</v>
      </c>
      <c r="S9" s="83">
        <v>15</v>
      </c>
      <c r="T9" s="83">
        <v>63</v>
      </c>
      <c r="U9" s="83">
        <v>25</v>
      </c>
      <c r="V9" s="85">
        <v>-42065</v>
      </c>
      <c r="W9" s="82">
        <v>1.0827853586225249</v>
      </c>
      <c r="X9" s="83">
        <v>1</v>
      </c>
      <c r="Y9" s="85">
        <v>42065</v>
      </c>
      <c r="Z9" s="82">
        <v>155.33103530250801</v>
      </c>
      <c r="AA9" s="87">
        <v>919.55972899084747</v>
      </c>
      <c r="AB9" s="82">
        <v>4.7954644983240001E-2</v>
      </c>
      <c r="AC9" s="82">
        <v>0.54916642359403001</v>
      </c>
      <c r="AD9" s="88">
        <v>55027.859579641961</v>
      </c>
      <c r="AE9" s="82">
        <v>116.14392122833712</v>
      </c>
      <c r="AF9" s="11">
        <f>(Opti_Medias__30_OOS[[#This Row],[All: TS Index]]-AA$114) /ABS(AA$114)</f>
        <v>-0.36150310667151869</v>
      </c>
      <c r="AG9" s="11">
        <f>(Opti_Medias__30_OOS[[#This Row],[All: Expectancy Score]]-AB$114) /ABS(AB$114)</f>
        <v>-0.60526308498672166</v>
      </c>
      <c r="AH9" s="11"/>
      <c r="AI9" s="11">
        <f>(Opti_Medias__30_OOS[[#This Row],[All: Perfect Profit Correlation]]-AD$114) /ABS(AD$114)</f>
        <v>-0.36268512457989927</v>
      </c>
      <c r="AJ9" s="11">
        <f>(Opti_Medias__30_OOS[[#This Row],[All: Robustness Index]]-AE$114) /ABS(AE$114)</f>
        <v>-0.18833689811369414</v>
      </c>
      <c r="AK9" s="11">
        <f>SUM(Opti_Medias__30_OOS[[#This Row],[VAR TS Index]:[VAR Robustness Index]])</f>
        <v>-1.5177882143518338</v>
      </c>
      <c r="AL9" s="11">
        <f>Opti_Medias__30_OOS[[#This Row],[SUMA]]-Opti_Medias__30_OOS[[#This Row],[VAR Robustness Index]]</f>
        <v>-1.3294513162381396</v>
      </c>
    </row>
    <row r="10" spans="1:38" x14ac:dyDescent="0.25">
      <c r="A10" s="82" t="s">
        <v>58</v>
      </c>
      <c r="B10" s="83">
        <v>21</v>
      </c>
      <c r="C10" s="83">
        <v>1</v>
      </c>
      <c r="D10" s="83">
        <v>21</v>
      </c>
      <c r="E10" s="95">
        <v>67250</v>
      </c>
      <c r="F10" s="95">
        <v>795610</v>
      </c>
      <c r="G10" s="95">
        <v>-728360</v>
      </c>
      <c r="H10" s="83">
        <v>1507</v>
      </c>
      <c r="I10" s="96">
        <v>37.358991373589916</v>
      </c>
      <c r="J10" s="83">
        <v>563</v>
      </c>
      <c r="K10" s="83">
        <v>936</v>
      </c>
      <c r="L10" s="97">
        <v>13920</v>
      </c>
      <c r="M10" s="97">
        <v>-6200</v>
      </c>
      <c r="N10" s="97">
        <v>1413.16162109375</v>
      </c>
      <c r="O10" s="97">
        <v>-778.16241455078125</v>
      </c>
      <c r="P10" s="96">
        <v>1.8160240004775119</v>
      </c>
      <c r="Q10" s="98">
        <v>44.625082946250828</v>
      </c>
      <c r="R10" s="83">
        <v>7</v>
      </c>
      <c r="S10" s="83">
        <v>11</v>
      </c>
      <c r="T10" s="83">
        <v>67</v>
      </c>
      <c r="U10" s="83">
        <v>27</v>
      </c>
      <c r="V10" s="97">
        <v>-37485</v>
      </c>
      <c r="W10" s="96">
        <v>1.092330715580208</v>
      </c>
      <c r="X10" s="83">
        <v>1</v>
      </c>
      <c r="Y10" s="97">
        <v>37485</v>
      </c>
      <c r="Z10" s="96">
        <v>179.40509537148193</v>
      </c>
      <c r="AA10" s="99">
        <v>1010.0506869414432</v>
      </c>
      <c r="AB10" s="96">
        <v>3.0566243951073001E-2</v>
      </c>
      <c r="AC10" s="96">
        <v>0.57526227649098405</v>
      </c>
      <c r="AD10" s="100">
        <v>58637.464068563168</v>
      </c>
      <c r="AE10" s="96">
        <v>119.75795939256611</v>
      </c>
      <c r="AF10" s="11">
        <f>(Opti_Medias__30_OOS[[#This Row],[All: TS Index]]-AA$114) /ABS(AA$114)</f>
        <v>-0.29867065141689247</v>
      </c>
      <c r="AG10" s="11">
        <f>(Opti_Medias__30_OOS[[#This Row],[All: Expectancy Score]]-AB$114) /ABS(AB$114)</f>
        <v>-0.74839507528401605</v>
      </c>
      <c r="AH10" s="11"/>
      <c r="AI10" s="11">
        <f>(Opti_Medias__30_OOS[[#This Row],[All: Perfect Profit Correlation]]-AD$114) /ABS(AD$114)</f>
        <v>-0.32087985261864482</v>
      </c>
      <c r="AJ10" s="11">
        <f>(Opti_Medias__30_OOS[[#This Row],[All: Robustness Index]]-AE$114) /ABS(AE$114)</f>
        <v>-0.16308046285913949</v>
      </c>
      <c r="AK10" s="11">
        <f>SUM(Opti_Medias__30_OOS[[#This Row],[VAR TS Index]:[VAR Robustness Index]])</f>
        <v>-1.531026042178693</v>
      </c>
      <c r="AL10" s="11">
        <f>Opti_Medias__30_OOS[[#This Row],[SUMA]]-Opti_Medias__30_OOS[[#This Row],[VAR Robustness Index]]</f>
        <v>-1.3679455793195534</v>
      </c>
    </row>
    <row r="11" spans="1:38" x14ac:dyDescent="0.25">
      <c r="A11" s="81" t="s">
        <v>72</v>
      </c>
      <c r="B11" s="83">
        <v>30</v>
      </c>
      <c r="C11" s="83">
        <v>11</v>
      </c>
      <c r="D11" s="83">
        <v>480</v>
      </c>
      <c r="E11" s="84">
        <v>66560</v>
      </c>
      <c r="F11" s="84">
        <v>859990</v>
      </c>
      <c r="G11" s="84">
        <v>-793430</v>
      </c>
      <c r="H11" s="83">
        <v>1629</v>
      </c>
      <c r="I11" s="82">
        <v>36.955187231430322</v>
      </c>
      <c r="J11" s="83">
        <v>602</v>
      </c>
      <c r="K11" s="83">
        <v>1021</v>
      </c>
      <c r="L11" s="85">
        <v>14810</v>
      </c>
      <c r="M11" s="85">
        <v>-5410</v>
      </c>
      <c r="N11" s="85">
        <v>1428.5548095703125</v>
      </c>
      <c r="O11" s="85">
        <v>-777.11065673828125</v>
      </c>
      <c r="P11" s="82">
        <v>1.8382900777172431</v>
      </c>
      <c r="Q11" s="86">
        <v>40.859422958870475</v>
      </c>
      <c r="R11" s="83">
        <v>7</v>
      </c>
      <c r="S11" s="83">
        <v>14</v>
      </c>
      <c r="T11" s="83">
        <v>63</v>
      </c>
      <c r="U11" s="83">
        <v>25</v>
      </c>
      <c r="V11" s="85">
        <v>-34405</v>
      </c>
      <c r="W11" s="82">
        <v>1.0838889379025241</v>
      </c>
      <c r="X11" s="83">
        <v>1</v>
      </c>
      <c r="Y11" s="85">
        <v>34405</v>
      </c>
      <c r="Z11" s="82">
        <v>193.46025287022235</v>
      </c>
      <c r="AA11" s="87">
        <v>1164.6307222787386</v>
      </c>
      <c r="AB11" s="82">
        <v>3.2798385626939E-2</v>
      </c>
      <c r="AC11" s="82">
        <v>0.56340512137983501</v>
      </c>
      <c r="AD11" s="88">
        <v>58814.608372200812</v>
      </c>
      <c r="AE11" s="82">
        <v>85.26893145249845</v>
      </c>
      <c r="AF11" s="11">
        <f>(Opti_Medias__30_OOS[[#This Row],[All: TS Index]]-AA$114) /ABS(AA$114)</f>
        <v>-0.1913379037749475</v>
      </c>
      <c r="AG11" s="11">
        <f>(Opti_Medias__30_OOS[[#This Row],[All: Expectancy Score]]-AB$114) /ABS(AB$114)</f>
        <v>-0.73002128231126329</v>
      </c>
      <c r="AH11" s="11"/>
      <c r="AI11" s="11">
        <f>(Opti_Medias__30_OOS[[#This Row],[All: Perfect Profit Correlation]]-AD$114) /ABS(AD$114)</f>
        <v>-0.31882822457665616</v>
      </c>
      <c r="AJ11" s="11">
        <f>(Opti_Medias__30_OOS[[#This Row],[All: Robustness Index]]-AE$114) /ABS(AE$114)</f>
        <v>-0.40410445363558367</v>
      </c>
      <c r="AK11" s="11">
        <f>SUM(Opti_Medias__30_OOS[[#This Row],[VAR TS Index]:[VAR Robustness Index]])</f>
        <v>-1.6442918642984505</v>
      </c>
      <c r="AL11" s="11">
        <f>Opti_Medias__30_OOS[[#This Row],[SUMA]]-Opti_Medias__30_OOS[[#This Row],[VAR Robustness Index]]</f>
        <v>-1.240187410662867</v>
      </c>
    </row>
    <row r="12" spans="1:38" x14ac:dyDescent="0.25">
      <c r="A12" s="81" t="s">
        <v>65</v>
      </c>
      <c r="B12" s="89">
        <v>22</v>
      </c>
      <c r="C12" s="89">
        <v>8</v>
      </c>
      <c r="D12" s="89">
        <v>337</v>
      </c>
      <c r="E12" s="90">
        <v>63070</v>
      </c>
      <c r="F12" s="90">
        <v>820970</v>
      </c>
      <c r="G12" s="90">
        <v>-757900</v>
      </c>
      <c r="H12" s="89">
        <v>1537</v>
      </c>
      <c r="I12" s="81">
        <v>33.246584255042293</v>
      </c>
      <c r="J12" s="89">
        <v>511</v>
      </c>
      <c r="K12" s="89">
        <v>1021</v>
      </c>
      <c r="L12" s="91">
        <v>15250</v>
      </c>
      <c r="M12" s="91">
        <v>-5240</v>
      </c>
      <c r="N12" s="91">
        <v>1606.594970703125</v>
      </c>
      <c r="O12" s="91">
        <v>-742.31146240234375</v>
      </c>
      <c r="P12" s="81">
        <v>2.1643138387001311</v>
      </c>
      <c r="Q12" s="92">
        <v>41.03448275862069</v>
      </c>
      <c r="R12" s="89">
        <v>7</v>
      </c>
      <c r="S12" s="89">
        <v>13</v>
      </c>
      <c r="T12" s="89">
        <v>74</v>
      </c>
      <c r="U12" s="89">
        <v>25</v>
      </c>
      <c r="V12" s="91">
        <v>-35235</v>
      </c>
      <c r="W12" s="81">
        <v>1.0832167832167829</v>
      </c>
      <c r="X12" s="89">
        <v>1</v>
      </c>
      <c r="Y12" s="91">
        <v>35235</v>
      </c>
      <c r="Z12" s="81">
        <v>178.99815524336597</v>
      </c>
      <c r="AA12" s="93">
        <v>914.6805732936001</v>
      </c>
      <c r="AB12" s="81">
        <v>6.7339807246707004E-2</v>
      </c>
      <c r="AC12" s="81">
        <v>0.50471570726648196</v>
      </c>
      <c r="AD12" s="94">
        <v>52254.908141596527</v>
      </c>
      <c r="AE12" s="81">
        <v>75.318790567901999</v>
      </c>
      <c r="AF12" s="11">
        <f>(Opti_Medias__30_OOS[[#This Row],[All: TS Index]]-AA$114) /ABS(AA$114)</f>
        <v>-0.3648909515896267</v>
      </c>
      <c r="AG12" s="11">
        <f>(Opti_Medias__30_OOS[[#This Row],[All: Expectancy Score]]-AB$114) /ABS(AB$114)</f>
        <v>-0.44569482728015025</v>
      </c>
      <c r="AH12" s="11"/>
      <c r="AI12" s="11">
        <f>(Opti_Medias__30_OOS[[#This Row],[All: Perfect Profit Correlation]]-AD$114) /ABS(AD$114)</f>
        <v>-0.39480055145246701</v>
      </c>
      <c r="AJ12" s="11">
        <f>(Opti_Medias__30_OOS[[#This Row],[All: Robustness Index]]-AE$114) /ABS(AE$114)</f>
        <v>-0.47364026858985664</v>
      </c>
      <c r="AK12" s="11">
        <f>SUM(Opti_Medias__30_OOS[[#This Row],[VAR TS Index]:[VAR Robustness Index]])</f>
        <v>-1.6790265989121007</v>
      </c>
      <c r="AL12" s="11">
        <f>Opti_Medias__30_OOS[[#This Row],[SUMA]]-Opti_Medias__30_OOS[[#This Row],[VAR Robustness Index]]</f>
        <v>-1.2053863303222441</v>
      </c>
    </row>
    <row r="13" spans="1:38" x14ac:dyDescent="0.25">
      <c r="A13" s="11"/>
      <c r="B13" s="17">
        <v>20</v>
      </c>
      <c r="C13" s="17">
        <v>11</v>
      </c>
      <c r="D13" s="17">
        <v>470</v>
      </c>
      <c r="E13" s="10">
        <v>77640</v>
      </c>
      <c r="F13" s="10">
        <v>853730</v>
      </c>
      <c r="G13" s="10">
        <v>-776090</v>
      </c>
      <c r="H13" s="17">
        <v>1587</v>
      </c>
      <c r="I13" s="11">
        <v>40.894770006301201</v>
      </c>
      <c r="J13" s="17">
        <v>649</v>
      </c>
      <c r="K13" s="17">
        <v>930</v>
      </c>
      <c r="L13" s="12">
        <v>16550</v>
      </c>
      <c r="M13" s="12">
        <v>-6240</v>
      </c>
      <c r="N13" s="12">
        <v>1315.45458984375</v>
      </c>
      <c r="O13" s="12">
        <v>-834.50537109375</v>
      </c>
      <c r="P13" s="11">
        <v>1.5763284879995929</v>
      </c>
      <c r="Q13" s="13">
        <v>48.922495274102083</v>
      </c>
      <c r="R13" s="17">
        <v>8</v>
      </c>
      <c r="S13" s="17">
        <v>17</v>
      </c>
      <c r="T13" s="17">
        <v>58</v>
      </c>
      <c r="U13" s="17">
        <v>27</v>
      </c>
      <c r="V13" s="12">
        <v>-52445</v>
      </c>
      <c r="W13" s="11">
        <v>1.1000399438209481</v>
      </c>
      <c r="X13" s="17">
        <v>1</v>
      </c>
      <c r="Y13" s="12">
        <v>52445</v>
      </c>
      <c r="Z13" s="11">
        <v>148.04080465249308</v>
      </c>
      <c r="AA13" s="14">
        <v>960.78482219468015</v>
      </c>
      <c r="AB13" s="11">
        <v>1.6148000825336999E-2</v>
      </c>
      <c r="AC13" s="11">
        <v>0.69577159778253095</v>
      </c>
      <c r="AD13" s="15">
        <v>61280.237925723217</v>
      </c>
      <c r="AE13" s="11">
        <v>115.28000349603751</v>
      </c>
      <c r="AF13" s="11">
        <f>(Opti_Medias__30_OOS[[#This Row],[All: TS Index]]-AA$114) /ABS(AA$114)</f>
        <v>-0.33287843650821031</v>
      </c>
      <c r="AG13" s="11">
        <f>(Opti_Medias__30_OOS[[#This Row],[All: Expectancy Score]]-AB$114) /ABS(AB$114)</f>
        <v>-0.8670783188645611</v>
      </c>
      <c r="AH13" s="11"/>
      <c r="AI13" s="11">
        <f>(Opti_Medias__30_OOS[[#This Row],[All: Perfect Profit Correlation]]-AD$114) /ABS(AD$114)</f>
        <v>-0.29027210039266926</v>
      </c>
      <c r="AJ13" s="11">
        <f>(Opti_Medias__30_OOS[[#This Row],[All: Robustness Index]]-AE$114) /ABS(AE$114)</f>
        <v>-0.19437432253467885</v>
      </c>
      <c r="AK13" s="11">
        <f>SUM(Opti_Medias__30_OOS[[#This Row],[VAR TS Index]:[VAR Robustness Index]])</f>
        <v>-1.6846031783001196</v>
      </c>
      <c r="AL13" s="11">
        <f>Opti_Medias__30_OOS[[#This Row],[SUMA]]-Opti_Medias__30_OOS[[#This Row],[VAR Robustness Index]]</f>
        <v>-1.4902288557654408</v>
      </c>
    </row>
    <row r="14" spans="1:38" x14ac:dyDescent="0.25">
      <c r="A14" s="81" t="s">
        <v>66</v>
      </c>
      <c r="B14" s="89">
        <v>31</v>
      </c>
      <c r="C14" s="89">
        <v>11</v>
      </c>
      <c r="D14" s="89">
        <v>481</v>
      </c>
      <c r="E14" s="90">
        <v>62280</v>
      </c>
      <c r="F14" s="90">
        <v>849470</v>
      </c>
      <c r="G14" s="90">
        <v>-787190</v>
      </c>
      <c r="H14" s="89">
        <v>1639</v>
      </c>
      <c r="I14" s="81">
        <v>35.814521049420378</v>
      </c>
      <c r="J14" s="89">
        <v>587</v>
      </c>
      <c r="K14" s="89">
        <v>1046</v>
      </c>
      <c r="L14" s="91">
        <v>15250</v>
      </c>
      <c r="M14" s="91">
        <v>-4670</v>
      </c>
      <c r="N14" s="91">
        <v>1447.137939453125</v>
      </c>
      <c r="O14" s="91">
        <v>-752.57171630859375</v>
      </c>
      <c r="P14" s="81">
        <v>1.9229236338450471</v>
      </c>
      <c r="Q14" s="92">
        <v>37.998779743746184</v>
      </c>
      <c r="R14" s="89">
        <v>8</v>
      </c>
      <c r="S14" s="89">
        <v>13</v>
      </c>
      <c r="T14" s="89">
        <v>64</v>
      </c>
      <c r="U14" s="89">
        <v>24</v>
      </c>
      <c r="V14" s="91">
        <v>-34185</v>
      </c>
      <c r="W14" s="81">
        <v>1.0791168586999329</v>
      </c>
      <c r="X14" s="89">
        <v>1</v>
      </c>
      <c r="Y14" s="91">
        <v>34185</v>
      </c>
      <c r="Z14" s="81">
        <v>182.18516893374286</v>
      </c>
      <c r="AA14" s="93">
        <v>1069.4269416410707</v>
      </c>
      <c r="AB14" s="81">
        <v>5.1511992329739999E-2</v>
      </c>
      <c r="AC14" s="81">
        <v>0.51558237068939405</v>
      </c>
      <c r="AD14" s="94">
        <v>53893.992149159145</v>
      </c>
      <c r="AE14" s="81">
        <v>73.420919446251631</v>
      </c>
      <c r="AF14" s="11">
        <f>(Opti_Medias__30_OOS[[#This Row],[All: TS Index]]-AA$114) /ABS(AA$114)</f>
        <v>-0.25744271051434986</v>
      </c>
      <c r="AG14" s="11">
        <f>(Opti_Medias__30_OOS[[#This Row],[All: Expectancy Score]]-AB$114) /ABS(AB$114)</f>
        <v>-0.57598090976305261</v>
      </c>
      <c r="AH14" s="11"/>
      <c r="AI14" s="11">
        <f>(Opti_Medias__30_OOS[[#This Row],[All: Perfect Profit Correlation]]-AD$114) /ABS(AD$114)</f>
        <v>-0.37581721050367034</v>
      </c>
      <c r="AJ14" s="11">
        <f>(Opti_Medias__30_OOS[[#This Row],[All: Robustness Index]]-AE$114) /ABS(AE$114)</f>
        <v>-0.48690339889652778</v>
      </c>
      <c r="AK14" s="11">
        <f>SUM(Opti_Medias__30_OOS[[#This Row],[VAR TS Index]:[VAR Robustness Index]])</f>
        <v>-1.6961442296776004</v>
      </c>
      <c r="AL14" s="11">
        <f>Opti_Medias__30_OOS[[#This Row],[SUMA]]-Opti_Medias__30_OOS[[#This Row],[VAR Robustness Index]]</f>
        <v>-1.2092408307810727</v>
      </c>
    </row>
    <row r="15" spans="1:38" x14ac:dyDescent="0.25">
      <c r="A15" s="11"/>
      <c r="B15" s="17">
        <v>33</v>
      </c>
      <c r="C15" s="17">
        <v>1</v>
      </c>
      <c r="D15" s="17">
        <v>33</v>
      </c>
      <c r="E15" s="10">
        <v>62910</v>
      </c>
      <c r="F15" s="10">
        <v>825180</v>
      </c>
      <c r="G15" s="10">
        <v>-762270</v>
      </c>
      <c r="H15" s="17">
        <v>1637</v>
      </c>
      <c r="I15" s="11">
        <v>32.803909590714724</v>
      </c>
      <c r="J15" s="17">
        <v>537</v>
      </c>
      <c r="K15" s="17">
        <v>1091</v>
      </c>
      <c r="L15" s="12">
        <v>15720</v>
      </c>
      <c r="M15" s="12">
        <v>-5700</v>
      </c>
      <c r="N15" s="12">
        <v>1536.6480712890625</v>
      </c>
      <c r="O15" s="12">
        <v>-698.68927001953125</v>
      </c>
      <c r="P15" s="11">
        <v>2.199329712400059</v>
      </c>
      <c r="Q15" s="13">
        <v>38.430054978619424</v>
      </c>
      <c r="R15" s="17">
        <v>7</v>
      </c>
      <c r="S15" s="17">
        <v>14</v>
      </c>
      <c r="T15" s="17">
        <v>69</v>
      </c>
      <c r="U15" s="17">
        <v>24</v>
      </c>
      <c r="V15" s="12">
        <v>-40505</v>
      </c>
      <c r="W15" s="11">
        <v>1.082529812271243</v>
      </c>
      <c r="X15" s="17">
        <v>1</v>
      </c>
      <c r="Y15" s="12">
        <v>40505</v>
      </c>
      <c r="Z15" s="11">
        <v>155.31415874583385</v>
      </c>
      <c r="AA15" s="14">
        <v>834.03703246512771</v>
      </c>
      <c r="AB15" s="11">
        <v>4.8876637201029999E-2</v>
      </c>
      <c r="AC15" s="11">
        <v>0.50378763431168305</v>
      </c>
      <c r="AD15" s="15">
        <v>55037.942511810135</v>
      </c>
      <c r="AE15" s="11">
        <v>86.972417557038142</v>
      </c>
      <c r="AF15" s="11">
        <f>(Opti_Medias__30_OOS[[#This Row],[All: TS Index]]-AA$114) /ABS(AA$114)</f>
        <v>-0.42088584638835341</v>
      </c>
      <c r="AG15" s="11">
        <f>(Opti_Medias__30_OOS[[#This Row],[All: Expectancy Score]]-AB$114) /ABS(AB$114)</f>
        <v>-0.59767373959913994</v>
      </c>
      <c r="AH15" s="11"/>
      <c r="AI15" s="11">
        <f>(Opti_Medias__30_OOS[[#This Row],[All: Perfect Profit Correlation]]-AD$114) /ABS(AD$114)</f>
        <v>-0.36256834732002186</v>
      </c>
      <c r="AJ15" s="11">
        <f>(Opti_Medias__30_OOS[[#This Row],[All: Robustness Index]]-AE$114) /ABS(AE$114)</f>
        <v>-0.39219976847420857</v>
      </c>
      <c r="AK15" s="11">
        <f>SUM(Opti_Medias__30_OOS[[#This Row],[VAR TS Index]:[VAR Robustness Index]])</f>
        <v>-1.7733277017817239</v>
      </c>
      <c r="AL15" s="11">
        <f>Opti_Medias__30_OOS[[#This Row],[SUMA]]-Opti_Medias__30_OOS[[#This Row],[VAR Robustness Index]]</f>
        <v>-1.3811279333075155</v>
      </c>
    </row>
    <row r="16" spans="1:38" x14ac:dyDescent="0.25">
      <c r="A16" s="11"/>
      <c r="B16" s="17">
        <v>33</v>
      </c>
      <c r="C16" s="17">
        <v>11</v>
      </c>
      <c r="D16" s="17">
        <v>483</v>
      </c>
      <c r="E16" s="10">
        <v>71690</v>
      </c>
      <c r="F16" s="10">
        <v>848090</v>
      </c>
      <c r="G16" s="10">
        <v>-776400</v>
      </c>
      <c r="H16" s="17">
        <v>1605</v>
      </c>
      <c r="I16" s="11">
        <v>35.763239875389409</v>
      </c>
      <c r="J16" s="17">
        <v>574</v>
      </c>
      <c r="K16" s="17">
        <v>1028</v>
      </c>
      <c r="L16" s="12">
        <v>15820</v>
      </c>
      <c r="M16" s="12">
        <v>-5240</v>
      </c>
      <c r="N16" s="12">
        <v>1477.5086669921875</v>
      </c>
      <c r="O16" s="12">
        <v>-755.2529296875</v>
      </c>
      <c r="P16" s="11">
        <v>1.956309745933106</v>
      </c>
      <c r="Q16" s="13">
        <v>44.666666666666664</v>
      </c>
      <c r="R16" s="17">
        <v>7</v>
      </c>
      <c r="S16" s="17">
        <v>15</v>
      </c>
      <c r="T16" s="17">
        <v>66</v>
      </c>
      <c r="U16" s="17">
        <v>24</v>
      </c>
      <c r="V16" s="12">
        <v>-37635</v>
      </c>
      <c r="W16" s="11">
        <v>1.092336424523441</v>
      </c>
      <c r="X16" s="17">
        <v>1</v>
      </c>
      <c r="Y16" s="12">
        <v>37635</v>
      </c>
      <c r="Z16" s="11">
        <v>190.4875780523449</v>
      </c>
      <c r="AA16" s="14">
        <v>1093.3986980204597</v>
      </c>
      <c r="AB16" s="11">
        <v>3.9696353357099997E-3</v>
      </c>
      <c r="AC16" s="11">
        <v>0.60506658022122595</v>
      </c>
      <c r="AD16" s="15">
        <v>65828.900835024135</v>
      </c>
      <c r="AE16" s="11">
        <v>95.034086250169864</v>
      </c>
      <c r="AF16" s="11">
        <f>(Opti_Medias__30_OOS[[#This Row],[All: TS Index]]-AA$114) /ABS(AA$114)</f>
        <v>-0.24079790594829492</v>
      </c>
      <c r="AG16" s="11">
        <f>(Opti_Medias__30_OOS[[#This Row],[All: Expectancy Score]]-AB$114) /ABS(AB$114)</f>
        <v>-0.96732409119714025</v>
      </c>
      <c r="AH16" s="11"/>
      <c r="AI16" s="11">
        <f>(Opti_Medias__30_OOS[[#This Row],[All: Perfect Profit Correlation]]-AD$114) /ABS(AD$114)</f>
        <v>-0.23759095746772016</v>
      </c>
      <c r="AJ16" s="11">
        <f>(Opti_Medias__30_OOS[[#This Row],[All: Robustness Index]]-AE$114) /ABS(AE$114)</f>
        <v>-0.33586140010637228</v>
      </c>
      <c r="AK16" s="11">
        <f>SUM(Opti_Medias__30_OOS[[#This Row],[VAR TS Index]:[VAR Robustness Index]])</f>
        <v>-1.7815743547195275</v>
      </c>
      <c r="AL16" s="11">
        <f>Opti_Medias__30_OOS[[#This Row],[SUMA]]-Opti_Medias__30_OOS[[#This Row],[VAR Robustness Index]]</f>
        <v>-1.4457129546131553</v>
      </c>
    </row>
    <row r="17" spans="1:38" x14ac:dyDescent="0.25">
      <c r="A17" s="11"/>
      <c r="B17" s="17">
        <v>29</v>
      </c>
      <c r="C17" s="17">
        <v>1</v>
      </c>
      <c r="D17" s="17">
        <v>29</v>
      </c>
      <c r="E17" s="10">
        <v>52760</v>
      </c>
      <c r="F17" s="10">
        <v>806350</v>
      </c>
      <c r="G17" s="10">
        <v>-753590</v>
      </c>
      <c r="H17" s="17">
        <v>1567</v>
      </c>
      <c r="I17" s="11">
        <v>35.098915124441611</v>
      </c>
      <c r="J17" s="17">
        <v>550</v>
      </c>
      <c r="K17" s="17">
        <v>1009</v>
      </c>
      <c r="L17" s="12">
        <v>16570</v>
      </c>
      <c r="M17" s="12">
        <v>-5020</v>
      </c>
      <c r="N17" s="12">
        <v>1466.0909423828125</v>
      </c>
      <c r="O17" s="12">
        <v>-746.8681640625</v>
      </c>
      <c r="P17" s="11">
        <v>1.9629849187950199</v>
      </c>
      <c r="Q17" s="13">
        <v>33.669432035737074</v>
      </c>
      <c r="R17" s="17">
        <v>7</v>
      </c>
      <c r="S17" s="17">
        <v>10</v>
      </c>
      <c r="T17" s="17">
        <v>69</v>
      </c>
      <c r="U17" s="17">
        <v>25</v>
      </c>
      <c r="V17" s="12">
        <v>-48315</v>
      </c>
      <c r="W17" s="11">
        <v>1.070011544739182</v>
      </c>
      <c r="X17" s="17">
        <v>1</v>
      </c>
      <c r="Y17" s="12">
        <v>48315</v>
      </c>
      <c r="Z17" s="11">
        <v>109.20004139501189</v>
      </c>
      <c r="AA17" s="14">
        <v>600.60022767256544</v>
      </c>
      <c r="AB17" s="11">
        <v>6.7233559258665004E-2</v>
      </c>
      <c r="AC17" s="11">
        <v>0.42101209423830299</v>
      </c>
      <c r="AD17" s="15">
        <v>40799.798032277678</v>
      </c>
      <c r="AE17" s="11">
        <v>100.6527535423167</v>
      </c>
      <c r="AF17" s="11">
        <f>(Opti_Medias__30_OOS[[#This Row],[All: TS Index]]-AA$114) /ABS(AA$114)</f>
        <v>-0.58297284296893292</v>
      </c>
      <c r="AG17" s="11">
        <f>(Opti_Medias__30_OOS[[#This Row],[All: Expectancy Score]]-AB$114) /ABS(AB$114)</f>
        <v>-0.44656940372713938</v>
      </c>
      <c r="AH17" s="11"/>
      <c r="AI17" s="11">
        <f>(Opti_Medias__30_OOS[[#This Row],[All: Perfect Profit Correlation]]-AD$114) /ABS(AD$114)</f>
        <v>-0.52746993252621255</v>
      </c>
      <c r="AJ17" s="11">
        <f>(Opti_Medias__30_OOS[[#This Row],[All: Robustness Index]]-AE$114) /ABS(AE$114)</f>
        <v>-0.29659576420757022</v>
      </c>
      <c r="AK17" s="11">
        <f>SUM(Opti_Medias__30_OOS[[#This Row],[VAR TS Index]:[VAR Robustness Index]])</f>
        <v>-1.8536079434298551</v>
      </c>
      <c r="AL17" s="11">
        <f>Opti_Medias__30_OOS[[#This Row],[SUMA]]-Opti_Medias__30_OOS[[#This Row],[VAR Robustness Index]]</f>
        <v>-1.5570121792222849</v>
      </c>
    </row>
    <row r="18" spans="1:38" x14ac:dyDescent="0.25">
      <c r="A18" s="11"/>
      <c r="B18" s="17">
        <v>37</v>
      </c>
      <c r="C18" s="17">
        <v>11</v>
      </c>
      <c r="D18" s="17">
        <v>487</v>
      </c>
      <c r="E18" s="10">
        <v>57120</v>
      </c>
      <c r="F18" s="10">
        <v>843770</v>
      </c>
      <c r="G18" s="10">
        <v>-786650</v>
      </c>
      <c r="H18" s="17">
        <v>1653</v>
      </c>
      <c r="I18" s="11">
        <v>32.788868723532971</v>
      </c>
      <c r="J18" s="17">
        <v>542</v>
      </c>
      <c r="K18" s="17">
        <v>1100</v>
      </c>
      <c r="L18" s="12">
        <v>14910</v>
      </c>
      <c r="M18" s="12">
        <v>-4830</v>
      </c>
      <c r="N18" s="12">
        <v>1556.771240234375</v>
      </c>
      <c r="O18" s="12">
        <v>-715.1363525390625</v>
      </c>
      <c r="P18" s="11">
        <v>2.1768872952788958</v>
      </c>
      <c r="Q18" s="13">
        <v>34.555353901996369</v>
      </c>
      <c r="R18" s="17">
        <v>7</v>
      </c>
      <c r="S18" s="17">
        <v>15</v>
      </c>
      <c r="T18" s="17">
        <v>70</v>
      </c>
      <c r="U18" s="17">
        <v>23</v>
      </c>
      <c r="V18" s="12">
        <v>-44115</v>
      </c>
      <c r="W18" s="11">
        <v>1.0726117078751669</v>
      </c>
      <c r="X18" s="17">
        <v>1</v>
      </c>
      <c r="Y18" s="12">
        <v>44115</v>
      </c>
      <c r="Z18" s="11">
        <v>129.47976878612718</v>
      </c>
      <c r="AA18" s="14">
        <v>701.7803468208092</v>
      </c>
      <c r="AB18" s="11">
        <v>5.7975272592435997E-2</v>
      </c>
      <c r="AC18" s="11">
        <v>0.44595365069950499</v>
      </c>
      <c r="AD18" s="15">
        <v>46613.009632364163</v>
      </c>
      <c r="AE18" s="11">
        <v>91.703493886163329</v>
      </c>
      <c r="AF18" s="11">
        <f>(Opti_Medias__30_OOS[[#This Row],[All: TS Index]]-AA$114) /ABS(AA$114)</f>
        <v>-0.51271836171445617</v>
      </c>
      <c r="AG18" s="11">
        <f>(Opti_Medias__30_OOS[[#This Row],[All: Expectancy Score]]-AB$114) /ABS(AB$114)</f>
        <v>-0.52277865349247643</v>
      </c>
      <c r="AH18" s="11"/>
      <c r="AI18" s="11">
        <f>(Opti_Medias__30_OOS[[#This Row],[All: Perfect Profit Correlation]]-AD$114) /ABS(AD$114)</f>
        <v>-0.46014319557876193</v>
      </c>
      <c r="AJ18" s="11">
        <f>(Opti_Medias__30_OOS[[#This Row],[All: Robustness Index]]-AE$114) /ABS(AE$114)</f>
        <v>-0.35913699559770845</v>
      </c>
      <c r="AK18" s="11">
        <f>SUM(Opti_Medias__30_OOS[[#This Row],[VAR TS Index]:[VAR Robustness Index]])</f>
        <v>-1.8547772063834029</v>
      </c>
      <c r="AL18" s="11">
        <f>Opti_Medias__30_OOS[[#This Row],[SUMA]]-Opti_Medias__30_OOS[[#This Row],[VAR Robustness Index]]</f>
        <v>-1.4956402107856945</v>
      </c>
    </row>
    <row r="19" spans="1:38" x14ac:dyDescent="0.25">
      <c r="A19" s="11"/>
      <c r="B19" s="17">
        <v>23</v>
      </c>
      <c r="C19" s="17">
        <v>8</v>
      </c>
      <c r="D19" s="17">
        <v>338</v>
      </c>
      <c r="E19" s="10">
        <v>59950</v>
      </c>
      <c r="F19" s="10">
        <v>814990</v>
      </c>
      <c r="G19" s="10">
        <v>-755040</v>
      </c>
      <c r="H19" s="17">
        <v>1545</v>
      </c>
      <c r="I19" s="11">
        <v>33.26860841423948</v>
      </c>
      <c r="J19" s="17">
        <v>514</v>
      </c>
      <c r="K19" s="17">
        <v>1026</v>
      </c>
      <c r="L19" s="12">
        <v>15250</v>
      </c>
      <c r="M19" s="12">
        <v>-5240</v>
      </c>
      <c r="N19" s="12">
        <v>1585.5836181640625</v>
      </c>
      <c r="O19" s="12">
        <v>-735.90643310546875</v>
      </c>
      <c r="P19" s="11">
        <v>2.1545994800901811</v>
      </c>
      <c r="Q19" s="13">
        <v>38.802588996763753</v>
      </c>
      <c r="R19" s="17">
        <v>7</v>
      </c>
      <c r="S19" s="17">
        <v>12</v>
      </c>
      <c r="T19" s="17">
        <v>74</v>
      </c>
      <c r="U19" s="17">
        <v>24</v>
      </c>
      <c r="V19" s="12">
        <v>-33435</v>
      </c>
      <c r="W19" s="11">
        <v>1.079399766899767</v>
      </c>
      <c r="X19" s="17">
        <v>1</v>
      </c>
      <c r="Y19" s="12">
        <v>33435</v>
      </c>
      <c r="Z19" s="11">
        <v>179.30312546732466</v>
      </c>
      <c r="AA19" s="14">
        <v>921.61806490204879</v>
      </c>
      <c r="AB19" s="11">
        <v>4.8438954698532002E-2</v>
      </c>
      <c r="AC19" s="11">
        <v>0.47574323838594101</v>
      </c>
      <c r="AD19" s="15">
        <v>48836.250297476967</v>
      </c>
      <c r="AE19" s="11">
        <v>76.003957295547892</v>
      </c>
      <c r="AF19" s="11">
        <f>(Opti_Medias__30_OOS[[#This Row],[All: TS Index]]-AA$114) /ABS(AA$114)</f>
        <v>-0.36007389979860488</v>
      </c>
      <c r="AG19" s="11">
        <f>(Opti_Medias__30_OOS[[#This Row],[All: Expectancy Score]]-AB$114) /ABS(AB$114)</f>
        <v>-0.60127650719030301</v>
      </c>
      <c r="AH19" s="11"/>
      <c r="AI19" s="11">
        <f>(Opti_Medias__30_OOS[[#This Row],[All: Perfect Profit Correlation]]-AD$114) /ABS(AD$114)</f>
        <v>-0.4343943411196024</v>
      </c>
      <c r="AJ19" s="11">
        <f>(Opti_Medias__30_OOS[[#This Row],[All: Robustness Index]]-AE$114) /ABS(AE$114)</f>
        <v>-0.46885203218808214</v>
      </c>
      <c r="AK19" s="11">
        <f>SUM(Opti_Medias__30_OOS[[#This Row],[VAR TS Index]:[VAR Robustness Index]])</f>
        <v>-1.8645967802965924</v>
      </c>
      <c r="AL19" s="11">
        <f>Opti_Medias__30_OOS[[#This Row],[SUMA]]-Opti_Medias__30_OOS[[#This Row],[VAR Robustness Index]]</f>
        <v>-1.3957447481085103</v>
      </c>
    </row>
    <row r="20" spans="1:38" x14ac:dyDescent="0.25">
      <c r="A20" s="11"/>
      <c r="B20" s="17">
        <v>36</v>
      </c>
      <c r="C20" s="17">
        <v>5</v>
      </c>
      <c r="D20" s="17">
        <v>216</v>
      </c>
      <c r="E20" s="10">
        <v>59170</v>
      </c>
      <c r="F20" s="10">
        <v>791370</v>
      </c>
      <c r="G20" s="10">
        <v>-732200</v>
      </c>
      <c r="H20" s="17">
        <v>1689</v>
      </c>
      <c r="I20" s="11">
        <v>29.662522202486677</v>
      </c>
      <c r="J20" s="17">
        <v>501</v>
      </c>
      <c r="K20" s="17">
        <v>1181</v>
      </c>
      <c r="L20" s="12">
        <v>13060</v>
      </c>
      <c r="M20" s="12">
        <v>-3360</v>
      </c>
      <c r="N20" s="12">
        <v>1579.580810546875</v>
      </c>
      <c r="O20" s="12">
        <v>-619.98309326171875</v>
      </c>
      <c r="P20" s="11">
        <v>2.547780460006952</v>
      </c>
      <c r="Q20" s="13">
        <v>35.032563647128477</v>
      </c>
      <c r="R20" s="17">
        <v>6</v>
      </c>
      <c r="S20" s="17">
        <v>21</v>
      </c>
      <c r="T20" s="17">
        <v>78</v>
      </c>
      <c r="U20" s="17">
        <v>20</v>
      </c>
      <c r="V20" s="12">
        <v>-50285</v>
      </c>
      <c r="W20" s="11">
        <v>1.0808112537558039</v>
      </c>
      <c r="X20" s="17">
        <v>1</v>
      </c>
      <c r="Y20" s="12">
        <v>50285</v>
      </c>
      <c r="Z20" s="11">
        <v>117.66928507507208</v>
      </c>
      <c r="AA20" s="14">
        <v>589.52311822611114</v>
      </c>
      <c r="AB20" s="11">
        <v>5.6246040230583001E-2</v>
      </c>
      <c r="AC20" s="11">
        <v>0.45120335804899803</v>
      </c>
      <c r="AD20" s="15">
        <v>42760.505928387582</v>
      </c>
      <c r="AE20" s="11">
        <v>88.310898062181082</v>
      </c>
      <c r="AF20" s="11">
        <f>(Opti_Medias__30_OOS[[#This Row],[All: TS Index]]-AA$114) /ABS(AA$114)</f>
        <v>-0.59066424108657611</v>
      </c>
      <c r="AG20" s="11">
        <f>(Opti_Medias__30_OOS[[#This Row],[All: Expectancy Score]]-AB$114) /ABS(AB$114)</f>
        <v>-0.53701276674881571</v>
      </c>
      <c r="AH20" s="11"/>
      <c r="AI20" s="11">
        <f>(Opti_Medias__30_OOS[[#This Row],[All: Perfect Profit Correlation]]-AD$114) /ABS(AD$114)</f>
        <v>-0.504761647703032</v>
      </c>
      <c r="AJ20" s="11">
        <f>(Opti_Medias__30_OOS[[#This Row],[All: Robustness Index]]-AE$114) /ABS(AE$114)</f>
        <v>-0.38284589762906263</v>
      </c>
      <c r="AK20" s="11">
        <f>SUM(Opti_Medias__30_OOS[[#This Row],[VAR TS Index]:[VAR Robustness Index]])</f>
        <v>-2.0152845531674863</v>
      </c>
      <c r="AL20" s="11">
        <f>Opti_Medias__30_OOS[[#This Row],[SUMA]]-Opti_Medias__30_OOS[[#This Row],[VAR Robustness Index]]</f>
        <v>-1.6324386555384236</v>
      </c>
    </row>
    <row r="21" spans="1:38" x14ac:dyDescent="0.25">
      <c r="A21" s="11"/>
      <c r="B21" s="17">
        <v>22</v>
      </c>
      <c r="C21" s="17">
        <v>11</v>
      </c>
      <c r="D21" s="17">
        <v>472</v>
      </c>
      <c r="E21" s="10">
        <v>54980</v>
      </c>
      <c r="F21" s="10">
        <v>859830</v>
      </c>
      <c r="G21" s="10">
        <v>-804850</v>
      </c>
      <c r="H21" s="17">
        <v>1589</v>
      </c>
      <c r="I21" s="11">
        <v>39.647577092511014</v>
      </c>
      <c r="J21" s="17">
        <v>630</v>
      </c>
      <c r="K21" s="17">
        <v>951</v>
      </c>
      <c r="L21" s="12">
        <v>17900</v>
      </c>
      <c r="M21" s="12">
        <v>-7220</v>
      </c>
      <c r="N21" s="12">
        <v>1364.8095703125</v>
      </c>
      <c r="O21" s="12">
        <v>-846.31964111328125</v>
      </c>
      <c r="P21" s="11">
        <v>1.6126407848897111</v>
      </c>
      <c r="Q21" s="13">
        <v>34.600377595972311</v>
      </c>
      <c r="R21" s="17">
        <v>7</v>
      </c>
      <c r="S21" s="17">
        <v>13</v>
      </c>
      <c r="T21" s="17">
        <v>59</v>
      </c>
      <c r="U21" s="17">
        <v>27</v>
      </c>
      <c r="V21" s="12">
        <v>-48955</v>
      </c>
      <c r="W21" s="11">
        <v>1.0683108653786419</v>
      </c>
      <c r="X21" s="17">
        <v>1</v>
      </c>
      <c r="Y21" s="12">
        <v>48955</v>
      </c>
      <c r="Z21" s="11">
        <v>112.30722091716883</v>
      </c>
      <c r="AA21" s="14">
        <v>707.53549177816365</v>
      </c>
      <c r="AB21" s="11">
        <v>2.4486861844984002E-2</v>
      </c>
      <c r="AC21" s="11">
        <v>0.46822602258405799</v>
      </c>
      <c r="AD21" s="15">
        <v>50912.413366691551</v>
      </c>
      <c r="AE21" s="11">
        <v>99.998795752079161</v>
      </c>
      <c r="AF21" s="11">
        <f>(Opti_Medias__30_OOS[[#This Row],[All: TS Index]]-AA$114) /ABS(AA$114)</f>
        <v>-0.50872227308630524</v>
      </c>
      <c r="AG21" s="11">
        <f>(Opti_Medias__30_OOS[[#This Row],[All: Expectancy Score]]-AB$114) /ABS(AB$114)</f>
        <v>-0.79843728784931001</v>
      </c>
      <c r="AH21" s="11"/>
      <c r="AI21" s="11">
        <f>(Opti_Medias__30_OOS[[#This Row],[All: Perfect Profit Correlation]]-AD$114) /ABS(AD$114)</f>
        <v>-0.41034889181599504</v>
      </c>
      <c r="AJ21" s="11">
        <f>(Opti_Medias__30_OOS[[#This Row],[All: Robustness Index]]-AE$114) /ABS(AE$114)</f>
        <v>-0.30116589928578397</v>
      </c>
      <c r="AK21" s="11">
        <f>SUM(Opti_Medias__30_OOS[[#This Row],[VAR TS Index]:[VAR Robustness Index]])</f>
        <v>-2.0186743520373942</v>
      </c>
      <c r="AL21" s="11">
        <f>Opti_Medias__30_OOS[[#This Row],[SUMA]]-Opti_Medias__30_OOS[[#This Row],[VAR Robustness Index]]</f>
        <v>-1.7175084527516102</v>
      </c>
    </row>
    <row r="22" spans="1:38" x14ac:dyDescent="0.25">
      <c r="A22" s="11"/>
      <c r="B22" s="17">
        <v>30</v>
      </c>
      <c r="C22" s="17">
        <v>1</v>
      </c>
      <c r="D22" s="17">
        <v>30</v>
      </c>
      <c r="E22" s="10">
        <v>53020</v>
      </c>
      <c r="F22" s="10">
        <v>808250</v>
      </c>
      <c r="G22" s="10">
        <v>-755230</v>
      </c>
      <c r="H22" s="17">
        <v>1581</v>
      </c>
      <c r="I22" s="11">
        <v>34.598355471220749</v>
      </c>
      <c r="J22" s="17">
        <v>547</v>
      </c>
      <c r="K22" s="17">
        <v>1025</v>
      </c>
      <c r="L22" s="12">
        <v>16570</v>
      </c>
      <c r="M22" s="12">
        <v>-5590</v>
      </c>
      <c r="N22" s="12">
        <v>1477.6051025390625</v>
      </c>
      <c r="O22" s="12">
        <v>-736.80975341796875</v>
      </c>
      <c r="P22" s="11">
        <v>2.005409260239345</v>
      </c>
      <c r="Q22" s="13">
        <v>33.535736875395322</v>
      </c>
      <c r="R22" s="17">
        <v>7</v>
      </c>
      <c r="S22" s="17">
        <v>13</v>
      </c>
      <c r="T22" s="17">
        <v>68</v>
      </c>
      <c r="U22" s="17">
        <v>25</v>
      </c>
      <c r="V22" s="12">
        <v>-51505</v>
      </c>
      <c r="W22" s="11">
        <v>1.070203778981238</v>
      </c>
      <c r="X22" s="17">
        <v>1</v>
      </c>
      <c r="Y22" s="12">
        <v>51505</v>
      </c>
      <c r="Z22" s="11">
        <v>102.94146199398116</v>
      </c>
      <c r="AA22" s="14">
        <v>563.08979710707695</v>
      </c>
      <c r="AB22" s="11">
        <v>5.2891100904411001E-2</v>
      </c>
      <c r="AC22" s="11">
        <v>0.42051147525538002</v>
      </c>
      <c r="AD22" s="15">
        <v>40301.76692513789</v>
      </c>
      <c r="AE22" s="11">
        <v>96.40384787783178</v>
      </c>
      <c r="AF22" s="11">
        <f>(Opti_Medias__30_OOS[[#This Row],[All: TS Index]]-AA$114) /ABS(AA$114)</f>
        <v>-0.60901823472370442</v>
      </c>
      <c r="AG22" s="11">
        <f>(Opti_Medias__30_OOS[[#This Row],[All: Expectancy Score]]-AB$114) /ABS(AB$114)</f>
        <v>-0.5646288277191911</v>
      </c>
      <c r="AH22" s="11"/>
      <c r="AI22" s="11">
        <f>(Opti_Medias__30_OOS[[#This Row],[All: Perfect Profit Correlation]]-AD$114) /ABS(AD$114)</f>
        <v>-0.53323796776194166</v>
      </c>
      <c r="AJ22" s="11">
        <f>(Opti_Medias__30_OOS[[#This Row],[All: Robustness Index]]-AE$114) /ABS(AE$114)</f>
        <v>-0.32628892347742194</v>
      </c>
      <c r="AK22" s="11">
        <f>SUM(Opti_Medias__30_OOS[[#This Row],[VAR TS Index]:[VAR Robustness Index]])</f>
        <v>-2.0331739536822591</v>
      </c>
      <c r="AL22" s="11">
        <f>Opti_Medias__30_OOS[[#This Row],[SUMA]]-Opti_Medias__30_OOS[[#This Row],[VAR Robustness Index]]</f>
        <v>-1.7068850302048371</v>
      </c>
    </row>
    <row r="23" spans="1:38" x14ac:dyDescent="0.25">
      <c r="A23" s="11"/>
      <c r="B23" s="17">
        <v>34</v>
      </c>
      <c r="C23" s="17">
        <v>1</v>
      </c>
      <c r="D23" s="17">
        <v>34</v>
      </c>
      <c r="E23" s="10">
        <v>50030</v>
      </c>
      <c r="F23" s="10">
        <v>829620</v>
      </c>
      <c r="G23" s="10">
        <v>-779590</v>
      </c>
      <c r="H23" s="17">
        <v>1697</v>
      </c>
      <c r="I23" s="11">
        <v>32.351208014142607</v>
      </c>
      <c r="J23" s="17">
        <v>549</v>
      </c>
      <c r="K23" s="17">
        <v>1137</v>
      </c>
      <c r="L23" s="12">
        <v>15820</v>
      </c>
      <c r="M23" s="12">
        <v>-5370</v>
      </c>
      <c r="N23" s="12">
        <v>1511.1475830078125</v>
      </c>
      <c r="O23" s="12">
        <v>-685.65521240234375</v>
      </c>
      <c r="P23" s="11">
        <v>2.2039467587698698</v>
      </c>
      <c r="Q23" s="13">
        <v>29.481437831467296</v>
      </c>
      <c r="R23" s="17">
        <v>7</v>
      </c>
      <c r="S23" s="17">
        <v>15</v>
      </c>
      <c r="T23" s="17">
        <v>68</v>
      </c>
      <c r="U23" s="17">
        <v>23</v>
      </c>
      <c r="V23" s="12">
        <v>-40075</v>
      </c>
      <c r="W23" s="11">
        <v>1.0641747585269179</v>
      </c>
      <c r="X23" s="17">
        <v>1</v>
      </c>
      <c r="Y23" s="12">
        <v>40075</v>
      </c>
      <c r="Z23" s="11">
        <v>124.84092326887087</v>
      </c>
      <c r="AA23" s="14">
        <v>685.37666874610102</v>
      </c>
      <c r="AB23" s="11">
        <v>6.4723488268801005E-2</v>
      </c>
      <c r="AC23" s="11">
        <v>0.37742585270489998</v>
      </c>
      <c r="AD23" s="15">
        <v>37349.302792146125</v>
      </c>
      <c r="AE23" s="11">
        <v>68.677664463737315</v>
      </c>
      <c r="AF23" s="11">
        <f>(Opti_Medias__30_OOS[[#This Row],[All: TS Index]]-AA$114) /ABS(AA$114)</f>
        <v>-0.52410826620859474</v>
      </c>
      <c r="AG23" s="11">
        <f>(Opti_Medias__30_OOS[[#This Row],[All: Expectancy Score]]-AB$114) /ABS(AB$114)</f>
        <v>-0.46723096173365841</v>
      </c>
      <c r="AH23" s="11"/>
      <c r="AI23" s="11">
        <f>(Opti_Medias__30_OOS[[#This Row],[All: Perfect Profit Correlation]]-AD$114) /ABS(AD$114)</f>
        <v>-0.56743245261877395</v>
      </c>
      <c r="AJ23" s="11">
        <f>(Opti_Medias__30_OOS[[#This Row],[All: Robustness Index]]-AE$114) /ABS(AE$114)</f>
        <v>-0.52005128138084955</v>
      </c>
      <c r="AK23" s="11">
        <f>SUM(Opti_Medias__30_OOS[[#This Row],[VAR TS Index]:[VAR Robustness Index]])</f>
        <v>-2.078822961941877</v>
      </c>
      <c r="AL23" s="11">
        <f>Opti_Medias__30_OOS[[#This Row],[SUMA]]-Opti_Medias__30_OOS[[#This Row],[VAR Robustness Index]]</f>
        <v>-1.5587716805610274</v>
      </c>
    </row>
    <row r="24" spans="1:38" x14ac:dyDescent="0.25">
      <c r="A24" s="11"/>
      <c r="B24" s="17">
        <v>4</v>
      </c>
      <c r="C24" s="17">
        <v>8</v>
      </c>
      <c r="D24" s="17">
        <v>319</v>
      </c>
      <c r="E24" s="10">
        <v>53100</v>
      </c>
      <c r="F24" s="10">
        <v>912450</v>
      </c>
      <c r="G24" s="10">
        <v>-859350</v>
      </c>
      <c r="H24" s="17">
        <v>1769</v>
      </c>
      <c r="I24" s="11">
        <v>37.817976257772756</v>
      </c>
      <c r="J24" s="17">
        <v>669</v>
      </c>
      <c r="K24" s="17">
        <v>1091</v>
      </c>
      <c r="L24" s="12">
        <v>17530</v>
      </c>
      <c r="M24" s="12">
        <v>-6470</v>
      </c>
      <c r="N24" s="12">
        <v>1363.9013671875</v>
      </c>
      <c r="O24" s="12">
        <v>-787.671875</v>
      </c>
      <c r="P24" s="11">
        <v>1.731560324135605</v>
      </c>
      <c r="Q24" s="13">
        <v>30.016958733747881</v>
      </c>
      <c r="R24" s="17">
        <v>9</v>
      </c>
      <c r="S24" s="17">
        <v>19</v>
      </c>
      <c r="T24" s="17">
        <v>54</v>
      </c>
      <c r="U24" s="17">
        <v>25</v>
      </c>
      <c r="V24" s="12">
        <v>-36945</v>
      </c>
      <c r="W24" s="11">
        <v>1.06179088846221</v>
      </c>
      <c r="X24" s="17">
        <v>1</v>
      </c>
      <c r="Y24" s="12">
        <v>36945</v>
      </c>
      <c r="Z24" s="11">
        <v>143.72716199756394</v>
      </c>
      <c r="AA24" s="14">
        <v>961.53471376370283</v>
      </c>
      <c r="AB24" s="11">
        <v>4.7910247358823002E-2</v>
      </c>
      <c r="AC24" s="11">
        <v>0.43839674202455697</v>
      </c>
      <c r="AD24" s="15">
        <v>40764.745486297637</v>
      </c>
      <c r="AE24" s="11">
        <v>44.689531920847223</v>
      </c>
      <c r="AF24" s="11">
        <f>(Opti_Medias__30_OOS[[#This Row],[All: TS Index]]-AA$114) /ABS(AA$114)</f>
        <v>-0.33235774881163227</v>
      </c>
      <c r="AG24" s="11">
        <f>(Opti_Medias__30_OOS[[#This Row],[All: Expectancy Score]]-AB$114) /ABS(AB$114)</f>
        <v>-0.60562854241639108</v>
      </c>
      <c r="AH24" s="11"/>
      <c r="AI24" s="11">
        <f>(Opti_Medias__30_OOS[[#This Row],[All: Perfect Profit Correlation]]-AD$114) /ABS(AD$114)</f>
        <v>-0.52787589977889282</v>
      </c>
      <c r="AJ24" s="11">
        <f>(Opti_Medias__30_OOS[[#This Row],[All: Robustness Index]]-AE$114) /ABS(AE$114)</f>
        <v>-0.68769055050750261</v>
      </c>
      <c r="AK24" s="11">
        <f>SUM(Opti_Medias__30_OOS[[#This Row],[VAR TS Index]:[VAR Robustness Index]])</f>
        <v>-2.1535527415144187</v>
      </c>
      <c r="AL24" s="11">
        <f>Opti_Medias__30_OOS[[#This Row],[SUMA]]-Opti_Medias__30_OOS[[#This Row],[VAR Robustness Index]]</f>
        <v>-1.4658621910069161</v>
      </c>
    </row>
    <row r="25" spans="1:38" x14ac:dyDescent="0.25">
      <c r="A25" s="11"/>
      <c r="B25" s="17">
        <v>31</v>
      </c>
      <c r="C25" s="17">
        <v>1</v>
      </c>
      <c r="D25" s="17">
        <v>31</v>
      </c>
      <c r="E25" s="10">
        <v>54460</v>
      </c>
      <c r="F25" s="10">
        <v>813770</v>
      </c>
      <c r="G25" s="10">
        <v>-759310</v>
      </c>
      <c r="H25" s="17">
        <v>1597</v>
      </c>
      <c r="I25" s="11">
        <v>33.500313087038194</v>
      </c>
      <c r="J25" s="17">
        <v>535</v>
      </c>
      <c r="K25" s="17">
        <v>1055</v>
      </c>
      <c r="L25" s="12">
        <v>15890</v>
      </c>
      <c r="M25" s="12">
        <v>-5590</v>
      </c>
      <c r="N25" s="12">
        <v>1521.0654296875</v>
      </c>
      <c r="O25" s="12">
        <v>-719.72509765625</v>
      </c>
      <c r="P25" s="11">
        <v>2.1133977884622559</v>
      </c>
      <c r="Q25" s="13">
        <v>34.101440200375706</v>
      </c>
      <c r="R25" s="17">
        <v>7</v>
      </c>
      <c r="S25" s="17">
        <v>15</v>
      </c>
      <c r="T25" s="17">
        <v>69</v>
      </c>
      <c r="U25" s="17">
        <v>24</v>
      </c>
      <c r="V25" s="12">
        <v>-52055</v>
      </c>
      <c r="W25" s="11">
        <v>1.0717230116816581</v>
      </c>
      <c r="X25" s="17">
        <v>1</v>
      </c>
      <c r="Y25" s="12">
        <v>52055</v>
      </c>
      <c r="Z25" s="11">
        <v>104.62011334165786</v>
      </c>
      <c r="AA25" s="14">
        <v>559.71760637786952</v>
      </c>
      <c r="AB25" s="11">
        <v>4.3026288163637003E-2</v>
      </c>
      <c r="AC25" s="11">
        <v>0.42654876277815201</v>
      </c>
      <c r="AD25" s="15">
        <v>39743.577705251621</v>
      </c>
      <c r="AE25" s="11">
        <v>90.852294861167067</v>
      </c>
      <c r="AF25" s="11">
        <f>(Opti_Medias__30_OOS[[#This Row],[All: TS Index]]-AA$114) /ABS(AA$114)</f>
        <v>-0.61135971754034868</v>
      </c>
      <c r="AG25" s="11">
        <f>(Opti_Medias__30_OOS[[#This Row],[All: Expectancy Score]]-AB$114) /ABS(AB$114)</f>
        <v>-0.64583067479443801</v>
      </c>
      <c r="AH25" s="11"/>
      <c r="AI25" s="11">
        <f>(Opti_Medias__30_OOS[[#This Row],[All: Perfect Profit Correlation]]-AD$114) /ABS(AD$114)</f>
        <v>-0.53970273480631115</v>
      </c>
      <c r="AJ25" s="11">
        <f>(Opti_Medias__30_OOS[[#This Row],[All: Robustness Index]]-AE$114) /ABS(AE$114)</f>
        <v>-0.3650855362845068</v>
      </c>
      <c r="AK25" s="11">
        <f>SUM(Opti_Medias__30_OOS[[#This Row],[VAR TS Index]:[VAR Robustness Index]])</f>
        <v>-2.1619786634256046</v>
      </c>
      <c r="AL25" s="11">
        <f>Opti_Medias__30_OOS[[#This Row],[SUMA]]-Opti_Medias__30_OOS[[#This Row],[VAR Robustness Index]]</f>
        <v>-1.7968931271410979</v>
      </c>
    </row>
    <row r="26" spans="1:38" x14ac:dyDescent="0.25">
      <c r="A26" s="11"/>
      <c r="B26" s="17">
        <v>9</v>
      </c>
      <c r="C26" s="17">
        <v>3</v>
      </c>
      <c r="D26" s="17">
        <v>99</v>
      </c>
      <c r="E26" s="10">
        <v>58410</v>
      </c>
      <c r="F26" s="10">
        <v>842840</v>
      </c>
      <c r="G26" s="10">
        <v>-784430</v>
      </c>
      <c r="H26" s="17">
        <v>1570</v>
      </c>
      <c r="I26" s="11">
        <v>42.611464968152866</v>
      </c>
      <c r="J26" s="17">
        <v>669</v>
      </c>
      <c r="K26" s="17">
        <v>890</v>
      </c>
      <c r="L26" s="12">
        <v>15630</v>
      </c>
      <c r="M26" s="12">
        <v>-4650</v>
      </c>
      <c r="N26" s="12">
        <v>1259.8504638671875</v>
      </c>
      <c r="O26" s="12">
        <v>-881.38201904296875</v>
      </c>
      <c r="P26" s="11">
        <v>1.4294034103794979</v>
      </c>
      <c r="Q26" s="13">
        <v>37.203821656050955</v>
      </c>
      <c r="R26" s="17">
        <v>8</v>
      </c>
      <c r="S26" s="17">
        <v>10</v>
      </c>
      <c r="T26" s="17">
        <v>49</v>
      </c>
      <c r="U26" s="17">
        <v>34</v>
      </c>
      <c r="V26" s="12">
        <v>-70655</v>
      </c>
      <c r="W26" s="11">
        <v>1.074461711051337</v>
      </c>
      <c r="X26" s="17">
        <v>1</v>
      </c>
      <c r="Y26" s="12">
        <v>70655</v>
      </c>
      <c r="Z26" s="11">
        <v>82.669308612270896</v>
      </c>
      <c r="AA26" s="14">
        <v>553.0576746160923</v>
      </c>
      <c r="AB26" s="11">
        <v>3.9925567017172002E-2</v>
      </c>
      <c r="AC26" s="11">
        <v>0.52118076329677898</v>
      </c>
      <c r="AD26" s="15">
        <v>48391.376050090796</v>
      </c>
      <c r="AE26" s="11">
        <v>65.261396272554975</v>
      </c>
      <c r="AF26" s="11">
        <f>(Opti_Medias__30_OOS[[#This Row],[All: TS Index]]-AA$114) /ABS(AA$114)</f>
        <v>-0.61598404547208729</v>
      </c>
      <c r="AG26" s="11">
        <f>(Opti_Medias__30_OOS[[#This Row],[All: Expectancy Score]]-AB$114) /ABS(AB$114)</f>
        <v>-0.67135414807006744</v>
      </c>
      <c r="AH26" s="11"/>
      <c r="AI26" s="11">
        <f>(Opti_Medias__30_OOS[[#This Row],[All: Perfect Profit Correlation]]-AD$114) /ABS(AD$114)</f>
        <v>-0.43954673079487555</v>
      </c>
      <c r="AJ26" s="11">
        <f>(Opti_Medias__30_OOS[[#This Row],[All: Robustness Index]]-AE$114) /ABS(AE$114)</f>
        <v>-0.54392561597886246</v>
      </c>
      <c r="AK26" s="11">
        <f>SUM(Opti_Medias__30_OOS[[#This Row],[VAR TS Index]:[VAR Robustness Index]])</f>
        <v>-2.2708105403158929</v>
      </c>
      <c r="AL26" s="11">
        <f>Opti_Medias__30_OOS[[#This Row],[SUMA]]-Opti_Medias__30_OOS[[#This Row],[VAR Robustness Index]]</f>
        <v>-1.7268849243370306</v>
      </c>
    </row>
    <row r="27" spans="1:38" x14ac:dyDescent="0.25">
      <c r="A27" s="11"/>
      <c r="B27" s="17">
        <v>21</v>
      </c>
      <c r="C27" s="17">
        <v>8</v>
      </c>
      <c r="D27" s="17">
        <v>336</v>
      </c>
      <c r="E27" s="10">
        <v>51970</v>
      </c>
      <c r="F27" s="10">
        <v>822850</v>
      </c>
      <c r="G27" s="10">
        <v>-770880</v>
      </c>
      <c r="H27" s="17">
        <v>1541</v>
      </c>
      <c r="I27" s="11">
        <v>33.160285528877353</v>
      </c>
      <c r="J27" s="17">
        <v>511</v>
      </c>
      <c r="K27" s="17">
        <v>1023</v>
      </c>
      <c r="L27" s="12">
        <v>15250</v>
      </c>
      <c r="M27" s="12">
        <v>-5240</v>
      </c>
      <c r="N27" s="12">
        <v>1610.27392578125</v>
      </c>
      <c r="O27" s="12">
        <v>-753.54840087890625</v>
      </c>
      <c r="P27" s="11">
        <v>2.1369216946158951</v>
      </c>
      <c r="Q27" s="13">
        <v>33.724853990914987</v>
      </c>
      <c r="R27" s="17">
        <v>7</v>
      </c>
      <c r="S27" s="17">
        <v>13</v>
      </c>
      <c r="T27" s="17">
        <v>74</v>
      </c>
      <c r="U27" s="17">
        <v>25</v>
      </c>
      <c r="V27" s="12">
        <v>-37865</v>
      </c>
      <c r="W27" s="11">
        <v>1.0674164591116651</v>
      </c>
      <c r="X27" s="17">
        <v>1</v>
      </c>
      <c r="Y27" s="12">
        <v>37865</v>
      </c>
      <c r="Z27" s="11">
        <v>137.25075927637661</v>
      </c>
      <c r="AA27" s="14">
        <v>701.35137990228441</v>
      </c>
      <c r="AB27" s="11">
        <v>4.1493919953845999E-2</v>
      </c>
      <c r="AC27" s="11">
        <v>0.39671030413639702</v>
      </c>
      <c r="AD27" s="15">
        <v>38803.316593532661</v>
      </c>
      <c r="AE27" s="11">
        <v>61.860441680839493</v>
      </c>
      <c r="AF27" s="11">
        <f>(Opti_Medias__30_OOS[[#This Row],[All: TS Index]]-AA$114) /ABS(AA$114)</f>
        <v>-0.51301621517213136</v>
      </c>
      <c r="AG27" s="11">
        <f>(Opti_Medias__30_OOS[[#This Row],[All: Expectancy Score]]-AB$114) /ABS(AB$114)</f>
        <v>-0.65844430794736253</v>
      </c>
      <c r="AH27" s="11"/>
      <c r="AI27" s="11">
        <f>(Opti_Medias__30_OOS[[#This Row],[All: Perfect Profit Correlation]]-AD$114) /ABS(AD$114)</f>
        <v>-0.55059253495218541</v>
      </c>
      <c r="AJ27" s="11">
        <f>(Opti_Medias__30_OOS[[#This Row],[All: Robustness Index]]-AE$114) /ABS(AE$114)</f>
        <v>-0.56769293263299281</v>
      </c>
      <c r="AK27" s="11">
        <f>SUM(Opti_Medias__30_OOS[[#This Row],[VAR TS Index]:[VAR Robustness Index]])</f>
        <v>-2.289745990704672</v>
      </c>
      <c r="AL27" s="11">
        <f>Opti_Medias__30_OOS[[#This Row],[SUMA]]-Opti_Medias__30_OOS[[#This Row],[VAR Robustness Index]]</f>
        <v>-1.7220530580716793</v>
      </c>
    </row>
    <row r="28" spans="1:38" x14ac:dyDescent="0.25">
      <c r="A28" s="11"/>
      <c r="B28" s="17">
        <v>16</v>
      </c>
      <c r="C28" s="17">
        <v>1</v>
      </c>
      <c r="D28" s="17">
        <v>16</v>
      </c>
      <c r="E28" s="10">
        <v>50810</v>
      </c>
      <c r="F28" s="10">
        <v>802080</v>
      </c>
      <c r="G28" s="10">
        <v>-751270</v>
      </c>
      <c r="H28" s="17">
        <v>1578</v>
      </c>
      <c r="I28" s="11">
        <v>38.022813688212928</v>
      </c>
      <c r="J28" s="17">
        <v>600</v>
      </c>
      <c r="K28" s="17">
        <v>969</v>
      </c>
      <c r="L28" s="12">
        <v>14980</v>
      </c>
      <c r="M28" s="12">
        <v>-7420</v>
      </c>
      <c r="N28" s="12">
        <v>1336.800048828125</v>
      </c>
      <c r="O28" s="12">
        <v>-775.304443359375</v>
      </c>
      <c r="P28" s="11">
        <v>1.724225960882932</v>
      </c>
      <c r="Q28" s="13">
        <v>32.198986058301649</v>
      </c>
      <c r="R28" s="17">
        <v>9</v>
      </c>
      <c r="S28" s="17">
        <v>11</v>
      </c>
      <c r="T28" s="17">
        <v>61</v>
      </c>
      <c r="U28" s="17">
        <v>27</v>
      </c>
      <c r="V28" s="12">
        <v>-44435</v>
      </c>
      <c r="W28" s="11">
        <v>1.0676321429046809</v>
      </c>
      <c r="X28" s="17">
        <v>1</v>
      </c>
      <c r="Y28" s="12">
        <v>44435</v>
      </c>
      <c r="Z28" s="11">
        <v>114.34679869472262</v>
      </c>
      <c r="AA28" s="14">
        <v>686.08079216833573</v>
      </c>
      <c r="AB28" s="11">
        <v>2.2721068620886999E-2</v>
      </c>
      <c r="AC28" s="11">
        <v>0.42199490629049602</v>
      </c>
      <c r="AD28" s="15">
        <v>37885.872676657033</v>
      </c>
      <c r="AE28" s="11">
        <v>79.229029288627814</v>
      </c>
      <c r="AF28" s="11">
        <f>(Opti_Medias__30_OOS[[#This Row],[All: TS Index]]-AA$114) /ABS(AA$114)</f>
        <v>-0.52361935765437817</v>
      </c>
      <c r="AG28" s="11">
        <f>(Opti_Medias__30_OOS[[#This Row],[All: Expectancy Score]]-AB$114) /ABS(AB$114)</f>
        <v>-0.81297235051268724</v>
      </c>
      <c r="AH28" s="11"/>
      <c r="AI28" s="11">
        <f>(Opti_Medias__30_OOS[[#This Row],[All: Perfect Profit Correlation]]-AD$114) /ABS(AD$114)</f>
        <v>-0.56121807372572763</v>
      </c>
      <c r="AJ28" s="11">
        <f>(Opti_Medias__30_OOS[[#This Row],[All: Robustness Index]]-AE$114) /ABS(AE$114)</f>
        <v>-0.44631385791236089</v>
      </c>
      <c r="AK28" s="11">
        <f>SUM(Opti_Medias__30_OOS[[#This Row],[VAR TS Index]:[VAR Robustness Index]])</f>
        <v>-2.3441236398051535</v>
      </c>
      <c r="AL28" s="11">
        <f>Opti_Medias__30_OOS[[#This Row],[SUMA]]-Opti_Medias__30_OOS[[#This Row],[VAR Robustness Index]]</f>
        <v>-1.8978097818927926</v>
      </c>
    </row>
    <row r="29" spans="1:38" x14ac:dyDescent="0.25">
      <c r="A29" s="11"/>
      <c r="B29" s="17">
        <v>33</v>
      </c>
      <c r="C29" s="17">
        <v>8</v>
      </c>
      <c r="D29" s="17">
        <v>348</v>
      </c>
      <c r="E29" s="10">
        <v>52470</v>
      </c>
      <c r="F29" s="10">
        <v>839210</v>
      </c>
      <c r="G29" s="10">
        <v>-786740</v>
      </c>
      <c r="H29" s="17">
        <v>1701</v>
      </c>
      <c r="I29" s="11">
        <v>30.276308054085831</v>
      </c>
      <c r="J29" s="17">
        <v>515</v>
      </c>
      <c r="K29" s="17">
        <v>1182</v>
      </c>
      <c r="L29" s="12">
        <v>15250</v>
      </c>
      <c r="M29" s="12">
        <v>-3670</v>
      </c>
      <c r="N29" s="12">
        <v>1629.533935546875</v>
      </c>
      <c r="O29" s="12">
        <v>-665.60064697265625</v>
      </c>
      <c r="P29" s="11">
        <v>2.448215672503423</v>
      </c>
      <c r="Q29" s="13">
        <v>30.846560846560848</v>
      </c>
      <c r="R29" s="17">
        <v>7</v>
      </c>
      <c r="S29" s="17">
        <v>18</v>
      </c>
      <c r="T29" s="17">
        <v>74</v>
      </c>
      <c r="U29" s="17">
        <v>21</v>
      </c>
      <c r="V29" s="12">
        <v>-33645</v>
      </c>
      <c r="W29" s="11">
        <v>1.0666929354043271</v>
      </c>
      <c r="X29" s="17">
        <v>1</v>
      </c>
      <c r="Y29" s="12">
        <v>33645</v>
      </c>
      <c r="Z29" s="11">
        <v>155.95185020062416</v>
      </c>
      <c r="AA29" s="14">
        <v>803.15202853321443</v>
      </c>
      <c r="AB29" s="11">
        <v>6.0551377941549999E-3</v>
      </c>
      <c r="AC29" s="11">
        <v>0.38373491300611401</v>
      </c>
      <c r="AD29" s="15">
        <v>42131.690445414657</v>
      </c>
      <c r="AE29" s="11">
        <v>78.896576077939045</v>
      </c>
      <c r="AF29" s="11">
        <f>(Opti_Medias__30_OOS[[#This Row],[All: TS Index]]-AA$114) /ABS(AA$114)</f>
        <v>-0.44233086886949868</v>
      </c>
      <c r="AG29" s="11">
        <f>(Opti_Medias__30_OOS[[#This Row],[All: Expectancy Score]]-AB$114) /ABS(AB$114)</f>
        <v>-0.95015735360609155</v>
      </c>
      <c r="AH29" s="11"/>
      <c r="AI29" s="11">
        <f>(Opti_Medias__30_OOS[[#This Row],[All: Perfect Profit Correlation]]-AD$114) /ABS(AD$114)</f>
        <v>-0.51204438528822027</v>
      </c>
      <c r="AJ29" s="11">
        <f>(Opti_Medias__30_OOS[[#This Row],[All: Robustness Index]]-AE$114) /ABS(AE$114)</f>
        <v>-0.4486371822961589</v>
      </c>
      <c r="AK29" s="11">
        <f>SUM(Opti_Medias__30_OOS[[#This Row],[VAR TS Index]:[VAR Robustness Index]])</f>
        <v>-2.3531697900599693</v>
      </c>
      <c r="AL29" s="11">
        <f>Opti_Medias__30_OOS[[#This Row],[SUMA]]-Opti_Medias__30_OOS[[#This Row],[VAR Robustness Index]]</f>
        <v>-1.9045326077638105</v>
      </c>
    </row>
    <row r="30" spans="1:38" x14ac:dyDescent="0.25">
      <c r="A30" s="11"/>
      <c r="B30" s="17">
        <v>34</v>
      </c>
      <c r="C30" s="17">
        <v>8</v>
      </c>
      <c r="D30" s="17">
        <v>349</v>
      </c>
      <c r="E30" s="10">
        <v>44550</v>
      </c>
      <c r="F30" s="10">
        <v>839690</v>
      </c>
      <c r="G30" s="10">
        <v>-795140</v>
      </c>
      <c r="H30" s="17">
        <v>1743</v>
      </c>
      <c r="I30" s="11">
        <v>29.833620195065979</v>
      </c>
      <c r="J30" s="17">
        <v>520</v>
      </c>
      <c r="K30" s="17">
        <v>1216</v>
      </c>
      <c r="L30" s="12">
        <v>15250</v>
      </c>
      <c r="M30" s="12">
        <v>-3340</v>
      </c>
      <c r="N30" s="12">
        <v>1614.7884521484375</v>
      </c>
      <c r="O30" s="12">
        <v>-653.89801025390625</v>
      </c>
      <c r="P30" s="11">
        <v>2.46948060221413</v>
      </c>
      <c r="Q30" s="13">
        <v>25.559380378657487</v>
      </c>
      <c r="R30" s="17">
        <v>7</v>
      </c>
      <c r="S30" s="17">
        <v>18</v>
      </c>
      <c r="T30" s="17">
        <v>74</v>
      </c>
      <c r="U30" s="17">
        <v>20</v>
      </c>
      <c r="V30" s="12">
        <v>-39685</v>
      </c>
      <c r="W30" s="11">
        <v>1.0560278693060341</v>
      </c>
      <c r="X30" s="17">
        <v>1</v>
      </c>
      <c r="Y30" s="12">
        <v>39685</v>
      </c>
      <c r="Z30" s="11">
        <v>112.25903993952375</v>
      </c>
      <c r="AA30" s="14">
        <v>583.7470076855235</v>
      </c>
      <c r="AB30" s="11">
        <v>3.4779084864431001E-2</v>
      </c>
      <c r="AC30" s="11">
        <v>0.30529360917133702</v>
      </c>
      <c r="AD30" s="15">
        <v>31766.734727533712</v>
      </c>
      <c r="AE30" s="11">
        <v>69.850456345877646</v>
      </c>
      <c r="AF30" s="11">
        <f>(Opti_Medias__30_OOS[[#This Row],[All: TS Index]]-AA$114) /ABS(AA$114)</f>
        <v>-0.59467488718102224</v>
      </c>
      <c r="AG30" s="11">
        <f>(Opti_Medias__30_OOS[[#This Row],[All: Expectancy Score]]-AB$114) /ABS(AB$114)</f>
        <v>-0.71371722861948839</v>
      </c>
      <c r="AH30" s="11"/>
      <c r="AI30" s="11">
        <f>(Opti_Medias__30_OOS[[#This Row],[All: Perfect Profit Correlation]]-AD$114) /ABS(AD$114)</f>
        <v>-0.63208795072102897</v>
      </c>
      <c r="AJ30" s="11">
        <f>(Opti_Medias__30_OOS[[#This Row],[All: Robustness Index]]-AE$114) /ABS(AE$114)</f>
        <v>-0.51185531307826693</v>
      </c>
      <c r="AK30" s="11">
        <f>SUM(Opti_Medias__30_OOS[[#This Row],[VAR TS Index]:[VAR Robustness Index]])</f>
        <v>-2.4523353795998064</v>
      </c>
      <c r="AL30" s="11">
        <f>Opti_Medias__30_OOS[[#This Row],[SUMA]]-Opti_Medias__30_OOS[[#This Row],[VAR Robustness Index]]</f>
        <v>-1.9404800665215394</v>
      </c>
    </row>
    <row r="31" spans="1:38" x14ac:dyDescent="0.25">
      <c r="A31" s="11"/>
      <c r="B31" s="17">
        <v>24</v>
      </c>
      <c r="C31" s="17">
        <v>8</v>
      </c>
      <c r="D31" s="17">
        <v>339</v>
      </c>
      <c r="E31" s="10">
        <v>44250</v>
      </c>
      <c r="F31" s="10">
        <v>811020</v>
      </c>
      <c r="G31" s="10">
        <v>-766770</v>
      </c>
      <c r="H31" s="17">
        <v>1553</v>
      </c>
      <c r="I31" s="11">
        <v>32.839665164198323</v>
      </c>
      <c r="J31" s="17">
        <v>510</v>
      </c>
      <c r="K31" s="17">
        <v>1037</v>
      </c>
      <c r="L31" s="12">
        <v>15250</v>
      </c>
      <c r="M31" s="12">
        <v>-5240</v>
      </c>
      <c r="N31" s="12">
        <v>1590.2353515625</v>
      </c>
      <c r="O31" s="12">
        <v>-739.4117431640625</v>
      </c>
      <c r="P31" s="11">
        <v>2.150676353553199</v>
      </c>
      <c r="Q31" s="13">
        <v>28.493238892466195</v>
      </c>
      <c r="R31" s="17">
        <v>7</v>
      </c>
      <c r="S31" s="17">
        <v>12</v>
      </c>
      <c r="T31" s="17">
        <v>74</v>
      </c>
      <c r="U31" s="17">
        <v>24</v>
      </c>
      <c r="V31" s="12">
        <v>-34065</v>
      </c>
      <c r="W31" s="11">
        <v>1.0577096130521539</v>
      </c>
      <c r="X31" s="17">
        <v>1</v>
      </c>
      <c r="Y31" s="12">
        <v>34065</v>
      </c>
      <c r="Z31" s="11">
        <v>129.89872302950243</v>
      </c>
      <c r="AA31" s="14">
        <v>662.48348745046235</v>
      </c>
      <c r="AB31" s="11">
        <v>3.1361970803081E-2</v>
      </c>
      <c r="AC31" s="11">
        <v>0.32148326576990099</v>
      </c>
      <c r="AD31" s="15">
        <v>34119.488061017495</v>
      </c>
      <c r="AE31" s="11">
        <v>58.642266925346412</v>
      </c>
      <c r="AF31" s="11">
        <f>(Opti_Medias__30_OOS[[#This Row],[All: TS Index]]-AA$114) /ABS(AA$114)</f>
        <v>-0.54000416146676622</v>
      </c>
      <c r="AG31" s="11">
        <f>(Opti_Medias__30_OOS[[#This Row],[All: Expectancy Score]]-AB$114) /ABS(AB$114)</f>
        <v>-0.74184507865981741</v>
      </c>
      <c r="AH31" s="11"/>
      <c r="AI31" s="11">
        <f>(Opti_Medias__30_OOS[[#This Row],[All: Perfect Profit Correlation]]-AD$114) /ABS(AD$114)</f>
        <v>-0.60483912241700788</v>
      </c>
      <c r="AJ31" s="11">
        <f>(Opti_Medias__30_OOS[[#This Row],[All: Robustness Index]]-AE$114) /ABS(AE$114)</f>
        <v>-0.59018290607999258</v>
      </c>
      <c r="AK31" s="11">
        <f>SUM(Opti_Medias__30_OOS[[#This Row],[VAR TS Index]:[VAR Robustness Index]])</f>
        <v>-2.4768712686235839</v>
      </c>
      <c r="AL31" s="11">
        <f>Opti_Medias__30_OOS[[#This Row],[SUMA]]-Opti_Medias__30_OOS[[#This Row],[VAR Robustness Index]]</f>
        <v>-1.8866883625435913</v>
      </c>
    </row>
    <row r="32" spans="1:38" x14ac:dyDescent="0.25">
      <c r="A32" s="11"/>
      <c r="B32" s="17">
        <v>10</v>
      </c>
      <c r="C32" s="17">
        <v>8</v>
      </c>
      <c r="D32" s="17">
        <v>325</v>
      </c>
      <c r="E32" s="10">
        <v>42490</v>
      </c>
      <c r="F32" s="10">
        <v>864550</v>
      </c>
      <c r="G32" s="10">
        <v>-822060</v>
      </c>
      <c r="H32" s="17">
        <v>1695</v>
      </c>
      <c r="I32" s="11">
        <v>35.752212389380531</v>
      </c>
      <c r="J32" s="17">
        <v>606</v>
      </c>
      <c r="K32" s="17">
        <v>1082</v>
      </c>
      <c r="L32" s="12">
        <v>17280</v>
      </c>
      <c r="M32" s="12">
        <v>-6520</v>
      </c>
      <c r="N32" s="12">
        <v>1426.650146484375</v>
      </c>
      <c r="O32" s="12">
        <v>-759.75970458984375</v>
      </c>
      <c r="P32" s="11">
        <v>1.8777649536632799</v>
      </c>
      <c r="Q32" s="13">
        <v>25.067846607669615</v>
      </c>
      <c r="R32" s="17">
        <v>7</v>
      </c>
      <c r="S32" s="17">
        <v>12</v>
      </c>
      <c r="T32" s="17">
        <v>60</v>
      </c>
      <c r="U32" s="17">
        <v>25</v>
      </c>
      <c r="V32" s="12">
        <v>-41285</v>
      </c>
      <c r="W32" s="11">
        <v>1.0516872247767799</v>
      </c>
      <c r="X32" s="17">
        <v>1</v>
      </c>
      <c r="Y32" s="12">
        <v>41285</v>
      </c>
      <c r="Z32" s="11">
        <v>102.9187356182633</v>
      </c>
      <c r="AA32" s="14">
        <v>623.68753784667558</v>
      </c>
      <c r="AB32" s="11">
        <v>4.2729594796403002E-2</v>
      </c>
      <c r="AC32" s="11">
        <v>0.32361416701766899</v>
      </c>
      <c r="AD32" s="15">
        <v>34272.167700475416</v>
      </c>
      <c r="AE32" s="11">
        <v>41.655693230979821</v>
      </c>
      <c r="AF32" s="11">
        <f>(Opti_Medias__30_OOS[[#This Row],[All: TS Index]]-AA$114) /ABS(AA$114)</f>
        <v>-0.56694215419827776</v>
      </c>
      <c r="AG32" s="11">
        <f>(Opti_Medias__30_OOS[[#This Row],[All: Expectancy Score]]-AB$114) /ABS(AB$114)</f>
        <v>-0.64827289544955446</v>
      </c>
      <c r="AH32" s="11"/>
      <c r="AI32" s="11">
        <f>(Opti_Medias__30_OOS[[#This Row],[All: Perfect Profit Correlation]]-AD$114) /ABS(AD$114)</f>
        <v>-0.60307083620446711</v>
      </c>
      <c r="AJ32" s="11">
        <f>(Opti_Medias__30_OOS[[#This Row],[All: Robustness Index]]-AE$114) /ABS(AE$114)</f>
        <v>-0.70889230515464707</v>
      </c>
      <c r="AK32" s="11">
        <f>SUM(Opti_Medias__30_OOS[[#This Row],[VAR TS Index]:[VAR Robustness Index]])</f>
        <v>-2.5271781910069464</v>
      </c>
      <c r="AL32" s="11">
        <f>Opti_Medias__30_OOS[[#This Row],[SUMA]]-Opti_Medias__30_OOS[[#This Row],[VAR Robustness Index]]</f>
        <v>-1.8182858858522994</v>
      </c>
    </row>
    <row r="33" spans="1:38" x14ac:dyDescent="0.25">
      <c r="A33" s="11"/>
      <c r="B33" s="17">
        <v>20</v>
      </c>
      <c r="C33" s="17">
        <v>8</v>
      </c>
      <c r="D33" s="17">
        <v>335</v>
      </c>
      <c r="E33" s="10">
        <v>47240</v>
      </c>
      <c r="F33" s="10">
        <v>833060</v>
      </c>
      <c r="G33" s="10">
        <v>-785820</v>
      </c>
      <c r="H33" s="17">
        <v>1573</v>
      </c>
      <c r="I33" s="11">
        <v>32.422123331214237</v>
      </c>
      <c r="J33" s="17">
        <v>510</v>
      </c>
      <c r="K33" s="17">
        <v>1055</v>
      </c>
      <c r="L33" s="12">
        <v>15250</v>
      </c>
      <c r="M33" s="12">
        <v>-6210</v>
      </c>
      <c r="N33" s="12">
        <v>1633.450927734375</v>
      </c>
      <c r="O33" s="12">
        <v>-744.85308837890625</v>
      </c>
      <c r="P33" s="11">
        <v>2.1929840302997299</v>
      </c>
      <c r="Q33" s="13">
        <v>30.03178639542276</v>
      </c>
      <c r="R33" s="17">
        <v>7</v>
      </c>
      <c r="S33" s="17">
        <v>15</v>
      </c>
      <c r="T33" s="17">
        <v>73</v>
      </c>
      <c r="U33" s="17">
        <v>24</v>
      </c>
      <c r="V33" s="12">
        <v>-38615</v>
      </c>
      <c r="W33" s="11">
        <v>1.0601155480898929</v>
      </c>
      <c r="X33" s="17">
        <v>1</v>
      </c>
      <c r="Y33" s="12">
        <v>38615</v>
      </c>
      <c r="Z33" s="11">
        <v>122.33587983944064</v>
      </c>
      <c r="AA33" s="14">
        <v>623.91298718114717</v>
      </c>
      <c r="AB33" s="11">
        <v>3.2949188271703997E-2</v>
      </c>
      <c r="AC33" s="11">
        <v>0.34544879952970298</v>
      </c>
      <c r="AD33" s="15">
        <v>33653.905492043472</v>
      </c>
      <c r="AE33" s="11">
        <v>52.776119554542888</v>
      </c>
      <c r="AF33" s="11">
        <f>(Opti_Medias__30_OOS[[#This Row],[All: TS Index]]-AA$114) /ABS(AA$114)</f>
        <v>-0.56678561330688715</v>
      </c>
      <c r="AG33" s="11">
        <f>(Opti_Medias__30_OOS[[#This Row],[All: Expectancy Score]]-AB$114) /ABS(AB$114)</f>
        <v>-0.72877995582889266</v>
      </c>
      <c r="AH33" s="11"/>
      <c r="AI33" s="11">
        <f>(Opti_Medias__30_OOS[[#This Row],[All: Perfect Profit Correlation]]-AD$114) /ABS(AD$114)</f>
        <v>-0.61023134917650956</v>
      </c>
      <c r="AJ33" s="11">
        <f>(Opti_Medias__30_OOS[[#This Row],[All: Robustness Index]]-AE$114) /ABS(AE$114)</f>
        <v>-0.6311780379883416</v>
      </c>
      <c r="AK33" s="11">
        <f>SUM(Opti_Medias__30_OOS[[#This Row],[VAR TS Index]:[VAR Robustness Index]])</f>
        <v>-2.536974956300631</v>
      </c>
      <c r="AL33" s="11">
        <f>Opti_Medias__30_OOS[[#This Row],[SUMA]]-Opti_Medias__30_OOS[[#This Row],[VAR Robustness Index]]</f>
        <v>-1.9057969183122894</v>
      </c>
    </row>
    <row r="34" spans="1:38" x14ac:dyDescent="0.25">
      <c r="A34" s="11"/>
      <c r="B34" s="17">
        <v>18</v>
      </c>
      <c r="C34" s="17">
        <v>8</v>
      </c>
      <c r="D34" s="17">
        <v>333</v>
      </c>
      <c r="E34" s="10">
        <v>44630</v>
      </c>
      <c r="F34" s="10">
        <v>843500</v>
      </c>
      <c r="G34" s="10">
        <v>-798870</v>
      </c>
      <c r="H34" s="17">
        <v>1593</v>
      </c>
      <c r="I34" s="11">
        <v>32.831136220966727</v>
      </c>
      <c r="J34" s="17">
        <v>523</v>
      </c>
      <c r="K34" s="17">
        <v>1061</v>
      </c>
      <c r="L34" s="12">
        <v>14810</v>
      </c>
      <c r="M34" s="12">
        <v>-5940</v>
      </c>
      <c r="N34" s="12">
        <v>1612.8106689453125</v>
      </c>
      <c r="O34" s="12">
        <v>-752.94061279296875</v>
      </c>
      <c r="P34" s="11">
        <v>2.1420157732795539</v>
      </c>
      <c r="Q34" s="13">
        <v>28.016321406151913</v>
      </c>
      <c r="R34" s="17">
        <v>7</v>
      </c>
      <c r="S34" s="17">
        <v>15</v>
      </c>
      <c r="T34" s="17">
        <v>71</v>
      </c>
      <c r="U34" s="17">
        <v>24</v>
      </c>
      <c r="V34" s="12">
        <v>-37995</v>
      </c>
      <c r="W34" s="11">
        <v>1.0558664113059699</v>
      </c>
      <c r="X34" s="17">
        <v>1</v>
      </c>
      <c r="Y34" s="12">
        <v>37995</v>
      </c>
      <c r="Z34" s="11">
        <v>117.46282405579682</v>
      </c>
      <c r="AA34" s="14">
        <v>614.33056981181733</v>
      </c>
      <c r="AB34" s="11">
        <v>3.8439568948697003E-2</v>
      </c>
      <c r="AC34" s="11">
        <v>0.32271851331866602</v>
      </c>
      <c r="AD34" s="15">
        <v>32992.669068866002</v>
      </c>
      <c r="AE34" s="11">
        <v>46.730140633997074</v>
      </c>
      <c r="AF34" s="11">
        <f>(Opti_Medias__30_OOS[[#This Row],[All: TS Index]]-AA$114) /ABS(AA$114)</f>
        <v>-0.57343917101282149</v>
      </c>
      <c r="AG34" s="11">
        <f>(Opti_Medias__30_OOS[[#This Row],[All: Expectancy Score]]-AB$114) /ABS(AB$114)</f>
        <v>-0.68358608709225233</v>
      </c>
      <c r="AH34" s="11"/>
      <c r="AI34" s="11">
        <f>(Opti_Medias__30_OOS[[#This Row],[All: Perfect Profit Correlation]]-AD$114) /ABS(AD$114)</f>
        <v>-0.61788957560726265</v>
      </c>
      <c r="AJ34" s="11">
        <f>(Opti_Medias__30_OOS[[#This Row],[All: Robustness Index]]-AE$114) /ABS(AE$114)</f>
        <v>-0.67342990922438983</v>
      </c>
      <c r="AK34" s="11">
        <f>SUM(Opti_Medias__30_OOS[[#This Row],[VAR TS Index]:[VAR Robustness Index]])</f>
        <v>-2.5483447429367265</v>
      </c>
      <c r="AL34" s="11">
        <f>Opti_Medias__30_OOS[[#This Row],[SUMA]]-Opti_Medias__30_OOS[[#This Row],[VAR Robustness Index]]</f>
        <v>-1.8749148337123367</v>
      </c>
    </row>
    <row r="35" spans="1:38" x14ac:dyDescent="0.25">
      <c r="A35" s="11"/>
      <c r="B35" s="17">
        <v>32</v>
      </c>
      <c r="C35" s="17">
        <v>8</v>
      </c>
      <c r="D35" s="17">
        <v>347</v>
      </c>
      <c r="E35" s="10">
        <v>41950</v>
      </c>
      <c r="F35" s="10">
        <v>833110</v>
      </c>
      <c r="G35" s="10">
        <v>-791160</v>
      </c>
      <c r="H35" s="17">
        <v>1669</v>
      </c>
      <c r="I35" s="11">
        <v>30.557219892150989</v>
      </c>
      <c r="J35" s="17">
        <v>510</v>
      </c>
      <c r="K35" s="17">
        <v>1154</v>
      </c>
      <c r="L35" s="12">
        <v>15250</v>
      </c>
      <c r="M35" s="12">
        <v>-5350</v>
      </c>
      <c r="N35" s="12">
        <v>1633.549072265625</v>
      </c>
      <c r="O35" s="12">
        <v>-685.58056640625</v>
      </c>
      <c r="P35" s="11">
        <v>2.38272371229619</v>
      </c>
      <c r="Q35" s="13">
        <v>25.134811264230077</v>
      </c>
      <c r="R35" s="17">
        <v>7</v>
      </c>
      <c r="S35" s="17">
        <v>17</v>
      </c>
      <c r="T35" s="17">
        <v>75</v>
      </c>
      <c r="U35" s="17">
        <v>22</v>
      </c>
      <c r="V35" s="12">
        <v>-34285</v>
      </c>
      <c r="W35" s="11">
        <v>1.0530234086657571</v>
      </c>
      <c r="X35" s="17">
        <v>1</v>
      </c>
      <c r="Y35" s="12">
        <v>34285</v>
      </c>
      <c r="Z35" s="11">
        <v>122.35671576491177</v>
      </c>
      <c r="AA35" s="14">
        <v>624.01925040105004</v>
      </c>
      <c r="AB35" s="11">
        <v>2.9174723907006001E-2</v>
      </c>
      <c r="AC35" s="11">
        <v>0.28348836306004199</v>
      </c>
      <c r="AD35" s="15">
        <v>30780.933034403344</v>
      </c>
      <c r="AE35" s="11">
        <v>57.988565102959264</v>
      </c>
      <c r="AF35" s="11">
        <f>(Opti_Medias__30_OOS[[#This Row],[All: TS Index]]-AA$114) /ABS(AA$114)</f>
        <v>-0.56671182937133191</v>
      </c>
      <c r="AG35" s="11">
        <f>(Opti_Medias__30_OOS[[#This Row],[All: Expectancy Score]]-AB$114) /ABS(AB$114)</f>
        <v>-0.75984932188653231</v>
      </c>
      <c r="AH35" s="11"/>
      <c r="AI35" s="11">
        <f>(Opti_Medias__30_OOS[[#This Row],[All: Perfect Profit Correlation]]-AD$114) /ABS(AD$114)</f>
        <v>-0.64350518715445792</v>
      </c>
      <c r="AJ35" s="11">
        <f>(Opti_Medias__30_OOS[[#This Row],[All: Robustness Index]]-AE$114) /ABS(AE$114)</f>
        <v>-0.59475125234603909</v>
      </c>
      <c r="AK35" s="11">
        <f>SUM(Opti_Medias__30_OOS[[#This Row],[VAR TS Index]:[VAR Robustness Index]])</f>
        <v>-2.5648175907583615</v>
      </c>
      <c r="AL35" s="11">
        <f>Opti_Medias__30_OOS[[#This Row],[SUMA]]-Opti_Medias__30_OOS[[#This Row],[VAR Robustness Index]]</f>
        <v>-1.9700663384123223</v>
      </c>
    </row>
    <row r="36" spans="1:38" x14ac:dyDescent="0.25">
      <c r="A36" s="11"/>
      <c r="B36" s="17">
        <v>35</v>
      </c>
      <c r="C36" s="17">
        <v>5</v>
      </c>
      <c r="D36" s="17">
        <v>215</v>
      </c>
      <c r="E36" s="10">
        <v>49830</v>
      </c>
      <c r="F36" s="10">
        <v>768350</v>
      </c>
      <c r="G36" s="10">
        <v>-718520</v>
      </c>
      <c r="H36" s="17">
        <v>1597</v>
      </c>
      <c r="I36" s="11">
        <v>30.369442705072011</v>
      </c>
      <c r="J36" s="17">
        <v>485</v>
      </c>
      <c r="K36" s="17">
        <v>1103</v>
      </c>
      <c r="L36" s="12">
        <v>12720</v>
      </c>
      <c r="M36" s="12">
        <v>-4120</v>
      </c>
      <c r="N36" s="12">
        <v>1584.226806640625</v>
      </c>
      <c r="O36" s="12">
        <v>-651.42340087890625</v>
      </c>
      <c r="P36" s="11">
        <v>2.4319464184172261</v>
      </c>
      <c r="Q36" s="13">
        <v>31.202254226675016</v>
      </c>
      <c r="R36" s="17">
        <v>5</v>
      </c>
      <c r="S36" s="17">
        <v>19</v>
      </c>
      <c r="T36" s="17">
        <v>81</v>
      </c>
      <c r="U36" s="17">
        <v>21</v>
      </c>
      <c r="V36" s="12">
        <v>-41885</v>
      </c>
      <c r="W36" s="11">
        <v>1.0693508879363141</v>
      </c>
      <c r="X36" s="17">
        <v>1</v>
      </c>
      <c r="Y36" s="12">
        <v>41885</v>
      </c>
      <c r="Z36" s="11">
        <v>118.96860451235526</v>
      </c>
      <c r="AA36" s="14">
        <v>576.99773188492304</v>
      </c>
      <c r="AB36" s="11">
        <v>6.2721703565620001E-3</v>
      </c>
      <c r="AC36" s="11">
        <v>0.36575735072193</v>
      </c>
      <c r="AD36" s="15">
        <v>33990.898976031582</v>
      </c>
      <c r="AE36" s="11">
        <v>84.193787750284017</v>
      </c>
      <c r="AF36" s="11">
        <f>(Opti_Medias__30_OOS[[#This Row],[All: TS Index]]-AA$114) /ABS(AA$114)</f>
        <v>-0.59936125120397676</v>
      </c>
      <c r="AG36" s="11">
        <f>(Opti_Medias__30_OOS[[#This Row],[All: Expectancy Score]]-AB$114) /ABS(AB$114)</f>
        <v>-0.94837085796689102</v>
      </c>
      <c r="AH36" s="11"/>
      <c r="AI36" s="11">
        <f>(Opti_Medias__30_OOS[[#This Row],[All: Perfect Profit Correlation]]-AD$114) /ABS(AD$114)</f>
        <v>-0.60632839961776053</v>
      </c>
      <c r="AJ36" s="11">
        <f>(Opti_Medias__30_OOS[[#This Row],[All: Robustness Index]]-AE$114) /ABS(AE$114)</f>
        <v>-0.41161801494024525</v>
      </c>
      <c r="AK36" s="11">
        <f>SUM(Opti_Medias__30_OOS[[#This Row],[VAR TS Index]:[VAR Robustness Index]])</f>
        <v>-2.5656785237288737</v>
      </c>
      <c r="AL36" s="11">
        <f>Opti_Medias__30_OOS[[#This Row],[SUMA]]-Opti_Medias__30_OOS[[#This Row],[VAR Robustness Index]]</f>
        <v>-2.1540605087886284</v>
      </c>
    </row>
    <row r="37" spans="1:38" x14ac:dyDescent="0.25">
      <c r="A37" s="11"/>
      <c r="B37" s="17">
        <v>36</v>
      </c>
      <c r="C37" s="17">
        <v>8</v>
      </c>
      <c r="D37" s="17">
        <v>351</v>
      </c>
      <c r="E37" s="4">
        <v>36450</v>
      </c>
      <c r="F37" s="4">
        <v>851060</v>
      </c>
      <c r="G37" s="4">
        <v>-814610</v>
      </c>
      <c r="H37" s="17">
        <v>1841</v>
      </c>
      <c r="I37" s="5">
        <v>28.788701792504074</v>
      </c>
      <c r="J37" s="17">
        <v>530</v>
      </c>
      <c r="K37" s="17">
        <v>1304</v>
      </c>
      <c r="L37" s="6">
        <v>14810</v>
      </c>
      <c r="M37" s="6">
        <v>-4490</v>
      </c>
      <c r="N37" s="6">
        <v>1605.7735595703125</v>
      </c>
      <c r="O37" s="6">
        <v>-624.700927734375</v>
      </c>
      <c r="P37" s="5">
        <v>2.5704677042725521</v>
      </c>
      <c r="Q37" s="7">
        <v>19.799022270505159</v>
      </c>
      <c r="R37" s="17">
        <v>7</v>
      </c>
      <c r="S37" s="17">
        <v>21</v>
      </c>
      <c r="T37" s="17">
        <v>72</v>
      </c>
      <c r="U37" s="17">
        <v>19</v>
      </c>
      <c r="V37" s="6">
        <v>-36055</v>
      </c>
      <c r="W37" s="5">
        <v>1.044745338260026</v>
      </c>
      <c r="X37" s="17">
        <v>1</v>
      </c>
      <c r="Y37" s="6">
        <v>36055</v>
      </c>
      <c r="Z37" s="5">
        <v>101.09554846761891</v>
      </c>
      <c r="AA37" s="8">
        <v>535.80640687838024</v>
      </c>
      <c r="AB37" s="5">
        <v>3.7250219086602997E-2</v>
      </c>
      <c r="AC37" s="5">
        <v>0.220408534628663</v>
      </c>
      <c r="AD37" s="9">
        <v>23982.726763927494</v>
      </c>
      <c r="AE37" s="5">
        <v>68.019182385666838</v>
      </c>
      <c r="AF37" s="11">
        <f>(Opti_Medias__30_OOS[[#This Row],[All: TS Index]]-AA$114) /ABS(AA$114)</f>
        <v>-0.62796247439762876</v>
      </c>
      <c r="AG37" s="11">
        <f>(Opti_Medias__30_OOS[[#This Row],[All: Expectancy Score]]-AB$114) /ABS(AB$114)</f>
        <v>-0.6933761771992385</v>
      </c>
      <c r="AH37" s="11"/>
      <c r="AI37" s="11">
        <f>(Opti_Medias__30_OOS[[#This Row],[All: Perfect Profit Correlation]]-AD$114) /ABS(AD$114)</f>
        <v>-0.72223981385891634</v>
      </c>
      <c r="AJ37" s="11">
        <f>(Opti_Medias__30_OOS[[#This Row],[All: Robustness Index]]-AE$114) /ABS(AE$114)</f>
        <v>-0.52465303410600916</v>
      </c>
      <c r="AK37" s="11">
        <f>SUM(Opti_Medias__30_OOS[[#This Row],[VAR TS Index]:[VAR Robustness Index]])</f>
        <v>-2.5682314995617928</v>
      </c>
      <c r="AL37" s="11">
        <f>Opti_Medias__30_OOS[[#This Row],[SUMA]]-Opti_Medias__30_OOS[[#This Row],[VAR Robustness Index]]</f>
        <v>-2.0435784654557834</v>
      </c>
    </row>
    <row r="38" spans="1:38" x14ac:dyDescent="0.25">
      <c r="A38" s="11"/>
      <c r="B38" s="17">
        <v>25</v>
      </c>
      <c r="C38" s="17">
        <v>8</v>
      </c>
      <c r="D38" s="17">
        <v>340</v>
      </c>
      <c r="E38" s="4">
        <v>41730</v>
      </c>
      <c r="F38" s="4">
        <v>809720</v>
      </c>
      <c r="G38" s="4">
        <v>-767990</v>
      </c>
      <c r="H38" s="17">
        <v>1547</v>
      </c>
      <c r="I38" s="5">
        <v>32.708468002585647</v>
      </c>
      <c r="J38" s="17">
        <v>506</v>
      </c>
      <c r="K38" s="17">
        <v>1036</v>
      </c>
      <c r="L38" s="6">
        <v>15250</v>
      </c>
      <c r="M38" s="6">
        <v>-5240</v>
      </c>
      <c r="N38" s="6">
        <v>1600.2371826171875</v>
      </c>
      <c r="O38" s="6">
        <v>-741.3031005859375</v>
      </c>
      <c r="P38" s="5">
        <v>2.1586813563201539</v>
      </c>
      <c r="Q38" s="7">
        <v>26.974789915966387</v>
      </c>
      <c r="R38" s="17">
        <v>7</v>
      </c>
      <c r="S38" s="17">
        <v>12</v>
      </c>
      <c r="T38" s="17">
        <v>75</v>
      </c>
      <c r="U38" s="17">
        <v>24</v>
      </c>
      <c r="V38" s="6">
        <v>-35245</v>
      </c>
      <c r="W38" s="5">
        <v>1.0543366450083991</v>
      </c>
      <c r="X38" s="17">
        <v>1</v>
      </c>
      <c r="Y38" s="6">
        <v>35245</v>
      </c>
      <c r="Z38" s="5">
        <v>118.39977301744928</v>
      </c>
      <c r="AA38" s="8">
        <v>599.10285146829335</v>
      </c>
      <c r="AB38" s="5">
        <v>2.9883425098385999E-2</v>
      </c>
      <c r="AC38" s="5">
        <v>0.29593843665422997</v>
      </c>
      <c r="AD38" s="9">
        <v>33338.652363672394</v>
      </c>
      <c r="AE38" s="5">
        <v>50.865254873449793</v>
      </c>
      <c r="AF38" s="11">
        <f>(Opti_Medias__30_OOS[[#This Row],[All: TS Index]]-AA$114) /ABS(AA$114)</f>
        <v>-0.58401254710606487</v>
      </c>
      <c r="AG38" s="11">
        <f>(Opti_Medias__30_OOS[[#This Row],[All: Expectancy Score]]-AB$114) /ABS(AB$114)</f>
        <v>-0.75401567382075374</v>
      </c>
      <c r="AH38" s="11"/>
      <c r="AI38" s="11">
        <f>(Opti_Medias__30_OOS[[#This Row],[All: Perfect Profit Correlation]]-AD$114) /ABS(AD$114)</f>
        <v>-0.61388250896663055</v>
      </c>
      <c r="AJ38" s="11">
        <f>(Opti_Medias__30_OOS[[#This Row],[All: Robustness Index]]-AE$114) /ABS(AE$114)</f>
        <v>-0.6445319728128065</v>
      </c>
      <c r="AK38" s="11">
        <f>SUM(Opti_Medias__30_OOS[[#This Row],[VAR TS Index]:[VAR Robustness Index]])</f>
        <v>-2.5964427027062555</v>
      </c>
      <c r="AL38" s="11">
        <f>Opti_Medias__30_OOS[[#This Row],[SUMA]]-Opti_Medias__30_OOS[[#This Row],[VAR Robustness Index]]</f>
        <v>-1.951910729893449</v>
      </c>
    </row>
    <row r="39" spans="1:38" x14ac:dyDescent="0.25">
      <c r="A39" s="11"/>
      <c r="B39" s="17">
        <v>29</v>
      </c>
      <c r="C39" s="17">
        <v>11</v>
      </c>
      <c r="D39" s="17">
        <v>479</v>
      </c>
      <c r="E39" s="10">
        <v>37800</v>
      </c>
      <c r="F39" s="10">
        <v>849280</v>
      </c>
      <c r="G39" s="10">
        <v>-811480</v>
      </c>
      <c r="H39" s="17">
        <v>1629</v>
      </c>
      <c r="I39" s="11">
        <v>36.341313689379987</v>
      </c>
      <c r="J39" s="17">
        <v>592</v>
      </c>
      <c r="K39" s="17">
        <v>1031</v>
      </c>
      <c r="L39" s="12">
        <v>14980</v>
      </c>
      <c r="M39" s="12">
        <v>-5410</v>
      </c>
      <c r="N39" s="12">
        <v>1434.5946044921875</v>
      </c>
      <c r="O39" s="12">
        <v>-787.08050537109375</v>
      </c>
      <c r="P39" s="11">
        <v>1.8226783597134111</v>
      </c>
      <c r="Q39" s="13">
        <v>23.204419889502763</v>
      </c>
      <c r="R39" s="17">
        <v>6</v>
      </c>
      <c r="S39" s="17">
        <v>13</v>
      </c>
      <c r="T39" s="17">
        <v>63</v>
      </c>
      <c r="U39" s="17">
        <v>25</v>
      </c>
      <c r="V39" s="12">
        <v>-41945</v>
      </c>
      <c r="W39" s="11">
        <v>1.046581554690196</v>
      </c>
      <c r="X39" s="17">
        <v>1</v>
      </c>
      <c r="Y39" s="12">
        <v>41945</v>
      </c>
      <c r="Z39" s="11">
        <v>90.118011681964475</v>
      </c>
      <c r="AA39" s="14">
        <v>533.49862915722974</v>
      </c>
      <c r="AB39" s="11">
        <v>3.7820045155288001E-2</v>
      </c>
      <c r="AC39" s="11">
        <v>0.28167323464660599</v>
      </c>
      <c r="AD39" s="15">
        <v>27111.06238565336</v>
      </c>
      <c r="AE39" s="11">
        <v>50.675799809357869</v>
      </c>
      <c r="AF39" s="11">
        <f>(Opti_Medias__30_OOS[[#This Row],[All: TS Index]]-AA$114) /ABS(AA$114)</f>
        <v>-0.62956488135281841</v>
      </c>
      <c r="AG39" s="11">
        <f>(Opti_Medias__30_OOS[[#This Row],[All: Expectancy Score]]-AB$114) /ABS(AB$114)</f>
        <v>-0.68868567465197805</v>
      </c>
      <c r="AH39" s="11"/>
      <c r="AI39" s="11">
        <f>(Opti_Medias__30_OOS[[#This Row],[All: Perfect Profit Correlation]]-AD$114) /ABS(AD$114)</f>
        <v>-0.686008442290721</v>
      </c>
      <c r="AJ39" s="11">
        <f>(Opti_Medias__30_OOS[[#This Row],[All: Robustness Index]]-AE$114) /ABS(AE$114)</f>
        <v>-0.64585596535036349</v>
      </c>
      <c r="AK39" s="11">
        <f>SUM(Opti_Medias__30_OOS[[#This Row],[VAR TS Index]:[VAR Robustness Index]])</f>
        <v>-2.6501149636458807</v>
      </c>
      <c r="AL39" s="11">
        <f>Opti_Medias__30_OOS[[#This Row],[SUMA]]-Opti_Medias__30_OOS[[#This Row],[VAR Robustness Index]]</f>
        <v>-2.0042589982955175</v>
      </c>
    </row>
    <row r="40" spans="1:38" x14ac:dyDescent="0.25">
      <c r="A40" s="11"/>
      <c r="B40" s="17">
        <v>35</v>
      </c>
      <c r="C40" s="17">
        <v>8</v>
      </c>
      <c r="D40" s="17">
        <v>350</v>
      </c>
      <c r="E40" s="10">
        <v>38050</v>
      </c>
      <c r="F40" s="10">
        <v>842190</v>
      </c>
      <c r="G40" s="10">
        <v>-804140</v>
      </c>
      <c r="H40" s="17">
        <v>1785</v>
      </c>
      <c r="I40" s="11">
        <v>29.299719887955181</v>
      </c>
      <c r="J40" s="17">
        <v>523</v>
      </c>
      <c r="K40" s="17">
        <v>1251</v>
      </c>
      <c r="L40" s="12">
        <v>14810</v>
      </c>
      <c r="M40" s="12">
        <v>-3340</v>
      </c>
      <c r="N40" s="12">
        <v>1610.305908203125</v>
      </c>
      <c r="O40" s="12">
        <v>-642.79779052734375</v>
      </c>
      <c r="P40" s="11">
        <v>2.505151591890272</v>
      </c>
      <c r="Q40" s="13">
        <v>21.316526610644257</v>
      </c>
      <c r="R40" s="17">
        <v>7</v>
      </c>
      <c r="S40" s="17">
        <v>18</v>
      </c>
      <c r="T40" s="17">
        <v>73</v>
      </c>
      <c r="U40" s="17">
        <v>20</v>
      </c>
      <c r="V40" s="12">
        <v>-37905</v>
      </c>
      <c r="W40" s="11">
        <v>1.0473176312582391</v>
      </c>
      <c r="X40" s="17">
        <v>1</v>
      </c>
      <c r="Y40" s="12">
        <v>37905</v>
      </c>
      <c r="Z40" s="11">
        <v>100.38253528558238</v>
      </c>
      <c r="AA40" s="14">
        <v>525.00065954359582</v>
      </c>
      <c r="AB40" s="11">
        <v>2.5111145200912999E-2</v>
      </c>
      <c r="AC40" s="11">
        <v>0.239590240831031</v>
      </c>
      <c r="AD40" s="15">
        <v>25705.982614558729</v>
      </c>
      <c r="AE40" s="11">
        <v>59.69111942556502</v>
      </c>
      <c r="AF40" s="11">
        <f>(Opti_Medias__30_OOS[[#This Row],[All: TS Index]]-AA$114) /ABS(AA$114)</f>
        <v>-0.63546545205730076</v>
      </c>
      <c r="AG40" s="11">
        <f>(Opti_Medias__30_OOS[[#This Row],[All: Expectancy Score]]-AB$114) /ABS(AB$114)</f>
        <v>-0.79329852212391105</v>
      </c>
      <c r="AH40" s="11"/>
      <c r="AI40" s="11">
        <f>(Opti_Medias__30_OOS[[#This Row],[All: Perfect Profit Correlation]]-AD$114) /ABS(AD$114)</f>
        <v>-0.70228162184215259</v>
      </c>
      <c r="AJ40" s="11">
        <f>(Opti_Medias__30_OOS[[#This Row],[All: Robustness Index]]-AE$114) /ABS(AE$114)</f>
        <v>-0.58285307887297944</v>
      </c>
      <c r="AK40" s="11">
        <f>SUM(Opti_Medias__30_OOS[[#This Row],[VAR TS Index]:[VAR Robustness Index]])</f>
        <v>-2.7138986748963436</v>
      </c>
      <c r="AL40" s="11">
        <f>Opti_Medias__30_OOS[[#This Row],[SUMA]]-Opti_Medias__30_OOS[[#This Row],[VAR Robustness Index]]</f>
        <v>-2.1310455960233643</v>
      </c>
    </row>
    <row r="41" spans="1:38" x14ac:dyDescent="0.25">
      <c r="A41" s="11"/>
      <c r="B41" s="17">
        <v>27</v>
      </c>
      <c r="C41" s="17">
        <v>8</v>
      </c>
      <c r="D41" s="17">
        <v>342</v>
      </c>
      <c r="E41" s="10">
        <v>38370</v>
      </c>
      <c r="F41" s="10">
        <v>813540</v>
      </c>
      <c r="G41" s="10">
        <v>-775170</v>
      </c>
      <c r="H41" s="17">
        <v>1557</v>
      </c>
      <c r="I41" s="11">
        <v>31.920359666024407</v>
      </c>
      <c r="J41" s="17">
        <v>497</v>
      </c>
      <c r="K41" s="17">
        <v>1056</v>
      </c>
      <c r="L41" s="12">
        <v>15250</v>
      </c>
      <c r="M41" s="12">
        <v>-5240</v>
      </c>
      <c r="N41" s="12">
        <v>1636.9013671875</v>
      </c>
      <c r="O41" s="12">
        <v>-734.0625</v>
      </c>
      <c r="P41" s="11">
        <v>2.2299209770114938</v>
      </c>
      <c r="Q41" s="13">
        <v>24.643545279383428</v>
      </c>
      <c r="R41" s="17">
        <v>7</v>
      </c>
      <c r="S41" s="17">
        <v>16</v>
      </c>
      <c r="T41" s="17">
        <v>76</v>
      </c>
      <c r="U41" s="17">
        <v>24</v>
      </c>
      <c r="V41" s="12">
        <v>-40305</v>
      </c>
      <c r="W41" s="11">
        <v>1.049498819613762</v>
      </c>
      <c r="X41" s="17">
        <v>1</v>
      </c>
      <c r="Y41" s="12">
        <v>40305</v>
      </c>
      <c r="Z41" s="11">
        <v>95.199106810569404</v>
      </c>
      <c r="AA41" s="14">
        <v>473.13956084852998</v>
      </c>
      <c r="AB41" s="11">
        <v>3.4527707886088999E-2</v>
      </c>
      <c r="AC41" s="11">
        <v>0.257319514386738</v>
      </c>
      <c r="AD41" s="15">
        <v>27789.881773917874</v>
      </c>
      <c r="AE41" s="11">
        <v>46.667317231845168</v>
      </c>
      <c r="AF41" s="11">
        <f>(Opti_Medias__30_OOS[[#This Row],[All: TS Index]]-AA$114) /ABS(AA$114)</f>
        <v>-0.67147523952128707</v>
      </c>
      <c r="AG41" s="11">
        <f>(Opti_Medias__30_OOS[[#This Row],[All: Expectancy Score]]-AB$114) /ABS(AB$114)</f>
        <v>-0.71578642906859535</v>
      </c>
      <c r="AH41" s="11"/>
      <c r="AI41" s="11">
        <f>(Opti_Medias__30_OOS[[#This Row],[All: Perfect Profit Correlation]]-AD$114) /ABS(AD$114)</f>
        <v>-0.67814657564409242</v>
      </c>
      <c r="AJ41" s="11">
        <f>(Opti_Medias__30_OOS[[#This Row],[All: Robustness Index]]-AE$114) /ABS(AE$114)</f>
        <v>-0.67386894586894586</v>
      </c>
      <c r="AK41" s="11">
        <f>SUM(Opti_Medias__30_OOS[[#This Row],[VAR TS Index]:[VAR Robustness Index]])</f>
        <v>-2.7392771901029209</v>
      </c>
      <c r="AL41" s="11">
        <f>Opti_Medias__30_OOS[[#This Row],[SUMA]]-Opti_Medias__30_OOS[[#This Row],[VAR Robustness Index]]</f>
        <v>-2.065408244233975</v>
      </c>
    </row>
    <row r="42" spans="1:38" x14ac:dyDescent="0.25">
      <c r="A42" s="11"/>
      <c r="B42" s="17">
        <v>29</v>
      </c>
      <c r="C42" s="17">
        <v>2</v>
      </c>
      <c r="D42" s="17">
        <v>74</v>
      </c>
      <c r="E42" s="10">
        <v>44050</v>
      </c>
      <c r="F42" s="10">
        <v>716110</v>
      </c>
      <c r="G42" s="10">
        <v>-672060</v>
      </c>
      <c r="H42" s="17">
        <v>1315</v>
      </c>
      <c r="I42" s="11">
        <v>26.768060836501903</v>
      </c>
      <c r="J42" s="17">
        <v>352</v>
      </c>
      <c r="K42" s="17">
        <v>962</v>
      </c>
      <c r="L42" s="12">
        <v>13860</v>
      </c>
      <c r="M42" s="12">
        <v>-3890</v>
      </c>
      <c r="N42" s="12">
        <v>2034.4034423828125</v>
      </c>
      <c r="O42" s="12">
        <v>-698.6070556640625</v>
      </c>
      <c r="P42" s="11">
        <v>2.912085450452552</v>
      </c>
      <c r="Q42" s="13">
        <v>33.49809885931559</v>
      </c>
      <c r="R42" s="17">
        <v>4</v>
      </c>
      <c r="S42" s="17">
        <v>16</v>
      </c>
      <c r="T42" s="17">
        <v>111</v>
      </c>
      <c r="U42" s="17">
        <v>25</v>
      </c>
      <c r="V42" s="12">
        <v>-51345</v>
      </c>
      <c r="W42" s="11">
        <v>1.065544743028896</v>
      </c>
      <c r="X42" s="17">
        <v>1</v>
      </c>
      <c r="Y42" s="12">
        <v>51345</v>
      </c>
      <c r="Z42" s="11">
        <v>85.792190086668612</v>
      </c>
      <c r="AA42" s="14">
        <v>301.98850910507355</v>
      </c>
      <c r="AB42" s="11">
        <v>2.7256702618737E-2</v>
      </c>
      <c r="AC42" s="11">
        <v>0.27549292805650399</v>
      </c>
      <c r="AD42" s="15">
        <v>17734.292738846554</v>
      </c>
      <c r="AE42" s="11">
        <v>87.312917263964479</v>
      </c>
      <c r="AF42" s="11">
        <f>(Opti_Medias__30_OOS[[#This Row],[All: TS Index]]-AA$114) /ABS(AA$114)</f>
        <v>-0.79031408313618268</v>
      </c>
      <c r="AG42" s="11">
        <f>(Opti_Medias__30_OOS[[#This Row],[All: Expectancy Score]]-AB$114) /ABS(AB$114)</f>
        <v>-0.77563744432025505</v>
      </c>
      <c r="AH42" s="11"/>
      <c r="AI42" s="11">
        <f>(Opti_Medias__30_OOS[[#This Row],[All: Perfect Profit Correlation]]-AD$114) /ABS(AD$114)</f>
        <v>-0.7946071561957867</v>
      </c>
      <c r="AJ42" s="11">
        <f>(Opti_Medias__30_OOS[[#This Row],[All: Robustness Index]]-AE$114) /ABS(AE$114)</f>
        <v>-0.38982021175361298</v>
      </c>
      <c r="AK42" s="11">
        <f>SUM(Opti_Medias__30_OOS[[#This Row],[VAR TS Index]:[VAR Robustness Index]])</f>
        <v>-2.7503788954058375</v>
      </c>
      <c r="AL42" s="11">
        <f>Opti_Medias__30_OOS[[#This Row],[SUMA]]-Opti_Medias__30_OOS[[#This Row],[VAR Robustness Index]]</f>
        <v>-2.3605586836522243</v>
      </c>
    </row>
    <row r="43" spans="1:38" x14ac:dyDescent="0.25">
      <c r="A43" s="11"/>
      <c r="B43" s="17">
        <v>31</v>
      </c>
      <c r="C43" s="17">
        <v>8</v>
      </c>
      <c r="D43" s="17">
        <v>346</v>
      </c>
      <c r="E43" s="10">
        <v>37150</v>
      </c>
      <c r="F43" s="10">
        <v>824210</v>
      </c>
      <c r="G43" s="10">
        <v>-787060</v>
      </c>
      <c r="H43" s="17">
        <v>1637</v>
      </c>
      <c r="I43" s="11">
        <v>30.97128894318876</v>
      </c>
      <c r="J43" s="17">
        <v>507</v>
      </c>
      <c r="K43" s="17">
        <v>1125</v>
      </c>
      <c r="L43" s="12">
        <v>15250</v>
      </c>
      <c r="M43" s="12">
        <v>-5240</v>
      </c>
      <c r="N43" s="12">
        <v>1625.6607666015625</v>
      </c>
      <c r="O43" s="12">
        <v>-699.60888671875</v>
      </c>
      <c r="P43" s="11">
        <v>2.3236708358953351</v>
      </c>
      <c r="Q43" s="13">
        <v>22.693952351863164</v>
      </c>
      <c r="R43" s="17">
        <v>7</v>
      </c>
      <c r="S43" s="17">
        <v>16</v>
      </c>
      <c r="T43" s="17">
        <v>75</v>
      </c>
      <c r="U43" s="17">
        <v>22</v>
      </c>
      <c r="V43" s="12">
        <v>-36995</v>
      </c>
      <c r="W43" s="11">
        <v>1.047200975783295</v>
      </c>
      <c r="X43" s="17">
        <v>1</v>
      </c>
      <c r="Y43" s="12">
        <v>36995</v>
      </c>
      <c r="Z43" s="11">
        <v>100.41897553723476</v>
      </c>
      <c r="AA43" s="14">
        <v>509.12420597378025</v>
      </c>
      <c r="AB43" s="11">
        <v>3.0126298383615999E-2</v>
      </c>
      <c r="AC43" s="11">
        <v>0.24011144316065799</v>
      </c>
      <c r="AD43" s="15">
        <v>26635.020883328241</v>
      </c>
      <c r="AE43" s="11">
        <v>47.765341502177861</v>
      </c>
      <c r="AF43" s="11">
        <f>(Opti_Medias__30_OOS[[#This Row],[All: TS Index]]-AA$114) /ABS(AA$114)</f>
        <v>-0.6464892778750384</v>
      </c>
      <c r="AG43" s="11">
        <f>(Opti_Medias__30_OOS[[#This Row],[All: Expectancy Score]]-AB$114) /ABS(AB$114)</f>
        <v>-0.75201647121203186</v>
      </c>
      <c r="AH43" s="11"/>
      <c r="AI43" s="11">
        <f>(Opti_Medias__30_OOS[[#This Row],[All: Perfect Profit Correlation]]-AD$114) /ABS(AD$114)</f>
        <v>-0.69152180103421412</v>
      </c>
      <c r="AJ43" s="11">
        <f>(Opti_Medias__30_OOS[[#This Row],[All: Robustness Index]]-AE$114) /ABS(AE$114)</f>
        <v>-0.66619548542625473</v>
      </c>
      <c r="AK43" s="11">
        <f>SUM(Opti_Medias__30_OOS[[#This Row],[VAR TS Index]:[VAR Robustness Index]])</f>
        <v>-2.7562230355475394</v>
      </c>
      <c r="AL43" s="11">
        <f>Opti_Medias__30_OOS[[#This Row],[SUMA]]-Opti_Medias__30_OOS[[#This Row],[VAR Robustness Index]]</f>
        <v>-2.0900275501212846</v>
      </c>
    </row>
    <row r="44" spans="1:38" x14ac:dyDescent="0.25">
      <c r="A44" s="11"/>
      <c r="B44" s="17">
        <v>19</v>
      </c>
      <c r="C44" s="17">
        <v>8</v>
      </c>
      <c r="D44" s="17">
        <v>334</v>
      </c>
      <c r="E44" s="10">
        <v>42630</v>
      </c>
      <c r="F44" s="10">
        <v>836080</v>
      </c>
      <c r="G44" s="10">
        <v>-793450</v>
      </c>
      <c r="H44" s="17">
        <v>1567</v>
      </c>
      <c r="I44" s="11">
        <v>32.546266751754949</v>
      </c>
      <c r="J44" s="17">
        <v>510</v>
      </c>
      <c r="K44" s="17">
        <v>1049</v>
      </c>
      <c r="L44" s="12">
        <v>15250</v>
      </c>
      <c r="M44" s="12">
        <v>-5940</v>
      </c>
      <c r="N44" s="12">
        <v>1639.37255859375</v>
      </c>
      <c r="O44" s="12">
        <v>-756.38702392578125</v>
      </c>
      <c r="P44" s="11">
        <v>2.1673726633821921</v>
      </c>
      <c r="Q44" s="13">
        <v>27.204850031908105</v>
      </c>
      <c r="R44" s="17">
        <v>7</v>
      </c>
      <c r="S44" s="17">
        <v>13</v>
      </c>
      <c r="T44" s="17">
        <v>72</v>
      </c>
      <c r="U44" s="17">
        <v>25</v>
      </c>
      <c r="V44" s="12">
        <v>-40775</v>
      </c>
      <c r="W44" s="11">
        <v>1.0537273930304369</v>
      </c>
      <c r="X44" s="17">
        <v>1</v>
      </c>
      <c r="Y44" s="12">
        <v>40775</v>
      </c>
      <c r="Z44" s="11">
        <v>104.54935622317596</v>
      </c>
      <c r="AA44" s="14">
        <v>533.20171673819743</v>
      </c>
      <c r="AB44" s="11">
        <v>1.8192127173300002E-2</v>
      </c>
      <c r="AC44" s="11">
        <v>0.30105822455501102</v>
      </c>
      <c r="AD44" s="15">
        <v>31093.059852801936</v>
      </c>
      <c r="AE44" s="11">
        <v>46.750663476842583</v>
      </c>
      <c r="AF44" s="11">
        <f>(Opti_Medias__30_OOS[[#This Row],[All: TS Index]]-AA$114) /ABS(AA$114)</f>
        <v>-0.62977104268325301</v>
      </c>
      <c r="AG44" s="11">
        <f>(Opti_Medias__30_OOS[[#This Row],[All: Expectancy Score]]-AB$114) /ABS(AB$114)</f>
        <v>-0.8502521672211848</v>
      </c>
      <c r="AH44" s="11"/>
      <c r="AI44" s="11">
        <f>(Opti_Medias__30_OOS[[#This Row],[All: Perfect Profit Correlation]]-AD$114) /ABS(AD$114)</f>
        <v>-0.63989023527549072</v>
      </c>
      <c r="AJ44" s="11">
        <f>(Opti_Medias__30_OOS[[#This Row],[All: Robustness Index]]-AE$114) /ABS(AE$114)</f>
        <v>-0.67328648687298875</v>
      </c>
      <c r="AK44" s="11">
        <f>SUM(Opti_Medias__30_OOS[[#This Row],[VAR TS Index]:[VAR Robustness Index]])</f>
        <v>-2.7931999320529175</v>
      </c>
      <c r="AL44" s="11">
        <f>Opti_Medias__30_OOS[[#This Row],[SUMA]]-Opti_Medias__30_OOS[[#This Row],[VAR Robustness Index]]</f>
        <v>-2.1199134451799289</v>
      </c>
    </row>
    <row r="45" spans="1:38" x14ac:dyDescent="0.25">
      <c r="A45" s="11"/>
      <c r="B45" s="17">
        <v>29</v>
      </c>
      <c r="C45" s="17">
        <v>8</v>
      </c>
      <c r="D45" s="17">
        <v>344</v>
      </c>
      <c r="E45" s="10">
        <v>37530</v>
      </c>
      <c r="F45" s="10">
        <v>818240</v>
      </c>
      <c r="G45" s="10">
        <v>-780710</v>
      </c>
      <c r="H45" s="17">
        <v>1593</v>
      </c>
      <c r="I45" s="11">
        <v>31.198995605775266</v>
      </c>
      <c r="J45" s="17">
        <v>497</v>
      </c>
      <c r="K45" s="17">
        <v>1089</v>
      </c>
      <c r="L45" s="12">
        <v>15250</v>
      </c>
      <c r="M45" s="12">
        <v>-5240</v>
      </c>
      <c r="N45" s="12">
        <v>1646.358154296875</v>
      </c>
      <c r="O45" s="12">
        <v>-716.9053955078125</v>
      </c>
      <c r="P45" s="11">
        <v>2.296478956098098</v>
      </c>
      <c r="Q45" s="13">
        <v>23.559322033898304</v>
      </c>
      <c r="R45" s="17">
        <v>7</v>
      </c>
      <c r="S45" s="17">
        <v>16</v>
      </c>
      <c r="T45" s="17">
        <v>76</v>
      </c>
      <c r="U45" s="17">
        <v>23</v>
      </c>
      <c r="V45" s="12">
        <v>-37585</v>
      </c>
      <c r="W45" s="11">
        <v>1.048071627108657</v>
      </c>
      <c r="X45" s="17">
        <v>1</v>
      </c>
      <c r="Y45" s="12">
        <v>37585</v>
      </c>
      <c r="Z45" s="11">
        <v>99.853665025941197</v>
      </c>
      <c r="AA45" s="14">
        <v>496.27271517892774</v>
      </c>
      <c r="AB45" s="11">
        <v>2.8697053922047001E-2</v>
      </c>
      <c r="AC45" s="11">
        <v>0.244847986480525</v>
      </c>
      <c r="AD45" s="15">
        <v>27185.976908590153</v>
      </c>
      <c r="AE45" s="11">
        <v>44.248002013823182</v>
      </c>
      <c r="AF45" s="11">
        <f>(Opti_Medias__30_OOS[[#This Row],[All: TS Index]]-AA$114) /ABS(AA$114)</f>
        <v>-0.65541271883102503</v>
      </c>
      <c r="AG45" s="11">
        <f>(Opti_Medias__30_OOS[[#This Row],[All: Expectancy Score]]-AB$114) /ABS(AB$114)</f>
        <v>-0.76378124498434807</v>
      </c>
      <c r="AH45" s="11"/>
      <c r="AI45" s="11">
        <f>(Opti_Medias__30_OOS[[#This Row],[All: Perfect Profit Correlation]]-AD$114) /ABS(AD$114)</f>
        <v>-0.68514080651100262</v>
      </c>
      <c r="AJ45" s="11">
        <f>(Opti_Medias__30_OOS[[#This Row],[All: Robustness Index]]-AE$114) /ABS(AE$114)</f>
        <v>-0.69077614922089681</v>
      </c>
      <c r="AK45" s="11">
        <f>SUM(Opti_Medias__30_OOS[[#This Row],[VAR TS Index]:[VAR Robustness Index]])</f>
        <v>-2.7951109195472723</v>
      </c>
      <c r="AL45" s="11">
        <f>Opti_Medias__30_OOS[[#This Row],[SUMA]]-Opti_Medias__30_OOS[[#This Row],[VAR Robustness Index]]</f>
        <v>-2.1043347703263757</v>
      </c>
    </row>
    <row r="46" spans="1:38" x14ac:dyDescent="0.25">
      <c r="A46" s="11"/>
      <c r="B46" s="17">
        <v>34</v>
      </c>
      <c r="C46" s="17">
        <v>5</v>
      </c>
      <c r="D46" s="17">
        <v>214</v>
      </c>
      <c r="E46" s="10">
        <v>33710</v>
      </c>
      <c r="F46" s="10">
        <v>753610</v>
      </c>
      <c r="G46" s="10">
        <v>-719900</v>
      </c>
      <c r="H46" s="17">
        <v>1553</v>
      </c>
      <c r="I46" s="11">
        <v>30.070830650354154</v>
      </c>
      <c r="J46" s="17">
        <v>467</v>
      </c>
      <c r="K46" s="17">
        <v>1079</v>
      </c>
      <c r="L46" s="12">
        <v>12540</v>
      </c>
      <c r="M46" s="12">
        <v>-3740</v>
      </c>
      <c r="N46" s="12">
        <v>1613.7259521484375</v>
      </c>
      <c r="O46" s="12">
        <v>-667.19183349609375</v>
      </c>
      <c r="P46" s="11">
        <v>2.4186836096186801</v>
      </c>
      <c r="Q46" s="13">
        <v>21.706374758531872</v>
      </c>
      <c r="R46" s="17">
        <v>5</v>
      </c>
      <c r="S46" s="17">
        <v>20</v>
      </c>
      <c r="T46" s="17">
        <v>83</v>
      </c>
      <c r="U46" s="17">
        <v>23</v>
      </c>
      <c r="V46" s="12">
        <v>-43275</v>
      </c>
      <c r="W46" s="11">
        <v>1.0468259480483399</v>
      </c>
      <c r="X46" s="17">
        <v>1</v>
      </c>
      <c r="Y46" s="12">
        <v>43275</v>
      </c>
      <c r="Z46" s="11">
        <v>77.897169266320049</v>
      </c>
      <c r="AA46" s="14">
        <v>363.7797804737146</v>
      </c>
      <c r="AB46" s="11">
        <v>2.9185542716086001E-2</v>
      </c>
      <c r="AC46" s="11">
        <v>0.20753096165562401</v>
      </c>
      <c r="AD46" s="15">
        <v>20729.135597327531</v>
      </c>
      <c r="AE46" s="11">
        <v>66.165682363959476</v>
      </c>
      <c r="AF46" s="11">
        <f>(Opti_Medias__30_OOS[[#This Row],[All: TS Index]]-AA$114) /ABS(AA$114)</f>
        <v>-0.747409273845554</v>
      </c>
      <c r="AG46" s="11">
        <f>(Opti_Medias__30_OOS[[#This Row],[All: Expectancy Score]]-AB$114) /ABS(AB$114)</f>
        <v>-0.75976026725330859</v>
      </c>
      <c r="AH46" s="11"/>
      <c r="AI46" s="11">
        <f>(Opti_Medias__30_OOS[[#This Row],[All: Perfect Profit Correlation]]-AD$114) /ABS(AD$114)</f>
        <v>-0.75992185464424833</v>
      </c>
      <c r="AJ46" s="11">
        <f>(Opti_Medias__30_OOS[[#This Row],[All: Robustness Index]]-AE$114) /ABS(AE$114)</f>
        <v>-0.53760608030123513</v>
      </c>
      <c r="AK46" s="11">
        <f>SUM(Opti_Medias__30_OOS[[#This Row],[VAR TS Index]:[VAR Robustness Index]])</f>
        <v>-2.8046974760443462</v>
      </c>
      <c r="AL46" s="11">
        <f>Opti_Medias__30_OOS[[#This Row],[SUMA]]-Opti_Medias__30_OOS[[#This Row],[VAR Robustness Index]]</f>
        <v>-2.2670913957431109</v>
      </c>
    </row>
    <row r="47" spans="1:38" x14ac:dyDescent="0.25">
      <c r="A47" s="11"/>
      <c r="B47" s="17">
        <v>6</v>
      </c>
      <c r="C47" s="17">
        <v>3</v>
      </c>
      <c r="D47" s="17">
        <v>96</v>
      </c>
      <c r="E47" s="10">
        <v>50770</v>
      </c>
      <c r="F47" s="10">
        <v>894070</v>
      </c>
      <c r="G47" s="10">
        <v>-843300</v>
      </c>
      <c r="H47" s="17">
        <v>1758</v>
      </c>
      <c r="I47" s="11">
        <v>44.425483503981795</v>
      </c>
      <c r="J47" s="17">
        <v>781</v>
      </c>
      <c r="K47" s="17">
        <v>968</v>
      </c>
      <c r="L47" s="12">
        <v>17590</v>
      </c>
      <c r="M47" s="12">
        <v>-6640</v>
      </c>
      <c r="N47" s="12">
        <v>1144.77587890625</v>
      </c>
      <c r="O47" s="12">
        <v>-871.17767333984375</v>
      </c>
      <c r="P47" s="11">
        <v>1.314055575503341</v>
      </c>
      <c r="Q47" s="13">
        <v>28.879408418657565</v>
      </c>
      <c r="R47" s="17">
        <v>9</v>
      </c>
      <c r="S47" s="17">
        <v>11</v>
      </c>
      <c r="T47" s="17">
        <v>42</v>
      </c>
      <c r="U47" s="17">
        <v>31</v>
      </c>
      <c r="V47" s="12">
        <v>-95755</v>
      </c>
      <c r="W47" s="11">
        <v>1.0602039606308551</v>
      </c>
      <c r="X47" s="17">
        <v>1</v>
      </c>
      <c r="Y47" s="12">
        <v>95755</v>
      </c>
      <c r="Z47" s="11">
        <v>53.020729987990187</v>
      </c>
      <c r="AA47" s="14">
        <v>414.09190120620332</v>
      </c>
      <c r="AB47" s="11">
        <v>5.2944333851040002E-3</v>
      </c>
      <c r="AC47" s="11">
        <v>0.45882348641325399</v>
      </c>
      <c r="AD47" s="15">
        <v>42515.722318551656</v>
      </c>
      <c r="AE47" s="11">
        <v>52.789530231736094</v>
      </c>
      <c r="AF47" s="11">
        <f>(Opti_Medias__30_OOS[[#This Row],[All: TS Index]]-AA$114) /ABS(AA$114)</f>
        <v>-0.7124750202329958</v>
      </c>
      <c r="AG47" s="11">
        <f>(Opti_Medias__30_OOS[[#This Row],[All: Expectancy Score]]-AB$114) /ABS(AB$114)</f>
        <v>-0.95641906426562684</v>
      </c>
      <c r="AH47" s="11"/>
      <c r="AI47" s="11">
        <f>(Opti_Medias__30_OOS[[#This Row],[All: Perfect Profit Correlation]]-AD$114) /ABS(AD$114)</f>
        <v>-0.50759665231704354</v>
      </c>
      <c r="AJ47" s="11">
        <f>(Opti_Medias__30_OOS[[#This Row],[All: Robustness Index]]-AE$114) /ABS(AE$114)</f>
        <v>-0.63108431847436341</v>
      </c>
      <c r="AK47" s="11">
        <f>SUM(Opti_Medias__30_OOS[[#This Row],[VAR TS Index]:[VAR Robustness Index]])</f>
        <v>-2.8075750552900294</v>
      </c>
      <c r="AL47" s="11">
        <f>Opti_Medias__30_OOS[[#This Row],[SUMA]]-Opti_Medias__30_OOS[[#This Row],[VAR Robustness Index]]</f>
        <v>-2.1764907368156661</v>
      </c>
    </row>
    <row r="48" spans="1:38" x14ac:dyDescent="0.25">
      <c r="A48" s="11"/>
      <c r="B48" s="17">
        <v>16</v>
      </c>
      <c r="C48" s="17">
        <v>8</v>
      </c>
      <c r="D48" s="17">
        <v>331</v>
      </c>
      <c r="E48" s="10">
        <v>39500</v>
      </c>
      <c r="F48" s="10">
        <v>842930</v>
      </c>
      <c r="G48" s="10">
        <v>-803430</v>
      </c>
      <c r="H48" s="17">
        <v>1585</v>
      </c>
      <c r="I48" s="11">
        <v>34.069400630914828</v>
      </c>
      <c r="J48" s="17">
        <v>540</v>
      </c>
      <c r="K48" s="17">
        <v>1040</v>
      </c>
      <c r="L48" s="12">
        <v>14810</v>
      </c>
      <c r="M48" s="12">
        <v>-6600</v>
      </c>
      <c r="N48" s="12">
        <v>1560.9814453125</v>
      </c>
      <c r="O48" s="12">
        <v>-772.52886962890625</v>
      </c>
      <c r="P48" s="11">
        <v>2.020612441399551</v>
      </c>
      <c r="Q48" s="13">
        <v>24.921135646687699</v>
      </c>
      <c r="R48" s="17">
        <v>6</v>
      </c>
      <c r="S48" s="17">
        <v>17</v>
      </c>
      <c r="T48" s="17">
        <v>69</v>
      </c>
      <c r="U48" s="17">
        <v>25</v>
      </c>
      <c r="V48" s="12">
        <v>-37125</v>
      </c>
      <c r="W48" s="11">
        <v>1.049164208456244</v>
      </c>
      <c r="X48" s="17">
        <v>1</v>
      </c>
      <c r="Y48" s="12">
        <v>37125</v>
      </c>
      <c r="Z48" s="11">
        <v>106.39730639730639</v>
      </c>
      <c r="AA48" s="14">
        <v>574.5454545454545</v>
      </c>
      <c r="AB48" s="11">
        <v>1.7894097841724001E-2</v>
      </c>
      <c r="AC48" s="11">
        <v>0.28139375013656198</v>
      </c>
      <c r="AD48" s="15">
        <v>28623.495622952563</v>
      </c>
      <c r="AE48" s="11">
        <v>42.201443009566944</v>
      </c>
      <c r="AF48" s="11">
        <f>(Opti_Medias__30_OOS[[#This Row],[All: TS Index]]-AA$114) /ABS(AA$114)</f>
        <v>-0.60106399156272305</v>
      </c>
      <c r="AG48" s="11">
        <f>(Opti_Medias__30_OOS[[#This Row],[All: Expectancy Score]]-AB$114) /ABS(AB$114)</f>
        <v>-0.85270538481816416</v>
      </c>
      <c r="AH48" s="11"/>
      <c r="AI48" s="11">
        <f>(Opti_Medias__30_OOS[[#This Row],[All: Perfect Profit Correlation]]-AD$114) /ABS(AD$114)</f>
        <v>-0.66849192960834947</v>
      </c>
      <c r="AJ48" s="11">
        <f>(Opti_Medias__30_OOS[[#This Row],[All: Robustness Index]]-AE$114) /ABS(AE$114)</f>
        <v>-0.70507837366811721</v>
      </c>
      <c r="AK48" s="11">
        <f>SUM(Opti_Medias__30_OOS[[#This Row],[VAR TS Index]:[VAR Robustness Index]])</f>
        <v>-2.8273396796573538</v>
      </c>
      <c r="AL48" s="11">
        <f>Opti_Medias__30_OOS[[#This Row],[SUMA]]-Opti_Medias__30_OOS[[#This Row],[VAR Robustness Index]]</f>
        <v>-2.1222613059892366</v>
      </c>
    </row>
    <row r="49" spans="1:38" x14ac:dyDescent="0.25">
      <c r="A49" s="11"/>
      <c r="B49" s="17">
        <v>30</v>
      </c>
      <c r="C49" s="17">
        <v>8</v>
      </c>
      <c r="D49" s="17">
        <v>345</v>
      </c>
      <c r="E49" s="10">
        <v>34510</v>
      </c>
      <c r="F49" s="10">
        <v>818150</v>
      </c>
      <c r="G49" s="10">
        <v>-783640</v>
      </c>
      <c r="H49" s="17">
        <v>1605</v>
      </c>
      <c r="I49" s="11">
        <v>31.588785046728972</v>
      </c>
      <c r="J49" s="17">
        <v>507</v>
      </c>
      <c r="K49" s="17">
        <v>1091</v>
      </c>
      <c r="L49" s="12">
        <v>15250</v>
      </c>
      <c r="M49" s="12">
        <v>-5240</v>
      </c>
      <c r="N49" s="12">
        <v>1613.7081298828125</v>
      </c>
      <c r="O49" s="12">
        <v>-718.27679443359375</v>
      </c>
      <c r="P49" s="11">
        <v>2.2466382631159929</v>
      </c>
      <c r="Q49" s="13">
        <v>21.501557632398754</v>
      </c>
      <c r="R49" s="17">
        <v>7</v>
      </c>
      <c r="S49" s="17">
        <v>16</v>
      </c>
      <c r="T49" s="17">
        <v>75</v>
      </c>
      <c r="U49" s="17">
        <v>23</v>
      </c>
      <c r="V49" s="12">
        <v>-34915</v>
      </c>
      <c r="W49" s="11">
        <v>1.044038078709612</v>
      </c>
      <c r="X49" s="17">
        <v>1</v>
      </c>
      <c r="Y49" s="12">
        <v>34915</v>
      </c>
      <c r="Z49" s="11">
        <v>98.840040097379344</v>
      </c>
      <c r="AA49" s="14">
        <v>501.11900329371332</v>
      </c>
      <c r="AB49" s="11">
        <v>2.4335082608966E-2</v>
      </c>
      <c r="AC49" s="11">
        <v>0.21899573584676699</v>
      </c>
      <c r="AD49" s="15">
        <v>26602.394470017782</v>
      </c>
      <c r="AE49" s="11">
        <v>43.68257344230706</v>
      </c>
      <c r="AF49" s="11">
        <f>(Opti_Medias__30_OOS[[#This Row],[All: TS Index]]-AA$114) /ABS(AA$114)</f>
        <v>-0.65204769554008424</v>
      </c>
      <c r="AG49" s="11">
        <f>(Opti_Medias__30_OOS[[#This Row],[All: Expectancy Score]]-AB$114) /ABS(AB$114)</f>
        <v>-0.79968665310703957</v>
      </c>
      <c r="AH49" s="11"/>
      <c r="AI49" s="11">
        <f>(Opti_Medias__30_OOS[[#This Row],[All: Perfect Profit Correlation]]-AD$114) /ABS(AD$114)</f>
        <v>-0.69189966960284832</v>
      </c>
      <c r="AJ49" s="11">
        <f>(Opti_Medias__30_OOS[[#This Row],[All: Robustness Index]]-AE$114) /ABS(AE$114)</f>
        <v>-0.6947276044791505</v>
      </c>
      <c r="AK49" s="11">
        <f>SUM(Opti_Medias__30_OOS[[#This Row],[VAR TS Index]:[VAR Robustness Index]])</f>
        <v>-2.8383616227291224</v>
      </c>
      <c r="AL49" s="11">
        <f>Opti_Medias__30_OOS[[#This Row],[SUMA]]-Opti_Medias__30_OOS[[#This Row],[VAR Robustness Index]]</f>
        <v>-2.1436340182499718</v>
      </c>
    </row>
    <row r="50" spans="1:38" x14ac:dyDescent="0.25">
      <c r="A50" s="11"/>
      <c r="B50" s="17">
        <v>7</v>
      </c>
      <c r="C50" s="17">
        <v>3</v>
      </c>
      <c r="D50" s="17">
        <v>97</v>
      </c>
      <c r="E50" s="10">
        <v>49570</v>
      </c>
      <c r="F50" s="10">
        <v>880380</v>
      </c>
      <c r="G50" s="10">
        <v>-830810</v>
      </c>
      <c r="H50" s="17">
        <v>1662</v>
      </c>
      <c r="I50" s="11">
        <v>43.742478941034896</v>
      </c>
      <c r="J50" s="17">
        <v>727</v>
      </c>
      <c r="K50" s="17">
        <v>923</v>
      </c>
      <c r="L50" s="12">
        <v>17590</v>
      </c>
      <c r="M50" s="12">
        <v>-5210</v>
      </c>
      <c r="N50" s="12">
        <v>1210.9765625</v>
      </c>
      <c r="O50" s="12">
        <v>-900.11920166015625</v>
      </c>
      <c r="P50" s="11">
        <v>1.345351327098129</v>
      </c>
      <c r="Q50" s="13">
        <v>29.825511432009627</v>
      </c>
      <c r="R50" s="17">
        <v>8</v>
      </c>
      <c r="S50" s="17">
        <v>13</v>
      </c>
      <c r="T50" s="17">
        <v>46</v>
      </c>
      <c r="U50" s="17">
        <v>32</v>
      </c>
      <c r="V50" s="12">
        <v>-94315</v>
      </c>
      <c r="W50" s="11">
        <v>1.0596646646044221</v>
      </c>
      <c r="X50" s="17">
        <v>1</v>
      </c>
      <c r="Y50" s="12">
        <v>94315</v>
      </c>
      <c r="Z50" s="11">
        <v>52.557917616497903</v>
      </c>
      <c r="AA50" s="14">
        <v>382.0960610719398</v>
      </c>
      <c r="AB50" s="11">
        <v>7.1338467422549998E-3</v>
      </c>
      <c r="AC50" s="11">
        <v>0.44264957401646599</v>
      </c>
      <c r="AD50" s="15">
        <v>40144.67569583116</v>
      </c>
      <c r="AE50" s="11">
        <v>52.190662286403864</v>
      </c>
      <c r="AF50" s="11">
        <f>(Opti_Medias__30_OOS[[#This Row],[All: TS Index]]-AA$114) /ABS(AA$114)</f>
        <v>-0.73469135255061668</v>
      </c>
      <c r="AG50" s="11">
        <f>(Opti_Medias__30_OOS[[#This Row],[All: Expectancy Score]]-AB$114) /ABS(AB$114)</f>
        <v>-0.94127800015620078</v>
      </c>
      <c r="AH50" s="11"/>
      <c r="AI50" s="11">
        <f>(Opti_Medias__30_OOS[[#This Row],[All: Perfect Profit Correlation]]-AD$114) /ABS(AD$114)</f>
        <v>-0.53505734758154577</v>
      </c>
      <c r="AJ50" s="11">
        <f>(Opti_Medias__30_OOS[[#This Row],[All: Robustness Index]]-AE$114) /ABS(AE$114)</f>
        <v>-0.63526946229409909</v>
      </c>
      <c r="AK50" s="11">
        <f>SUM(Opti_Medias__30_OOS[[#This Row],[VAR TS Index]:[VAR Robustness Index]])</f>
        <v>-2.8462961625824623</v>
      </c>
      <c r="AL50" s="11">
        <f>Opti_Medias__30_OOS[[#This Row],[SUMA]]-Opti_Medias__30_OOS[[#This Row],[VAR Robustness Index]]</f>
        <v>-2.2110267002883632</v>
      </c>
    </row>
    <row r="51" spans="1:38" x14ac:dyDescent="0.25">
      <c r="A51" s="11"/>
      <c r="B51" s="17">
        <v>3</v>
      </c>
      <c r="C51" s="17">
        <v>8</v>
      </c>
      <c r="D51" s="17">
        <v>318</v>
      </c>
      <c r="E51" s="10">
        <v>38440</v>
      </c>
      <c r="F51" s="10">
        <v>922480</v>
      </c>
      <c r="G51" s="10">
        <v>-884040</v>
      </c>
      <c r="H51" s="17">
        <v>1789</v>
      </c>
      <c r="I51" s="11">
        <v>37.842370039128006</v>
      </c>
      <c r="J51" s="17">
        <v>677</v>
      </c>
      <c r="K51" s="17">
        <v>1107</v>
      </c>
      <c r="L51" s="12">
        <v>17630</v>
      </c>
      <c r="M51" s="12">
        <v>-6470</v>
      </c>
      <c r="N51" s="12">
        <v>1362.5997314453125</v>
      </c>
      <c r="O51" s="12">
        <v>-798.59075927734375</v>
      </c>
      <c r="P51" s="11">
        <v>1.706255319906717</v>
      </c>
      <c r="Q51" s="13">
        <v>21.486864169927333</v>
      </c>
      <c r="R51" s="17">
        <v>9</v>
      </c>
      <c r="S51" s="17">
        <v>16</v>
      </c>
      <c r="T51" s="17">
        <v>53</v>
      </c>
      <c r="U51" s="17">
        <v>25</v>
      </c>
      <c r="V51" s="12">
        <v>-45405</v>
      </c>
      <c r="W51" s="11">
        <v>1.0434821953757749</v>
      </c>
      <c r="X51" s="17">
        <v>1</v>
      </c>
      <c r="Y51" s="12">
        <v>45405</v>
      </c>
      <c r="Z51" s="11">
        <v>84.66027970487832</v>
      </c>
      <c r="AA51" s="14">
        <v>573.15009360202623</v>
      </c>
      <c r="AB51" s="11">
        <v>2.2006597962407001E-2</v>
      </c>
      <c r="AC51" s="11">
        <v>0.295566143184607</v>
      </c>
      <c r="AD51" s="15">
        <v>27210.883693804488</v>
      </c>
      <c r="AE51" s="11">
        <v>34.565718802114304</v>
      </c>
      <c r="AF51" s="11">
        <f>(Opti_Medias__30_OOS[[#This Row],[All: TS Index]]-AA$114) /ABS(AA$114)</f>
        <v>-0.60203286133742329</v>
      </c>
      <c r="AG51" s="11">
        <f>(Opti_Medias__30_OOS[[#This Row],[All: Expectancy Score]]-AB$114) /ABS(AB$114)</f>
        <v>-0.81885348973693683</v>
      </c>
      <c r="AH51" s="11"/>
      <c r="AI51" s="11">
        <f>(Opti_Medias__30_OOS[[#This Row],[All: Perfect Profit Correlation]]-AD$114) /ABS(AD$114)</f>
        <v>-0.68485234417869956</v>
      </c>
      <c r="AJ51" s="11">
        <f>(Opti_Medias__30_OOS[[#This Row],[All: Robustness Index]]-AE$114) /ABS(AE$114)</f>
        <v>-0.7584400608732953</v>
      </c>
      <c r="AK51" s="11">
        <f>SUM(Opti_Medias__30_OOS[[#This Row],[VAR TS Index]:[VAR Robustness Index]])</f>
        <v>-2.8641787561263552</v>
      </c>
      <c r="AL51" s="11">
        <f>Opti_Medias__30_OOS[[#This Row],[SUMA]]-Opti_Medias__30_OOS[[#This Row],[VAR Robustness Index]]</f>
        <v>-2.1057386952530601</v>
      </c>
    </row>
    <row r="52" spans="1:38" x14ac:dyDescent="0.25">
      <c r="A52" s="11"/>
      <c r="B52" s="17">
        <v>9</v>
      </c>
      <c r="C52" s="17">
        <v>8</v>
      </c>
      <c r="D52" s="17">
        <v>324</v>
      </c>
      <c r="E52" s="10">
        <v>35230</v>
      </c>
      <c r="F52" s="10">
        <v>874500</v>
      </c>
      <c r="G52" s="10">
        <v>-839270</v>
      </c>
      <c r="H52" s="17">
        <v>1727</v>
      </c>
      <c r="I52" s="11">
        <v>35.495078170237406</v>
      </c>
      <c r="J52" s="17">
        <v>613</v>
      </c>
      <c r="K52" s="17">
        <v>1111</v>
      </c>
      <c r="L52" s="12">
        <v>17280</v>
      </c>
      <c r="M52" s="12">
        <v>-6000</v>
      </c>
      <c r="N52" s="12">
        <v>1426.590576171875</v>
      </c>
      <c r="O52" s="12">
        <v>-755.41851806640625</v>
      </c>
      <c r="P52" s="11">
        <v>1.8884771051461939</v>
      </c>
      <c r="Q52" s="13">
        <v>20.399536768963522</v>
      </c>
      <c r="R52" s="17">
        <v>7</v>
      </c>
      <c r="S52" s="17">
        <v>12</v>
      </c>
      <c r="T52" s="17">
        <v>59</v>
      </c>
      <c r="U52" s="17">
        <v>25</v>
      </c>
      <c r="V52" s="12">
        <v>-53745</v>
      </c>
      <c r="W52" s="11">
        <v>1.041976956164286</v>
      </c>
      <c r="X52" s="17">
        <v>1</v>
      </c>
      <c r="Y52" s="12">
        <v>53745</v>
      </c>
      <c r="Z52" s="11">
        <v>65.550283747325338</v>
      </c>
      <c r="AA52" s="14">
        <v>401.82323937110431</v>
      </c>
      <c r="AB52" s="11">
        <v>3.4325002144379002E-2</v>
      </c>
      <c r="AC52" s="11">
        <v>0.25088636671380599</v>
      </c>
      <c r="AD52" s="15">
        <v>24135.828836776316</v>
      </c>
      <c r="AE52" s="11">
        <v>35.176720999570051</v>
      </c>
      <c r="AF52" s="11">
        <f>(Opti_Medias__30_OOS[[#This Row],[All: TS Index]]-AA$114) /ABS(AA$114)</f>
        <v>-0.7209937735233396</v>
      </c>
      <c r="AG52" s="11">
        <f>(Opti_Medias__30_OOS[[#This Row],[All: Expectancy Score]]-AB$114) /ABS(AB$114)</f>
        <v>-0.71745499400461032</v>
      </c>
      <c r="AH52" s="11"/>
      <c r="AI52" s="11">
        <f>(Opti_Medias__30_OOS[[#This Row],[All: Perfect Profit Correlation]]-AD$114) /ABS(AD$114)</f>
        <v>-0.72046663515944342</v>
      </c>
      <c r="AJ52" s="11">
        <f>(Opti_Medias__30_OOS[[#This Row],[All: Robustness Index]]-AE$114) /ABS(AE$114)</f>
        <v>-0.7541701177406599</v>
      </c>
      <c r="AK52" s="11">
        <f>SUM(Opti_Medias__30_OOS[[#This Row],[VAR TS Index]:[VAR Robustness Index]])</f>
        <v>-2.9130855204280532</v>
      </c>
      <c r="AL52" s="11">
        <f>Opti_Medias__30_OOS[[#This Row],[SUMA]]-Opti_Medias__30_OOS[[#This Row],[VAR Robustness Index]]</f>
        <v>-2.1589154026873931</v>
      </c>
    </row>
    <row r="53" spans="1:38" x14ac:dyDescent="0.25">
      <c r="A53" s="11"/>
      <c r="B53" s="17">
        <v>2</v>
      </c>
      <c r="C53" s="17">
        <v>8</v>
      </c>
      <c r="D53" s="17">
        <v>317</v>
      </c>
      <c r="E53" s="10">
        <v>36800</v>
      </c>
      <c r="F53" s="10">
        <v>929830</v>
      </c>
      <c r="G53" s="10">
        <v>-893030</v>
      </c>
      <c r="H53" s="17">
        <v>1767</v>
      </c>
      <c r="I53" s="11">
        <v>38.766270514997167</v>
      </c>
      <c r="J53" s="17">
        <v>685</v>
      </c>
      <c r="K53" s="17">
        <v>1080</v>
      </c>
      <c r="L53" s="12">
        <v>17600</v>
      </c>
      <c r="M53" s="12">
        <v>-7200</v>
      </c>
      <c r="N53" s="12">
        <v>1357.416015625</v>
      </c>
      <c r="O53" s="12">
        <v>-826.879638671875</v>
      </c>
      <c r="P53" s="11">
        <v>1.641612578349694</v>
      </c>
      <c r="Q53" s="13">
        <v>20.826259196378043</v>
      </c>
      <c r="R53" s="17">
        <v>9</v>
      </c>
      <c r="S53" s="17">
        <v>13</v>
      </c>
      <c r="T53" s="17">
        <v>53</v>
      </c>
      <c r="U53" s="17">
        <v>25</v>
      </c>
      <c r="V53" s="12">
        <v>-47925</v>
      </c>
      <c r="W53" s="11">
        <v>1.041208022126916</v>
      </c>
      <c r="X53" s="17">
        <v>1</v>
      </c>
      <c r="Y53" s="12">
        <v>47925</v>
      </c>
      <c r="Z53" s="11">
        <v>76.786645800730312</v>
      </c>
      <c r="AA53" s="14">
        <v>525.98852373500256</v>
      </c>
      <c r="AB53" s="11">
        <v>1.8772587032607001E-2</v>
      </c>
      <c r="AC53" s="11">
        <v>0.284470594201084</v>
      </c>
      <c r="AD53" s="15">
        <v>27966.38811299943</v>
      </c>
      <c r="AE53" s="11">
        <v>29.491641608254941</v>
      </c>
      <c r="AF53" s="11">
        <f>(Opti_Medias__30_OOS[[#This Row],[All: TS Index]]-AA$114) /ABS(AA$114)</f>
        <v>-0.63477952791626002</v>
      </c>
      <c r="AG53" s="11">
        <f>(Opti_Medias__30_OOS[[#This Row],[All: Expectancy Score]]-AB$114) /ABS(AB$114)</f>
        <v>-0.84547413301340435</v>
      </c>
      <c r="AH53" s="11"/>
      <c r="AI53" s="11">
        <f>(Opti_Medias__30_OOS[[#This Row],[All: Perfect Profit Correlation]]-AD$114) /ABS(AD$114)</f>
        <v>-0.67610233630129535</v>
      </c>
      <c r="AJ53" s="11">
        <f>(Opti_Medias__30_OOS[[#This Row],[All: Robustness Index]]-AE$114) /ABS(AE$114)</f>
        <v>-0.79389986962455716</v>
      </c>
      <c r="AK53" s="11">
        <f>SUM(Opti_Medias__30_OOS[[#This Row],[VAR TS Index]:[VAR Robustness Index]])</f>
        <v>-2.9502558668555166</v>
      </c>
      <c r="AL53" s="11">
        <f>Opti_Medias__30_OOS[[#This Row],[SUMA]]-Opti_Medias__30_OOS[[#This Row],[VAR Robustness Index]]</f>
        <v>-2.1563559972309596</v>
      </c>
    </row>
    <row r="54" spans="1:38" x14ac:dyDescent="0.25">
      <c r="A54" s="11"/>
      <c r="B54" s="17">
        <v>35</v>
      </c>
      <c r="C54" s="17">
        <v>1</v>
      </c>
      <c r="D54" s="17">
        <v>35</v>
      </c>
      <c r="E54" s="10">
        <v>31890</v>
      </c>
      <c r="F54" s="10">
        <v>828580</v>
      </c>
      <c r="G54" s="10">
        <v>-796690</v>
      </c>
      <c r="H54" s="17">
        <v>1751</v>
      </c>
      <c r="I54" s="11">
        <v>31.639063392347229</v>
      </c>
      <c r="J54" s="17">
        <v>554</v>
      </c>
      <c r="K54" s="17">
        <v>1191</v>
      </c>
      <c r="L54" s="12">
        <v>15070</v>
      </c>
      <c r="M54" s="12">
        <v>-5370</v>
      </c>
      <c r="N54" s="12">
        <v>1495.6317138671875</v>
      </c>
      <c r="O54" s="12">
        <v>-668.92529296875</v>
      </c>
      <c r="P54" s="11">
        <v>2.2358725699090258</v>
      </c>
      <c r="Q54" s="13">
        <v>18.212450028555111</v>
      </c>
      <c r="R54" s="17">
        <v>7</v>
      </c>
      <c r="S54" s="17">
        <v>16</v>
      </c>
      <c r="T54" s="17">
        <v>67</v>
      </c>
      <c r="U54" s="17">
        <v>22</v>
      </c>
      <c r="V54" s="12">
        <v>-39525</v>
      </c>
      <c r="W54" s="11">
        <v>1.040028116331321</v>
      </c>
      <c r="X54" s="17">
        <v>1</v>
      </c>
      <c r="Y54" s="12">
        <v>39525</v>
      </c>
      <c r="Z54" s="11">
        <v>80.683111954459207</v>
      </c>
      <c r="AA54" s="14">
        <v>446.984440227704</v>
      </c>
      <c r="AB54" s="11">
        <v>2.7835936272357E-2</v>
      </c>
      <c r="AC54" s="11">
        <v>0.197722007562456</v>
      </c>
      <c r="AD54" s="15">
        <v>20907.596248605863</v>
      </c>
      <c r="AE54" s="11">
        <v>36.91756168196919</v>
      </c>
      <c r="AF54" s="11">
        <f>(Opti_Medias__30_OOS[[#This Row],[All: TS Index]]-AA$114) /ABS(AA$114)</f>
        <v>-0.68963606446232284</v>
      </c>
      <c r="AG54" s="11">
        <f>(Opti_Medias__30_OOS[[#This Row],[All: Expectancy Score]]-AB$114) /ABS(AB$114)</f>
        <v>-0.77086950357996298</v>
      </c>
      <c r="AH54" s="11"/>
      <c r="AI54" s="11">
        <f>(Opti_Medias__30_OOS[[#This Row],[All: Perfect Profit Correlation]]-AD$114) /ABS(AD$114)</f>
        <v>-0.75785498108954963</v>
      </c>
      <c r="AJ54" s="11">
        <f>(Opti_Medias__30_OOS[[#This Row],[All: Robustness Index]]-AE$114) /ABS(AE$114)</f>
        <v>-0.74200438290733994</v>
      </c>
      <c r="AK54" s="11">
        <f>SUM(Opti_Medias__30_OOS[[#This Row],[VAR TS Index]:[VAR Robustness Index]])</f>
        <v>-2.9603649320391758</v>
      </c>
      <c r="AL54" s="11">
        <f>Opti_Medias__30_OOS[[#This Row],[SUMA]]-Opti_Medias__30_OOS[[#This Row],[VAR Robustness Index]]</f>
        <v>-2.2183605491318357</v>
      </c>
    </row>
    <row r="55" spans="1:38" x14ac:dyDescent="0.25">
      <c r="A55" s="11"/>
      <c r="B55" s="17">
        <v>28</v>
      </c>
      <c r="C55" s="17">
        <v>8</v>
      </c>
      <c r="D55" s="17">
        <v>343</v>
      </c>
      <c r="E55" s="10">
        <v>32570</v>
      </c>
      <c r="F55" s="10">
        <v>813110</v>
      </c>
      <c r="G55" s="10">
        <v>-780540</v>
      </c>
      <c r="H55" s="17">
        <v>1575</v>
      </c>
      <c r="I55" s="11">
        <v>31.61904761904762</v>
      </c>
      <c r="J55" s="17">
        <v>498</v>
      </c>
      <c r="K55" s="17">
        <v>1072</v>
      </c>
      <c r="L55" s="12">
        <v>15250</v>
      </c>
      <c r="M55" s="12">
        <v>-5240</v>
      </c>
      <c r="N55" s="12">
        <v>1632.7509765625</v>
      </c>
      <c r="O55" s="12">
        <v>-728.11566162109375</v>
      </c>
      <c r="P55" s="11">
        <v>2.242433534429551</v>
      </c>
      <c r="Q55" s="13">
        <v>20.679365079365081</v>
      </c>
      <c r="R55" s="17">
        <v>7</v>
      </c>
      <c r="S55" s="17">
        <v>16</v>
      </c>
      <c r="T55" s="17">
        <v>76</v>
      </c>
      <c r="U55" s="17">
        <v>23</v>
      </c>
      <c r="V55" s="12">
        <v>-39965</v>
      </c>
      <c r="W55" s="11">
        <v>1.0417275219719679</v>
      </c>
      <c r="X55" s="17">
        <v>1</v>
      </c>
      <c r="Y55" s="12">
        <v>39965</v>
      </c>
      <c r="Z55" s="11">
        <v>81.496309270611789</v>
      </c>
      <c r="AA55" s="14">
        <v>405.85162016764667</v>
      </c>
      <c r="AB55" s="11">
        <v>2.7301738547507001E-2</v>
      </c>
      <c r="AC55" s="11">
        <v>0.19973204181312701</v>
      </c>
      <c r="AD55" s="15">
        <v>22973.819239631212</v>
      </c>
      <c r="AE55" s="11">
        <v>37.02690675374415</v>
      </c>
      <c r="AF55" s="11">
        <f>(Opti_Medias__30_OOS[[#This Row],[All: TS Index]]-AA$114) /ABS(AA$114)</f>
        <v>-0.71819666470849508</v>
      </c>
      <c r="AG55" s="11">
        <f>(Opti_Medias__30_OOS[[#This Row],[All: Expectancy Score]]-AB$114) /ABS(AB$114)</f>
        <v>-0.77526673271153301</v>
      </c>
      <c r="AH55" s="11"/>
      <c r="AI55" s="11">
        <f>(Opti_Medias__30_OOS[[#This Row],[All: Perfect Profit Correlation]]-AD$114) /ABS(AD$114)</f>
        <v>-0.73392465455722999</v>
      </c>
      <c r="AJ55" s="11">
        <f>(Opti_Medias__30_OOS[[#This Row],[All: Robustness Index]]-AE$114) /ABS(AE$114)</f>
        <v>-0.74124023305606734</v>
      </c>
      <c r="AK55" s="11">
        <f>SUM(Opti_Medias__30_OOS[[#This Row],[VAR TS Index]:[VAR Robustness Index]])</f>
        <v>-2.9686282850333257</v>
      </c>
      <c r="AL55" s="11">
        <f>Opti_Medias__30_OOS[[#This Row],[SUMA]]-Opti_Medias__30_OOS[[#This Row],[VAR Robustness Index]]</f>
        <v>-2.2273880519772584</v>
      </c>
    </row>
    <row r="56" spans="1:38" x14ac:dyDescent="0.25">
      <c r="A56" s="11"/>
      <c r="B56" s="17">
        <v>26</v>
      </c>
      <c r="C56" s="17">
        <v>8</v>
      </c>
      <c r="D56" s="17">
        <v>341</v>
      </c>
      <c r="E56" s="10">
        <v>30750</v>
      </c>
      <c r="F56" s="10">
        <v>807640</v>
      </c>
      <c r="G56" s="10">
        <v>-776890</v>
      </c>
      <c r="H56" s="17">
        <v>1557</v>
      </c>
      <c r="I56" s="11">
        <v>32.048811817597944</v>
      </c>
      <c r="J56" s="17">
        <v>499</v>
      </c>
      <c r="K56" s="17">
        <v>1054</v>
      </c>
      <c r="L56" s="12">
        <v>15250</v>
      </c>
      <c r="M56" s="12">
        <v>-5240</v>
      </c>
      <c r="N56" s="12">
        <v>1618.51708984375</v>
      </c>
      <c r="O56" s="12">
        <v>-737.0872802734375</v>
      </c>
      <c r="P56" s="11">
        <v>2.1958282732044001</v>
      </c>
      <c r="Q56" s="13">
        <v>19.7495183044316</v>
      </c>
      <c r="R56" s="17">
        <v>7</v>
      </c>
      <c r="S56" s="17">
        <v>15</v>
      </c>
      <c r="T56" s="17">
        <v>75</v>
      </c>
      <c r="U56" s="17">
        <v>24</v>
      </c>
      <c r="V56" s="12">
        <v>-34085</v>
      </c>
      <c r="W56" s="11">
        <v>1.039580893047922</v>
      </c>
      <c r="X56" s="17">
        <v>1</v>
      </c>
      <c r="Y56" s="12">
        <v>34085</v>
      </c>
      <c r="Z56" s="11">
        <v>90.21563737714537</v>
      </c>
      <c r="AA56" s="14">
        <v>450.17603051195539</v>
      </c>
      <c r="AB56" s="11">
        <v>1.7291920028520001E-2</v>
      </c>
      <c r="AC56" s="11">
        <v>0.18524876795720099</v>
      </c>
      <c r="AD56" s="15">
        <v>22595.680032273685</v>
      </c>
      <c r="AE56" s="11">
        <v>39.846171069007575</v>
      </c>
      <c r="AF56" s="11">
        <f>(Opti_Medias__30_OOS[[#This Row],[All: TS Index]]-AA$114) /ABS(AA$114)</f>
        <v>-0.68741998168159013</v>
      </c>
      <c r="AG56" s="11">
        <f>(Opti_Medias__30_OOS[[#This Row],[All: Expectancy Score]]-AB$114) /ABS(AB$114)</f>
        <v>-0.85766218957308749</v>
      </c>
      <c r="AH56" s="11"/>
      <c r="AI56" s="11">
        <f>(Opti_Medias__30_OOS[[#This Row],[All: Perfect Profit Correlation]]-AD$114) /ABS(AD$114)</f>
        <v>-0.73830414057884652</v>
      </c>
      <c r="AJ56" s="11">
        <f>(Opti_Medias__30_OOS[[#This Row],[All: Robustness Index]]-AE$114) /ABS(AE$114)</f>
        <v>-0.72153801536819262</v>
      </c>
      <c r="AK56" s="11">
        <f>SUM(Opti_Medias__30_OOS[[#This Row],[VAR TS Index]:[VAR Robustness Index]])</f>
        <v>-3.0049243272017168</v>
      </c>
      <c r="AL56" s="11">
        <f>Opti_Medias__30_OOS[[#This Row],[SUMA]]-Opti_Medias__30_OOS[[#This Row],[VAR Robustness Index]]</f>
        <v>-2.283386311833524</v>
      </c>
    </row>
    <row r="57" spans="1:38" x14ac:dyDescent="0.25">
      <c r="A57" s="11"/>
      <c r="B57" s="17">
        <v>14</v>
      </c>
      <c r="C57" s="17">
        <v>8</v>
      </c>
      <c r="D57" s="17">
        <v>329</v>
      </c>
      <c r="E57" s="10">
        <v>32790</v>
      </c>
      <c r="F57" s="10">
        <v>851400</v>
      </c>
      <c r="G57" s="10">
        <v>-818610</v>
      </c>
      <c r="H57" s="17">
        <v>1641</v>
      </c>
      <c r="I57" s="11">
        <v>34.369287020109688</v>
      </c>
      <c r="J57" s="17">
        <v>564</v>
      </c>
      <c r="K57" s="17">
        <v>1074</v>
      </c>
      <c r="L57" s="12">
        <v>15630</v>
      </c>
      <c r="M57" s="12">
        <v>-6600</v>
      </c>
      <c r="N57" s="12">
        <v>1509.574462890625</v>
      </c>
      <c r="O57" s="12">
        <v>-762.20672607421875</v>
      </c>
      <c r="P57" s="11">
        <v>1.9805315424934109</v>
      </c>
      <c r="Q57" s="13">
        <v>19.981718464351005</v>
      </c>
      <c r="R57" s="17">
        <v>7</v>
      </c>
      <c r="S57" s="17">
        <v>21</v>
      </c>
      <c r="T57" s="17">
        <v>66</v>
      </c>
      <c r="U57" s="17">
        <v>24</v>
      </c>
      <c r="V57" s="12">
        <v>-41945</v>
      </c>
      <c r="W57" s="11">
        <v>1.040055704181478</v>
      </c>
      <c r="X57" s="17">
        <v>1</v>
      </c>
      <c r="Y57" s="12">
        <v>41945</v>
      </c>
      <c r="Z57" s="11">
        <v>78.173799022529508</v>
      </c>
      <c r="AA57" s="14">
        <v>440.90022648706639</v>
      </c>
      <c r="AB57" s="11">
        <v>1.4978463989992001E-2</v>
      </c>
      <c r="AC57" s="11">
        <v>0.219185844910498</v>
      </c>
      <c r="AD57" s="15">
        <v>22429.78673771656</v>
      </c>
      <c r="AE57" s="11">
        <v>38.349489550203067</v>
      </c>
      <c r="AF57" s="11">
        <f>(Opti_Medias__30_OOS[[#This Row],[All: TS Index]]-AA$114) /ABS(AA$114)</f>
        <v>-0.69386064221325028</v>
      </c>
      <c r="AG57" s="11">
        <f>(Opti_Medias__30_OOS[[#This Row],[All: Expectancy Score]]-AB$114) /ABS(AB$114)</f>
        <v>-0.87670531876289892</v>
      </c>
      <c r="AH57" s="11"/>
      <c r="AI57" s="11">
        <f>(Opti_Medias__30_OOS[[#This Row],[All: Perfect Profit Correlation]]-AD$114) /ABS(AD$114)</f>
        <v>-0.7402254630718772</v>
      </c>
      <c r="AJ57" s="11">
        <f>(Opti_Medias__30_OOS[[#This Row],[All: Robustness Index]]-AE$114) /ABS(AE$114)</f>
        <v>-0.73199746215835648</v>
      </c>
      <c r="AK57" s="11">
        <f>SUM(Opti_Medias__30_OOS[[#This Row],[VAR TS Index]:[VAR Robustness Index]])</f>
        <v>-3.0427888862063828</v>
      </c>
      <c r="AL57" s="11">
        <f>Opti_Medias__30_OOS[[#This Row],[SUMA]]-Opti_Medias__30_OOS[[#This Row],[VAR Robustness Index]]</f>
        <v>-2.3107914240480261</v>
      </c>
    </row>
    <row r="58" spans="1:38" x14ac:dyDescent="0.25">
      <c r="A58" s="11"/>
      <c r="B58" s="17">
        <v>17</v>
      </c>
      <c r="C58" s="17">
        <v>8</v>
      </c>
      <c r="D58" s="17">
        <v>332</v>
      </c>
      <c r="E58" s="10">
        <v>33620</v>
      </c>
      <c r="F58" s="10">
        <v>839240</v>
      </c>
      <c r="G58" s="10">
        <v>-805620</v>
      </c>
      <c r="H58" s="17">
        <v>1595</v>
      </c>
      <c r="I58" s="11">
        <v>33.228840125391848</v>
      </c>
      <c r="J58" s="17">
        <v>530</v>
      </c>
      <c r="K58" s="17">
        <v>1057</v>
      </c>
      <c r="L58" s="12">
        <v>14810</v>
      </c>
      <c r="M58" s="12">
        <v>-6600</v>
      </c>
      <c r="N58" s="12">
        <v>1583.4716796875</v>
      </c>
      <c r="O58" s="12">
        <v>-762.17596435546875</v>
      </c>
      <c r="P58" s="11">
        <v>2.077567062911196</v>
      </c>
      <c r="Q58" s="13">
        <v>21.078369905956112</v>
      </c>
      <c r="R58" s="17">
        <v>6</v>
      </c>
      <c r="S58" s="17">
        <v>17</v>
      </c>
      <c r="T58" s="17">
        <v>70</v>
      </c>
      <c r="U58" s="17">
        <v>24</v>
      </c>
      <c r="V58" s="12">
        <v>-40325</v>
      </c>
      <c r="W58" s="11">
        <v>1.041731833867084</v>
      </c>
      <c r="X58" s="17">
        <v>1</v>
      </c>
      <c r="Y58" s="12">
        <v>40325</v>
      </c>
      <c r="Z58" s="11">
        <v>83.372597644141351</v>
      </c>
      <c r="AA58" s="14">
        <v>441.87476751394917</v>
      </c>
      <c r="AB58" s="11">
        <v>1.7559141101074999E-2</v>
      </c>
      <c r="AC58" s="11">
        <v>0.21945255691976401</v>
      </c>
      <c r="AD58" s="15">
        <v>21483.15046561063</v>
      </c>
      <c r="AE58" s="11">
        <v>35.599818599896409</v>
      </c>
      <c r="AF58" s="11">
        <f>(Opti_Medias__30_OOS[[#This Row],[All: TS Index]]-AA$114) /ABS(AA$114)</f>
        <v>-0.69318396902012491</v>
      </c>
      <c r="AG58" s="11">
        <f>(Opti_Medias__30_OOS[[#This Row],[All: Expectancy Score]]-AB$114) /ABS(AB$114)</f>
        <v>-0.85546256903906492</v>
      </c>
      <c r="AH58" s="11"/>
      <c r="AI58" s="11">
        <f>(Opti_Medias__30_OOS[[#This Row],[All: Perfect Profit Correlation]]-AD$114) /ABS(AD$114)</f>
        <v>-0.75118909826383262</v>
      </c>
      <c r="AJ58" s="11">
        <f>(Opti_Medias__30_OOS[[#This Row],[All: Robustness Index]]-AE$114) /ABS(AE$114)</f>
        <v>-0.7512133318232429</v>
      </c>
      <c r="AK58" s="11">
        <f>SUM(Opti_Medias__30_OOS[[#This Row],[VAR TS Index]:[VAR Robustness Index]])</f>
        <v>-3.0510489681462656</v>
      </c>
      <c r="AL58" s="11">
        <f>Opti_Medias__30_OOS[[#This Row],[SUMA]]-Opti_Medias__30_OOS[[#This Row],[VAR Robustness Index]]</f>
        <v>-2.2998356363230226</v>
      </c>
    </row>
    <row r="59" spans="1:38" x14ac:dyDescent="0.25">
      <c r="A59" s="11"/>
      <c r="B59" s="17">
        <v>4</v>
      </c>
      <c r="C59" s="17">
        <v>3</v>
      </c>
      <c r="D59" s="17">
        <v>94</v>
      </c>
      <c r="E59" s="10">
        <v>26610</v>
      </c>
      <c r="F59" s="10">
        <v>874890</v>
      </c>
      <c r="G59" s="10">
        <v>-848280</v>
      </c>
      <c r="H59" s="17">
        <v>2000</v>
      </c>
      <c r="I59" s="11">
        <v>44.45</v>
      </c>
      <c r="J59" s="17">
        <v>889</v>
      </c>
      <c r="K59" s="17">
        <v>1090</v>
      </c>
      <c r="L59" s="12">
        <v>15240</v>
      </c>
      <c r="M59" s="12">
        <v>-5670</v>
      </c>
      <c r="N59" s="12">
        <v>984.12823486328125</v>
      </c>
      <c r="O59" s="12">
        <v>-778.238525390625</v>
      </c>
      <c r="P59" s="11">
        <v>1.2645586189263931</v>
      </c>
      <c r="Q59" s="13">
        <v>13.305</v>
      </c>
      <c r="R59" s="17">
        <v>7</v>
      </c>
      <c r="S59" s="17">
        <v>10</v>
      </c>
      <c r="T59" s="17">
        <v>37</v>
      </c>
      <c r="U59" s="17">
        <v>27</v>
      </c>
      <c r="V59" s="12">
        <v>-80905</v>
      </c>
      <c r="W59" s="11">
        <v>1.031369359173858</v>
      </c>
      <c r="X59" s="17">
        <v>1</v>
      </c>
      <c r="Y59" s="12">
        <v>80905</v>
      </c>
      <c r="Z59" s="11">
        <v>32.890427044064026</v>
      </c>
      <c r="AA59" s="14">
        <v>292.39589642172916</v>
      </c>
      <c r="AB59" s="11">
        <v>2.7019987766124E-2</v>
      </c>
      <c r="AC59" s="11">
        <v>0.229607915263043</v>
      </c>
      <c r="AD59" s="15">
        <v>21780.189631299116</v>
      </c>
      <c r="AE59" s="11">
        <v>36.683720652824057</v>
      </c>
      <c r="AF59" s="11">
        <f>(Opti_Medias__30_OOS[[#This Row],[All: TS Index]]-AA$114) /ABS(AA$114)</f>
        <v>-0.79697471996500557</v>
      </c>
      <c r="AG59" s="11">
        <f>(Opti_Medias__30_OOS[[#This Row],[All: Expectancy Score]]-AB$114) /ABS(AB$114)</f>
        <v>-0.77758595401500807</v>
      </c>
      <c r="AH59" s="11"/>
      <c r="AI59" s="11">
        <f>(Opti_Medias__30_OOS[[#This Row],[All: Perfect Profit Correlation]]-AD$114) /ABS(AD$114)</f>
        <v>-0.74774888669969453</v>
      </c>
      <c r="AJ59" s="11">
        <f>(Opti_Medias__30_OOS[[#This Row],[All: Robustness Index]]-AE$114) /ABS(AE$114)</f>
        <v>-0.74363856344005219</v>
      </c>
      <c r="AK59" s="11">
        <f>SUM(Opti_Medias__30_OOS[[#This Row],[VAR TS Index]:[VAR Robustness Index]])</f>
        <v>-3.0659481241197604</v>
      </c>
      <c r="AL59" s="11">
        <f>Opti_Medias__30_OOS[[#This Row],[SUMA]]-Opti_Medias__30_OOS[[#This Row],[VAR Robustness Index]]</f>
        <v>-2.3223095606797082</v>
      </c>
    </row>
    <row r="60" spans="1:38" x14ac:dyDescent="0.25">
      <c r="A60" s="11"/>
      <c r="B60" s="17">
        <v>15</v>
      </c>
      <c r="C60" s="17">
        <v>1</v>
      </c>
      <c r="D60" s="17">
        <v>15</v>
      </c>
      <c r="E60" s="10">
        <v>28050</v>
      </c>
      <c r="F60" s="10">
        <v>799430</v>
      </c>
      <c r="G60" s="10">
        <v>-771380</v>
      </c>
      <c r="H60" s="17">
        <v>1602</v>
      </c>
      <c r="I60" s="11">
        <v>37.765293383270908</v>
      </c>
      <c r="J60" s="17">
        <v>605</v>
      </c>
      <c r="K60" s="17">
        <v>987</v>
      </c>
      <c r="L60" s="12">
        <v>15330</v>
      </c>
      <c r="M60" s="12">
        <v>-7380</v>
      </c>
      <c r="N60" s="12">
        <v>1321.3719482421875</v>
      </c>
      <c r="O60" s="12">
        <v>-781.5400390625</v>
      </c>
      <c r="P60" s="11">
        <v>1.69072841082748</v>
      </c>
      <c r="Q60" s="13">
        <v>17.509363295880149</v>
      </c>
      <c r="R60" s="17">
        <v>8</v>
      </c>
      <c r="S60" s="17">
        <v>13</v>
      </c>
      <c r="T60" s="17">
        <v>60</v>
      </c>
      <c r="U60" s="17">
        <v>27</v>
      </c>
      <c r="V60" s="12">
        <v>-50895</v>
      </c>
      <c r="W60" s="11">
        <v>1.03636340065856</v>
      </c>
      <c r="X60" s="17">
        <v>1</v>
      </c>
      <c r="Y60" s="12">
        <v>50895</v>
      </c>
      <c r="Z60" s="11">
        <v>55.113468906572358</v>
      </c>
      <c r="AA60" s="14">
        <v>333.43648688476276</v>
      </c>
      <c r="AB60" s="11">
        <v>1.7561330938994001E-2</v>
      </c>
      <c r="AC60" s="11">
        <v>0.20101844594155399</v>
      </c>
      <c r="AD60" s="15">
        <v>17207.715520235066</v>
      </c>
      <c r="AE60" s="11">
        <v>48.210748687141162</v>
      </c>
      <c r="AF60" s="11">
        <f>(Opti_Medias__30_OOS[[#This Row],[All: TS Index]]-AA$114) /ABS(AA$114)</f>
        <v>-0.76847815939925423</v>
      </c>
      <c r="AG60" s="11">
        <f>(Opti_Medias__30_OOS[[#This Row],[All: Expectancy Score]]-AB$114) /ABS(AB$114)</f>
        <v>-0.8554445434679272</v>
      </c>
      <c r="AH60" s="11"/>
      <c r="AI60" s="11">
        <f>(Opti_Medias__30_OOS[[#This Row],[All: Perfect Profit Correlation]]-AD$114) /ABS(AD$114)</f>
        <v>-0.80070580326369112</v>
      </c>
      <c r="AJ60" s="11">
        <f>(Opti_Medias__30_OOS[[#This Row],[All: Robustness Index]]-AE$114) /ABS(AE$114)</f>
        <v>-0.66308279064613773</v>
      </c>
      <c r="AK60" s="11">
        <f>SUM(Opti_Medias__30_OOS[[#This Row],[VAR TS Index]:[VAR Robustness Index]])</f>
        <v>-3.0877112967770102</v>
      </c>
      <c r="AL60" s="11">
        <f>Opti_Medias__30_OOS[[#This Row],[SUMA]]-Opti_Medias__30_OOS[[#This Row],[VAR Robustness Index]]</f>
        <v>-2.4246285061308726</v>
      </c>
    </row>
    <row r="61" spans="1:38" x14ac:dyDescent="0.25">
      <c r="A61" s="11"/>
      <c r="B61" s="17">
        <v>15</v>
      </c>
      <c r="C61" s="17">
        <v>8</v>
      </c>
      <c r="D61" s="17">
        <v>330</v>
      </c>
      <c r="E61" s="10">
        <v>31900</v>
      </c>
      <c r="F61" s="10">
        <v>842970</v>
      </c>
      <c r="G61" s="10">
        <v>-811070</v>
      </c>
      <c r="H61" s="17">
        <v>1605</v>
      </c>
      <c r="I61" s="11">
        <v>34.454828660436135</v>
      </c>
      <c r="J61" s="17">
        <v>553</v>
      </c>
      <c r="K61" s="17">
        <v>1048</v>
      </c>
      <c r="L61" s="12">
        <v>14910</v>
      </c>
      <c r="M61" s="12">
        <v>-6600</v>
      </c>
      <c r="N61" s="12">
        <v>1524.3580322265625</v>
      </c>
      <c r="O61" s="12">
        <v>-773.9217529296875</v>
      </c>
      <c r="P61" s="11">
        <v>1.9696539429937101</v>
      </c>
      <c r="Q61" s="13">
        <v>19.875389408099689</v>
      </c>
      <c r="R61" s="17">
        <v>7</v>
      </c>
      <c r="S61" s="17">
        <v>21</v>
      </c>
      <c r="T61" s="17">
        <v>67</v>
      </c>
      <c r="U61" s="17">
        <v>25</v>
      </c>
      <c r="V61" s="12">
        <v>-36655</v>
      </c>
      <c r="W61" s="11">
        <v>1.0393307606001949</v>
      </c>
      <c r="X61" s="17">
        <v>1</v>
      </c>
      <c r="Y61" s="12">
        <v>36655</v>
      </c>
      <c r="Z61" s="11">
        <v>87.027690628836453</v>
      </c>
      <c r="AA61" s="14">
        <v>481.26312917746554</v>
      </c>
      <c r="AB61" s="11">
        <v>4.9912354910470001E-3</v>
      </c>
      <c r="AC61" s="11">
        <v>0.21107305256441</v>
      </c>
      <c r="AD61" s="15">
        <v>22853.224166467477</v>
      </c>
      <c r="AE61" s="11">
        <v>35.107240347511102</v>
      </c>
      <c r="AF61" s="11">
        <f>(Opti_Medias__30_OOS[[#This Row],[All: TS Index]]-AA$114) /ABS(AA$114)</f>
        <v>-0.66583463459129599</v>
      </c>
      <c r="AG61" s="11">
        <f>(Opti_Medias__30_OOS[[#This Row],[All: Expectancy Score]]-AB$114) /ABS(AB$114)</f>
        <v>-0.95891482669657402</v>
      </c>
      <c r="AH61" s="11"/>
      <c r="AI61" s="11">
        <f>(Opti_Medias__30_OOS[[#This Row],[All: Perfect Profit Correlation]]-AD$114) /ABS(AD$114)</f>
        <v>-0.73532134769806323</v>
      </c>
      <c r="AJ61" s="11">
        <f>(Opti_Medias__30_OOS[[#This Row],[All: Robustness Index]]-AE$114) /ABS(AE$114)</f>
        <v>-0.75465567807799683</v>
      </c>
      <c r="AK61" s="11">
        <f>SUM(Opti_Medias__30_OOS[[#This Row],[VAR TS Index]:[VAR Robustness Index]])</f>
        <v>-3.1147264870639302</v>
      </c>
      <c r="AL61" s="11">
        <f>Opti_Medias__30_OOS[[#This Row],[SUMA]]-Opti_Medias__30_OOS[[#This Row],[VAR Robustness Index]]</f>
        <v>-2.3600708089859332</v>
      </c>
    </row>
    <row r="62" spans="1:38" x14ac:dyDescent="0.25">
      <c r="A62" s="11"/>
      <c r="B62" s="17">
        <v>5</v>
      </c>
      <c r="C62" s="17">
        <v>3</v>
      </c>
      <c r="D62" s="17">
        <v>95</v>
      </c>
      <c r="E62" s="10">
        <v>30310</v>
      </c>
      <c r="F62" s="10">
        <v>878590</v>
      </c>
      <c r="G62" s="10">
        <v>-848280</v>
      </c>
      <c r="H62" s="17">
        <v>1856</v>
      </c>
      <c r="I62" s="11">
        <v>44.073275862068968</v>
      </c>
      <c r="J62" s="17">
        <v>818</v>
      </c>
      <c r="K62" s="17">
        <v>1023</v>
      </c>
      <c r="L62" s="12">
        <v>17700</v>
      </c>
      <c r="M62" s="12">
        <v>-6730</v>
      </c>
      <c r="N62" s="12">
        <v>1074.0709228515625</v>
      </c>
      <c r="O62" s="12">
        <v>-829.20819091796875</v>
      </c>
      <c r="P62" s="11">
        <v>1.2952970491795559</v>
      </c>
      <c r="Q62" s="13">
        <v>16.330818965517242</v>
      </c>
      <c r="R62" s="17">
        <v>7</v>
      </c>
      <c r="S62" s="17">
        <v>10</v>
      </c>
      <c r="T62" s="17">
        <v>41</v>
      </c>
      <c r="U62" s="17">
        <v>29</v>
      </c>
      <c r="V62" s="12">
        <v>-78885</v>
      </c>
      <c r="W62" s="11">
        <v>1.0357311265148299</v>
      </c>
      <c r="X62" s="17">
        <v>1</v>
      </c>
      <c r="Y62" s="12">
        <v>78885</v>
      </c>
      <c r="Z62" s="11">
        <v>38.423020853140649</v>
      </c>
      <c r="AA62" s="14">
        <v>314.30031057869047</v>
      </c>
      <c r="AB62" s="11">
        <v>2.0653921070380001E-3</v>
      </c>
      <c r="AC62" s="11">
        <v>0.26112524251362201</v>
      </c>
      <c r="AD62" s="15">
        <v>25995.541528672486</v>
      </c>
      <c r="AE62" s="11">
        <v>37.705560198785172</v>
      </c>
      <c r="AF62" s="11">
        <f>(Opti_Medias__30_OOS[[#This Row],[All: TS Index]]-AA$114) /ABS(AA$114)</f>
        <v>-0.78176537580989691</v>
      </c>
      <c r="AG62" s="11">
        <f>(Opti_Medias__30_OOS[[#This Row],[All: Expectancy Score]]-AB$114) /ABS(AB$114)</f>
        <v>-0.98299880003470164</v>
      </c>
      <c r="AH62" s="11"/>
      <c r="AI62" s="11">
        <f>(Opti_Medias__30_OOS[[#This Row],[All: Perfect Profit Correlation]]-AD$114) /ABS(AD$114)</f>
        <v>-0.69892804413288145</v>
      </c>
      <c r="AJ62" s="11">
        <f>(Opti_Medias__30_OOS[[#This Row],[All: Robustness Index]]-AE$114) /ABS(AE$114)</f>
        <v>-0.7364975142423561</v>
      </c>
      <c r="AK62" s="11">
        <f>SUM(Opti_Medias__30_OOS[[#This Row],[VAR TS Index]:[VAR Robustness Index]])</f>
        <v>-3.200189734219836</v>
      </c>
      <c r="AL62" s="11">
        <f>Opti_Medias__30_OOS[[#This Row],[SUMA]]-Opti_Medias__30_OOS[[#This Row],[VAR Robustness Index]]</f>
        <v>-2.4636922199774798</v>
      </c>
    </row>
    <row r="63" spans="1:38" x14ac:dyDescent="0.25">
      <c r="A63" s="11"/>
      <c r="B63" s="17">
        <v>8</v>
      </c>
      <c r="C63" s="17">
        <v>3</v>
      </c>
      <c r="D63" s="17">
        <v>98</v>
      </c>
      <c r="E63" s="10">
        <v>31810</v>
      </c>
      <c r="F63" s="10">
        <v>859540</v>
      </c>
      <c r="G63" s="10">
        <v>-827730</v>
      </c>
      <c r="H63" s="17">
        <v>1660</v>
      </c>
      <c r="I63" s="11">
        <v>42.46987951807229</v>
      </c>
      <c r="J63" s="17">
        <v>705</v>
      </c>
      <c r="K63" s="17">
        <v>941</v>
      </c>
      <c r="L63" s="12">
        <v>16010</v>
      </c>
      <c r="M63" s="12">
        <v>-5040</v>
      </c>
      <c r="N63" s="12">
        <v>1219.2056884765625</v>
      </c>
      <c r="O63" s="12">
        <v>-879.6280517578125</v>
      </c>
      <c r="P63" s="11">
        <v>1.386046847915039</v>
      </c>
      <c r="Q63" s="13">
        <v>19.162650602409638</v>
      </c>
      <c r="R63" s="17">
        <v>8</v>
      </c>
      <c r="S63" s="17">
        <v>12</v>
      </c>
      <c r="T63" s="17">
        <v>46</v>
      </c>
      <c r="U63" s="17">
        <v>32</v>
      </c>
      <c r="V63" s="12">
        <v>-97555</v>
      </c>
      <c r="W63" s="11">
        <v>1.038430406050282</v>
      </c>
      <c r="X63" s="17">
        <v>1</v>
      </c>
      <c r="Y63" s="12">
        <v>97555</v>
      </c>
      <c r="Z63" s="11">
        <v>32.607247193890629</v>
      </c>
      <c r="AA63" s="14">
        <v>229.88109271692892</v>
      </c>
      <c r="AB63" s="11">
        <v>1.239269517404E-2</v>
      </c>
      <c r="AC63" s="11">
        <v>0.26421077615019101</v>
      </c>
      <c r="AD63" s="15">
        <v>23248.135234904035</v>
      </c>
      <c r="AE63" s="11">
        <v>32.13176106374447</v>
      </c>
      <c r="AF63" s="11">
        <f>(Opti_Medias__30_OOS[[#This Row],[All: TS Index]]-AA$114) /ABS(AA$114)</f>
        <v>-0.84038191440180332</v>
      </c>
      <c r="AG63" s="11">
        <f>(Opti_Medias__30_OOS[[#This Row],[All: Expectancy Score]]-AB$114) /ABS(AB$114)</f>
        <v>-0.89798998067006486</v>
      </c>
      <c r="AH63" s="11"/>
      <c r="AI63" s="11">
        <f>(Opti_Medias__30_OOS[[#This Row],[All: Perfect Profit Correlation]]-AD$114) /ABS(AD$114)</f>
        <v>-0.73074761540490718</v>
      </c>
      <c r="AJ63" s="11">
        <f>(Opti_Medias__30_OOS[[#This Row],[All: Robustness Index]]-AE$114) /ABS(AE$114)</f>
        <v>-0.77544959238292566</v>
      </c>
      <c r="AK63" s="11">
        <f>SUM(Opti_Medias__30_OOS[[#This Row],[VAR TS Index]:[VAR Robustness Index]])</f>
        <v>-3.2445691028597006</v>
      </c>
      <c r="AL63" s="11">
        <f>Opti_Medias__30_OOS[[#This Row],[SUMA]]-Opti_Medias__30_OOS[[#This Row],[VAR Robustness Index]]</f>
        <v>-2.4691195104767747</v>
      </c>
    </row>
    <row r="64" spans="1:38" x14ac:dyDescent="0.25">
      <c r="A64" s="11"/>
      <c r="B64" s="17">
        <v>32</v>
      </c>
      <c r="C64" s="17">
        <v>1</v>
      </c>
      <c r="D64" s="17">
        <v>32</v>
      </c>
      <c r="E64" s="10">
        <v>26170</v>
      </c>
      <c r="F64" s="10">
        <v>810170</v>
      </c>
      <c r="G64" s="10">
        <v>-784000</v>
      </c>
      <c r="H64" s="17">
        <v>1617</v>
      </c>
      <c r="I64" s="11">
        <v>32.529375386518247</v>
      </c>
      <c r="J64" s="17">
        <v>526</v>
      </c>
      <c r="K64" s="17">
        <v>1086</v>
      </c>
      <c r="L64" s="12">
        <v>15720</v>
      </c>
      <c r="M64" s="12">
        <v>-5700</v>
      </c>
      <c r="N64" s="12">
        <v>1540.2471923828125</v>
      </c>
      <c r="O64" s="12">
        <v>-721.915283203125</v>
      </c>
      <c r="P64" s="11">
        <v>2.1335567042558838</v>
      </c>
      <c r="Q64" s="13">
        <v>16.184291898577612</v>
      </c>
      <c r="R64" s="17">
        <v>7</v>
      </c>
      <c r="S64" s="17">
        <v>15</v>
      </c>
      <c r="T64" s="17">
        <v>70</v>
      </c>
      <c r="U64" s="17">
        <v>24</v>
      </c>
      <c r="V64" s="12">
        <v>-53515</v>
      </c>
      <c r="W64" s="11">
        <v>1.033380102040816</v>
      </c>
      <c r="X64" s="17">
        <v>1</v>
      </c>
      <c r="Y64" s="12">
        <v>53515</v>
      </c>
      <c r="Z64" s="11">
        <v>48.902176959730916</v>
      </c>
      <c r="AA64" s="14">
        <v>257.22545080818463</v>
      </c>
      <c r="AB64" s="11">
        <v>3.6465459906579998E-3</v>
      </c>
      <c r="AC64" s="11">
        <v>0.14635276769952699</v>
      </c>
      <c r="AD64" s="15">
        <v>16185.414272136461</v>
      </c>
      <c r="AE64" s="11">
        <v>45.495592756570851</v>
      </c>
      <c r="AF64" s="11">
        <f>(Opti_Medias__30_OOS[[#This Row],[All: TS Index]]-AA$114) /ABS(AA$114)</f>
        <v>-0.82139534165302852</v>
      </c>
      <c r="AG64" s="11">
        <f>(Opti_Medias__30_OOS[[#This Row],[All: Expectancy Score]]-AB$114) /ABS(AB$114)</f>
        <v>-0.96998358938306284</v>
      </c>
      <c r="AH64" s="11"/>
      <c r="AI64" s="11">
        <f>(Opti_Medias__30_OOS[[#This Row],[All: Perfect Profit Correlation]]-AD$114) /ABS(AD$114)</f>
        <v>-0.81254576573998583</v>
      </c>
      <c r="AJ64" s="11">
        <f>(Opti_Medias__30_OOS[[#This Row],[All: Robustness Index]]-AE$114) /ABS(AE$114)</f>
        <v>-0.68205745467852452</v>
      </c>
      <c r="AK64" s="11">
        <f>SUM(Opti_Medias__30_OOS[[#This Row],[VAR TS Index]:[VAR Robustness Index]])</f>
        <v>-3.2859821514546015</v>
      </c>
      <c r="AL64" s="11">
        <f>Opti_Medias__30_OOS[[#This Row],[SUMA]]-Opti_Medias__30_OOS[[#This Row],[VAR Robustness Index]]</f>
        <v>-2.603924696776077</v>
      </c>
    </row>
    <row r="65" spans="1:38" x14ac:dyDescent="0.25">
      <c r="A65" s="11"/>
      <c r="B65" s="17">
        <v>1</v>
      </c>
      <c r="C65" s="17">
        <v>8</v>
      </c>
      <c r="D65" s="17">
        <v>316</v>
      </c>
      <c r="E65" s="10">
        <v>27230</v>
      </c>
      <c r="F65" s="10">
        <v>930970</v>
      </c>
      <c r="G65" s="10">
        <v>-903740</v>
      </c>
      <c r="H65" s="17">
        <v>1775</v>
      </c>
      <c r="I65" s="11">
        <v>38.87323943661972</v>
      </c>
      <c r="J65" s="17">
        <v>690</v>
      </c>
      <c r="K65" s="17">
        <v>1081</v>
      </c>
      <c r="L65" s="12">
        <v>17380</v>
      </c>
      <c r="M65" s="12">
        <v>-7200</v>
      </c>
      <c r="N65" s="12">
        <v>1349.23193359375</v>
      </c>
      <c r="O65" s="12">
        <v>-836.022216796875</v>
      </c>
      <c r="P65" s="11">
        <v>1.6138709073583959</v>
      </c>
      <c r="Q65" s="13">
        <v>15.340845070422535</v>
      </c>
      <c r="R65" s="17">
        <v>7</v>
      </c>
      <c r="S65" s="17">
        <v>11</v>
      </c>
      <c r="T65" s="17">
        <v>52</v>
      </c>
      <c r="U65" s="17">
        <v>26</v>
      </c>
      <c r="V65" s="12">
        <v>-60485</v>
      </c>
      <c r="W65" s="11">
        <v>1.0301303472237591</v>
      </c>
      <c r="X65" s="17">
        <v>1</v>
      </c>
      <c r="Y65" s="12">
        <v>60485</v>
      </c>
      <c r="Z65" s="11">
        <v>45.019426304042327</v>
      </c>
      <c r="AA65" s="14">
        <v>310.63404149789204</v>
      </c>
      <c r="AB65" s="11">
        <v>9.9970655766919991E-3</v>
      </c>
      <c r="AC65" s="11">
        <v>0.192757876418052</v>
      </c>
      <c r="AD65" s="15">
        <v>17173.003570946636</v>
      </c>
      <c r="AE65" s="11">
        <v>21.171421282582116</v>
      </c>
      <c r="AF65" s="11">
        <f>(Opti_Medias__30_OOS[[#This Row],[All: TS Index]]-AA$114) /ABS(AA$114)</f>
        <v>-0.78431105212041241</v>
      </c>
      <c r="AG65" s="11">
        <f>(Opti_Medias__30_OOS[[#This Row],[All: Expectancy Score]]-AB$114) /ABS(AB$114)</f>
        <v>-0.91770951851884153</v>
      </c>
      <c r="AH65" s="11"/>
      <c r="AI65" s="11">
        <f>(Opti_Medias__30_OOS[[#This Row],[All: Perfect Profit Correlation]]-AD$114) /ABS(AD$114)</f>
        <v>-0.80110782583562723</v>
      </c>
      <c r="AJ65" s="11">
        <f>(Opti_Medias__30_OOS[[#This Row],[All: Robustness Index]]-AE$114) /ABS(AE$114)</f>
        <v>-0.85204510672772316</v>
      </c>
      <c r="AK65" s="11">
        <f>SUM(Opti_Medias__30_OOS[[#This Row],[VAR TS Index]:[VAR Robustness Index]])</f>
        <v>-3.3551735032026042</v>
      </c>
      <c r="AL65" s="11">
        <f>Opti_Medias__30_OOS[[#This Row],[SUMA]]-Opti_Medias__30_OOS[[#This Row],[VAR Robustness Index]]</f>
        <v>-2.5031283964748812</v>
      </c>
    </row>
    <row r="66" spans="1:38" x14ac:dyDescent="0.25">
      <c r="A66" s="11"/>
      <c r="B66" s="17">
        <v>37</v>
      </c>
      <c r="C66" s="17">
        <v>8</v>
      </c>
      <c r="D66" s="17">
        <v>352</v>
      </c>
      <c r="E66" s="10">
        <v>22230</v>
      </c>
      <c r="F66" s="10">
        <v>855820</v>
      </c>
      <c r="G66" s="10">
        <v>-833590</v>
      </c>
      <c r="H66" s="17">
        <v>1897</v>
      </c>
      <c r="I66" s="11">
        <v>28.6768581971534</v>
      </c>
      <c r="J66" s="17">
        <v>544</v>
      </c>
      <c r="K66" s="17">
        <v>1349</v>
      </c>
      <c r="L66" s="12">
        <v>14810</v>
      </c>
      <c r="M66" s="12">
        <v>-4490</v>
      </c>
      <c r="N66" s="12">
        <v>1573.198486328125</v>
      </c>
      <c r="O66" s="12">
        <v>-617.93182373046875</v>
      </c>
      <c r="P66" s="11">
        <v>2.545909477247327</v>
      </c>
      <c r="Q66" s="13">
        <v>11.718502899314707</v>
      </c>
      <c r="R66" s="17">
        <v>7</v>
      </c>
      <c r="S66" s="17">
        <v>17</v>
      </c>
      <c r="T66" s="17">
        <v>70</v>
      </c>
      <c r="U66" s="17">
        <v>18</v>
      </c>
      <c r="V66" s="12">
        <v>-58855</v>
      </c>
      <c r="W66" s="11">
        <v>1.026667786321813</v>
      </c>
      <c r="X66" s="17">
        <v>1</v>
      </c>
      <c r="Y66" s="12">
        <v>58855</v>
      </c>
      <c r="Z66" s="11">
        <v>37.77079262594512</v>
      </c>
      <c r="AA66" s="14">
        <v>205.47311188514146</v>
      </c>
      <c r="AB66" s="11">
        <v>1.7091085728477E-2</v>
      </c>
      <c r="AC66" s="11">
        <v>8.2328738079398001E-2</v>
      </c>
      <c r="AD66" s="15">
        <v>4960.4548199346118</v>
      </c>
      <c r="AE66" s="11">
        <v>39.614115704288913</v>
      </c>
      <c r="AF66" s="11">
        <f>(Opti_Medias__30_OOS[[#This Row],[All: TS Index]]-AA$114) /ABS(AA$114)</f>
        <v>-0.85732961169887856</v>
      </c>
      <c r="AG66" s="11">
        <f>(Opti_Medias__30_OOS[[#This Row],[All: Expectancy Score]]-AB$114) /ABS(AB$114)</f>
        <v>-0.85931534980512614</v>
      </c>
      <c r="AH66" s="11"/>
      <c r="AI66" s="11">
        <f>(Opti_Medias__30_OOS[[#This Row],[All: Perfect Profit Correlation]]-AD$114) /ABS(AD$114)</f>
        <v>-0.94254961632628642</v>
      </c>
      <c r="AJ66" s="11">
        <f>(Opti_Medias__30_OOS[[#This Row],[All: Robustness Index]]-AE$114) /ABS(AE$114)</f>
        <v>-0.72315971691869052</v>
      </c>
      <c r="AK66" s="11">
        <f>SUM(Opti_Medias__30_OOS[[#This Row],[VAR TS Index]:[VAR Robustness Index]])</f>
        <v>-3.3823542947489815</v>
      </c>
      <c r="AL66" s="11">
        <f>Opti_Medias__30_OOS[[#This Row],[SUMA]]-Opti_Medias__30_OOS[[#This Row],[VAR Robustness Index]]</f>
        <v>-2.659194577830291</v>
      </c>
    </row>
    <row r="67" spans="1:38" x14ac:dyDescent="0.25">
      <c r="A67" s="11"/>
      <c r="B67" s="17">
        <v>37</v>
      </c>
      <c r="C67" s="17">
        <v>2</v>
      </c>
      <c r="D67" s="17">
        <v>82</v>
      </c>
      <c r="E67" s="10">
        <v>22310</v>
      </c>
      <c r="F67" s="10">
        <v>794730</v>
      </c>
      <c r="G67" s="10">
        <v>-772420</v>
      </c>
      <c r="H67" s="17">
        <v>1771</v>
      </c>
      <c r="I67" s="11">
        <v>25.691699604743082</v>
      </c>
      <c r="J67" s="17">
        <v>455</v>
      </c>
      <c r="K67" s="17">
        <v>1311</v>
      </c>
      <c r="L67" s="12">
        <v>14230</v>
      </c>
      <c r="M67" s="12">
        <v>-3650</v>
      </c>
      <c r="N67" s="12">
        <v>1746.6593017578125</v>
      </c>
      <c r="O67" s="12">
        <v>-589.183837890625</v>
      </c>
      <c r="P67" s="11">
        <v>2.9645404191858691</v>
      </c>
      <c r="Q67" s="13">
        <v>12.597402597402597</v>
      </c>
      <c r="R67" s="17">
        <v>5</v>
      </c>
      <c r="S67" s="17">
        <v>22</v>
      </c>
      <c r="T67" s="17">
        <v>87</v>
      </c>
      <c r="U67" s="17">
        <v>18</v>
      </c>
      <c r="V67" s="12">
        <v>-57805</v>
      </c>
      <c r="W67" s="11">
        <v>1.028883250045312</v>
      </c>
      <c r="X67" s="17">
        <v>1</v>
      </c>
      <c r="Y67" s="12">
        <v>57805</v>
      </c>
      <c r="Z67" s="11">
        <v>38.595277225153531</v>
      </c>
      <c r="AA67" s="14">
        <v>175.60851137444857</v>
      </c>
      <c r="AB67" s="11">
        <v>2.2068215588071999E-2</v>
      </c>
      <c r="AC67" s="11">
        <v>6.3854942866466993E-2</v>
      </c>
      <c r="AD67" s="15">
        <v>321.55892040874789</v>
      </c>
      <c r="AE67" s="11">
        <v>43.208327002094357</v>
      </c>
      <c r="AF67" s="11">
        <f>(Opti_Medias__30_OOS[[#This Row],[All: TS Index]]-AA$114) /ABS(AA$114)</f>
        <v>-0.87806611640368959</v>
      </c>
      <c r="AG67" s="11">
        <f>(Opti_Medias__30_OOS[[#This Row],[All: Expectancy Score]]-AB$114) /ABS(AB$114)</f>
        <v>-0.81834628649366514</v>
      </c>
      <c r="AH67" s="11"/>
      <c r="AI67" s="11">
        <f>(Opti_Medias__30_OOS[[#This Row],[All: Perfect Profit Correlation]]-AD$114) /ABS(AD$114)</f>
        <v>-0.99627580856558817</v>
      </c>
      <c r="AJ67" s="11">
        <f>(Opti_Medias__30_OOS[[#This Row],[All: Robustness Index]]-AE$114) /ABS(AE$114)</f>
        <v>-0.69804184023639526</v>
      </c>
      <c r="AK67" s="11">
        <f>SUM(Opti_Medias__30_OOS[[#This Row],[VAR TS Index]:[VAR Robustness Index]])</f>
        <v>-3.3907300516993377</v>
      </c>
      <c r="AL67" s="11">
        <f>Opti_Medias__30_OOS[[#This Row],[SUMA]]-Opti_Medias__30_OOS[[#This Row],[VAR Robustness Index]]</f>
        <v>-2.6926882114629427</v>
      </c>
    </row>
    <row r="68" spans="1:38" x14ac:dyDescent="0.25">
      <c r="A68" s="11"/>
      <c r="B68" s="17">
        <v>38</v>
      </c>
      <c r="C68" s="17">
        <v>5</v>
      </c>
      <c r="D68" s="17">
        <v>218</v>
      </c>
      <c r="E68" s="10">
        <v>23530</v>
      </c>
      <c r="F68" s="10">
        <v>819820</v>
      </c>
      <c r="G68" s="10">
        <v>-796290</v>
      </c>
      <c r="H68" s="17">
        <v>1907</v>
      </c>
      <c r="I68" s="11">
        <v>29.41793392763503</v>
      </c>
      <c r="J68" s="17">
        <v>561</v>
      </c>
      <c r="K68" s="17">
        <v>1340</v>
      </c>
      <c r="L68" s="12">
        <v>14320</v>
      </c>
      <c r="M68" s="12">
        <v>-3250</v>
      </c>
      <c r="N68" s="12">
        <v>1461.354736328125</v>
      </c>
      <c r="O68" s="12">
        <v>-594.24627685546875</v>
      </c>
      <c r="P68" s="11">
        <v>2.4591735669949388</v>
      </c>
      <c r="Q68" s="13">
        <v>12.338751966439434</v>
      </c>
      <c r="R68" s="17">
        <v>5</v>
      </c>
      <c r="S68" s="17">
        <v>22</v>
      </c>
      <c r="T68" s="17">
        <v>71</v>
      </c>
      <c r="U68" s="17">
        <v>17</v>
      </c>
      <c r="V68" s="12">
        <v>-59325</v>
      </c>
      <c r="W68" s="11">
        <v>1.0295495359730751</v>
      </c>
      <c r="X68" s="17">
        <v>1</v>
      </c>
      <c r="Y68" s="12">
        <v>59325</v>
      </c>
      <c r="Z68" s="11">
        <v>39.662873999157185</v>
      </c>
      <c r="AA68" s="14">
        <v>222.50872313527182</v>
      </c>
      <c r="AB68" s="11">
        <v>2.1927274825684E-2</v>
      </c>
      <c r="AC68" s="11">
        <v>0.106701575821278</v>
      </c>
      <c r="AD68" s="15">
        <v>-35.798849002217715</v>
      </c>
      <c r="AE68" s="11">
        <v>38.856403908893022</v>
      </c>
      <c r="AF68" s="11">
        <f>(Opti_Medias__30_OOS[[#This Row],[All: TS Index]]-AA$114) /ABS(AA$114)</f>
        <v>-0.84550092399514787</v>
      </c>
      <c r="AG68" s="11">
        <f>(Opti_Medias__30_OOS[[#This Row],[All: Expectancy Score]]-AB$114) /ABS(AB$114)</f>
        <v>-0.81950643525014322</v>
      </c>
      <c r="AH68" s="11"/>
      <c r="AI68" s="11">
        <f>(Opti_Medias__30_OOS[[#This Row],[All: Perfect Profit Correlation]]-AD$114) /ABS(AD$114)</f>
        <v>-1.0004146106929528</v>
      </c>
      <c r="AJ68" s="11">
        <f>(Opti_Medias__30_OOS[[#This Row],[All: Robustness Index]]-AE$114) /ABS(AE$114)</f>
        <v>-0.72845492909753351</v>
      </c>
      <c r="AK68" s="11">
        <f>SUM(Opti_Medias__30_OOS[[#This Row],[VAR TS Index]:[VAR Robustness Index]])</f>
        <v>-3.3938768990357771</v>
      </c>
      <c r="AL68" s="11">
        <f>Opti_Medias__30_OOS[[#This Row],[SUMA]]-Opti_Medias__30_OOS[[#This Row],[VAR Robustness Index]]</f>
        <v>-2.6654219699382438</v>
      </c>
    </row>
    <row r="69" spans="1:38" x14ac:dyDescent="0.25">
      <c r="A69" s="11"/>
      <c r="B69" s="17">
        <v>11</v>
      </c>
      <c r="C69" s="17">
        <v>8</v>
      </c>
      <c r="D69" s="17">
        <v>326</v>
      </c>
      <c r="E69" s="10">
        <v>23980</v>
      </c>
      <c r="F69" s="10">
        <v>855620</v>
      </c>
      <c r="G69" s="10">
        <v>-831640</v>
      </c>
      <c r="H69" s="17">
        <v>1691</v>
      </c>
      <c r="I69" s="11">
        <v>35.06800709639267</v>
      </c>
      <c r="J69" s="17">
        <v>593</v>
      </c>
      <c r="K69" s="17">
        <v>1094</v>
      </c>
      <c r="L69" s="12">
        <v>17240</v>
      </c>
      <c r="M69" s="12">
        <v>-6520</v>
      </c>
      <c r="N69" s="12">
        <v>1442.8668212890625</v>
      </c>
      <c r="O69" s="12">
        <v>-760.18280029296875</v>
      </c>
      <c r="P69" s="11">
        <v>1.8980524430873631</v>
      </c>
      <c r="Q69" s="13">
        <v>14.180958013010054</v>
      </c>
      <c r="R69" s="17">
        <v>7</v>
      </c>
      <c r="S69" s="17">
        <v>12</v>
      </c>
      <c r="T69" s="17">
        <v>61</v>
      </c>
      <c r="U69" s="17">
        <v>24</v>
      </c>
      <c r="V69" s="12">
        <v>-47465</v>
      </c>
      <c r="W69" s="11">
        <v>1.028834591890722</v>
      </c>
      <c r="X69" s="17">
        <v>1</v>
      </c>
      <c r="Y69" s="12">
        <v>47465</v>
      </c>
      <c r="Z69" s="11">
        <v>50.52143684820394</v>
      </c>
      <c r="AA69" s="14">
        <v>299.59212050984934</v>
      </c>
      <c r="AB69" s="11">
        <v>4.6472436163799997E-3</v>
      </c>
      <c r="AC69" s="11">
        <v>0.13987454422502801</v>
      </c>
      <c r="AD69" s="15">
        <v>15150.741284273494</v>
      </c>
      <c r="AE69" s="11">
        <v>23.715399407045158</v>
      </c>
      <c r="AF69" s="11">
        <f>(Opti_Medias__30_OOS[[#This Row],[All: TS Index]]-AA$114) /ABS(AA$114)</f>
        <v>-0.79197801710916949</v>
      </c>
      <c r="AG69" s="11">
        <f>(Opti_Medias__30_OOS[[#This Row],[All: Expectancy Score]]-AB$114) /ABS(AB$114)</f>
        <v>-0.96174638329433737</v>
      </c>
      <c r="AH69" s="11"/>
      <c r="AI69" s="11">
        <f>(Opti_Medias__30_OOS[[#This Row],[All: Perfect Profit Correlation]]-AD$114) /ABS(AD$114)</f>
        <v>-0.8245290137056106</v>
      </c>
      <c r="AJ69" s="11">
        <f>(Opti_Medias__30_OOS[[#This Row],[All: Robustness Index]]-AE$114) /ABS(AE$114)</f>
        <v>-0.83426670598324415</v>
      </c>
      <c r="AK69" s="11">
        <f>SUM(Opti_Medias__30_OOS[[#This Row],[VAR TS Index]:[VAR Robustness Index]])</f>
        <v>-3.4125201200923616</v>
      </c>
      <c r="AL69" s="11">
        <f>Opti_Medias__30_OOS[[#This Row],[SUMA]]-Opti_Medias__30_OOS[[#This Row],[VAR Robustness Index]]</f>
        <v>-2.5782534141091173</v>
      </c>
    </row>
    <row r="70" spans="1:38" x14ac:dyDescent="0.25">
      <c r="A70" s="11"/>
      <c r="B70" s="17">
        <v>37</v>
      </c>
      <c r="C70" s="17">
        <v>5</v>
      </c>
      <c r="D70" s="17">
        <v>217</v>
      </c>
      <c r="E70" s="10">
        <v>22790</v>
      </c>
      <c r="F70" s="10">
        <v>801250</v>
      </c>
      <c r="G70" s="10">
        <v>-778460</v>
      </c>
      <c r="H70" s="17">
        <v>1811</v>
      </c>
      <c r="I70" s="11">
        <v>28.216454997239094</v>
      </c>
      <c r="J70" s="17">
        <v>511</v>
      </c>
      <c r="K70" s="17">
        <v>1289</v>
      </c>
      <c r="L70" s="12">
        <v>14320</v>
      </c>
      <c r="M70" s="12">
        <v>-3290</v>
      </c>
      <c r="N70" s="12">
        <v>1568.00390625</v>
      </c>
      <c r="O70" s="12">
        <v>-603.925537109375</v>
      </c>
      <c r="P70" s="11">
        <v>2.5963530433819431</v>
      </c>
      <c r="Q70" s="13">
        <v>12.584207620099393</v>
      </c>
      <c r="R70" s="17">
        <v>5</v>
      </c>
      <c r="S70" s="17">
        <v>22</v>
      </c>
      <c r="T70" s="17">
        <v>76</v>
      </c>
      <c r="U70" s="17">
        <v>19</v>
      </c>
      <c r="V70" s="12">
        <v>-51225</v>
      </c>
      <c r="W70" s="11">
        <v>1.029275749556817</v>
      </c>
      <c r="X70" s="17">
        <v>1</v>
      </c>
      <c r="Y70" s="12">
        <v>51225</v>
      </c>
      <c r="Z70" s="11">
        <v>44.489995119570523</v>
      </c>
      <c r="AA70" s="14">
        <v>227.34387506100538</v>
      </c>
      <c r="AB70" s="11">
        <v>1.2163922150101E-2</v>
      </c>
      <c r="AC70" s="11">
        <v>9.0273112114643006E-2</v>
      </c>
      <c r="AD70" s="15">
        <v>3312.8065044885511</v>
      </c>
      <c r="AE70" s="11">
        <v>38.445205310647459</v>
      </c>
      <c r="AF70" s="11">
        <f>(Opti_Medias__30_OOS[[#This Row],[All: TS Index]]-AA$114) /ABS(AA$114)</f>
        <v>-0.84214363312428719</v>
      </c>
      <c r="AG70" s="11">
        <f>(Opti_Medias__30_OOS[[#This Row],[All: Expectancy Score]]-AB$114) /ABS(AB$114)</f>
        <v>-0.89987311749110699</v>
      </c>
      <c r="AH70" s="11"/>
      <c r="AI70" s="11">
        <f>(Opti_Medias__30_OOS[[#This Row],[All: Perfect Profit Correlation]]-AD$114) /ABS(AD$114)</f>
        <v>-0.96163214631956884</v>
      </c>
      <c r="AJ70" s="11">
        <f>(Opti_Medias__30_OOS[[#This Row],[All: Robustness Index]]-AE$114) /ABS(AE$114)</f>
        <v>-0.7313285597293695</v>
      </c>
      <c r="AK70" s="11">
        <f>SUM(Opti_Medias__30_OOS[[#This Row],[VAR TS Index]:[VAR Robustness Index]])</f>
        <v>-3.4349774566643325</v>
      </c>
      <c r="AL70" s="11">
        <f>Opti_Medias__30_OOS[[#This Row],[SUMA]]-Opti_Medias__30_OOS[[#This Row],[VAR Robustness Index]]</f>
        <v>-2.703648896934963</v>
      </c>
    </row>
    <row r="71" spans="1:38" x14ac:dyDescent="0.25">
      <c r="A71" s="11"/>
      <c r="B71" s="17">
        <v>8</v>
      </c>
      <c r="C71" s="17">
        <v>8</v>
      </c>
      <c r="D71" s="17">
        <v>323</v>
      </c>
      <c r="E71" s="10">
        <v>23030</v>
      </c>
      <c r="F71" s="10">
        <v>881460</v>
      </c>
      <c r="G71" s="10">
        <v>-858430</v>
      </c>
      <c r="H71" s="17">
        <v>1739</v>
      </c>
      <c r="I71" s="11">
        <v>35.767682576193216</v>
      </c>
      <c r="J71" s="17">
        <v>622</v>
      </c>
      <c r="K71" s="17">
        <v>1114</v>
      </c>
      <c r="L71" s="12">
        <v>17270</v>
      </c>
      <c r="M71" s="12">
        <v>-6550</v>
      </c>
      <c r="N71" s="12">
        <v>1417.1383056640625</v>
      </c>
      <c r="O71" s="12">
        <v>-770.58349609375</v>
      </c>
      <c r="P71" s="11">
        <v>1.8390457527936099</v>
      </c>
      <c r="Q71" s="13">
        <v>13.243243243243244</v>
      </c>
      <c r="R71" s="17">
        <v>9</v>
      </c>
      <c r="S71" s="17">
        <v>14</v>
      </c>
      <c r="T71" s="17">
        <v>58</v>
      </c>
      <c r="U71" s="17">
        <v>25</v>
      </c>
      <c r="V71" s="12">
        <v>-54435</v>
      </c>
      <c r="W71" s="11">
        <v>1.026828046550097</v>
      </c>
      <c r="X71" s="17">
        <v>1</v>
      </c>
      <c r="Y71" s="12">
        <v>54435</v>
      </c>
      <c r="Z71" s="11">
        <v>42.307339028198768</v>
      </c>
      <c r="AA71" s="14">
        <v>263.15164875539637</v>
      </c>
      <c r="AB71" s="11">
        <v>7.0126860128659997E-3</v>
      </c>
      <c r="AC71" s="11">
        <v>0.134061603562284</v>
      </c>
      <c r="AD71" s="15">
        <v>14949.284901899016</v>
      </c>
      <c r="AE71" s="11">
        <v>21.618624851136385</v>
      </c>
      <c r="AF71" s="11">
        <f>(Opti_Medias__30_OOS[[#This Row],[All: TS Index]]-AA$114) /ABS(AA$114)</f>
        <v>-0.81728048227059691</v>
      </c>
      <c r="AG71" s="11">
        <f>(Opti_Medias__30_OOS[[#This Row],[All: Expectancy Score]]-AB$114) /ABS(AB$114)</f>
        <v>-0.94227533029088295</v>
      </c>
      <c r="AH71" s="11"/>
      <c r="AI71" s="11">
        <f>(Opti_Medias__30_OOS[[#This Row],[All: Perfect Profit Correlation]]-AD$114) /ABS(AD$114)</f>
        <v>-0.82686221638178881</v>
      </c>
      <c r="AJ71" s="11">
        <f>(Opti_Medias__30_OOS[[#This Row],[All: Robustness Index]]-AE$114) /ABS(AE$114)</f>
        <v>-0.84891985805531278</v>
      </c>
      <c r="AK71" s="11">
        <f>SUM(Opti_Medias__30_OOS[[#This Row],[VAR TS Index]:[VAR Robustness Index]])</f>
        <v>-3.4353378869985818</v>
      </c>
      <c r="AL71" s="11">
        <f>Opti_Medias__30_OOS[[#This Row],[SUMA]]-Opti_Medias__30_OOS[[#This Row],[VAR Robustness Index]]</f>
        <v>-2.5864180289432692</v>
      </c>
    </row>
    <row r="72" spans="1:38" x14ac:dyDescent="0.25">
      <c r="A72" s="11"/>
      <c r="B72" s="17">
        <v>41</v>
      </c>
      <c r="C72" s="17">
        <v>11</v>
      </c>
      <c r="D72" s="17">
        <v>491</v>
      </c>
      <c r="E72" s="10">
        <v>19390</v>
      </c>
      <c r="F72" s="10">
        <v>846770</v>
      </c>
      <c r="G72" s="10">
        <v>-827380</v>
      </c>
      <c r="H72" s="17">
        <v>1847</v>
      </c>
      <c r="I72" s="11">
        <v>29.182458040064969</v>
      </c>
      <c r="J72" s="17">
        <v>539</v>
      </c>
      <c r="K72" s="17">
        <v>1306</v>
      </c>
      <c r="L72" s="12">
        <v>14910</v>
      </c>
      <c r="M72" s="12">
        <v>-5080</v>
      </c>
      <c r="N72" s="12">
        <v>1571.0018310546875</v>
      </c>
      <c r="O72" s="12">
        <v>-633.522216796875</v>
      </c>
      <c r="P72" s="11">
        <v>2.4797896417867769</v>
      </c>
      <c r="Q72" s="13">
        <v>10.498105035192204</v>
      </c>
      <c r="R72" s="17">
        <v>7</v>
      </c>
      <c r="S72" s="17">
        <v>19</v>
      </c>
      <c r="T72" s="17">
        <v>71</v>
      </c>
      <c r="U72" s="17">
        <v>19</v>
      </c>
      <c r="V72" s="12">
        <v>-67295</v>
      </c>
      <c r="W72" s="11">
        <v>1.0234354226594791</v>
      </c>
      <c r="X72" s="17">
        <v>1</v>
      </c>
      <c r="Y72" s="12">
        <v>67295</v>
      </c>
      <c r="Z72" s="11">
        <v>28.813433390296456</v>
      </c>
      <c r="AA72" s="14">
        <v>155.3044059736979</v>
      </c>
      <c r="AB72" s="11">
        <v>6.1606334994329997E-3</v>
      </c>
      <c r="AC72" s="11">
        <v>5.8116536094691001E-2</v>
      </c>
      <c r="AD72" s="15">
        <v>6518.6149629012643</v>
      </c>
      <c r="AE72" s="11">
        <v>33.817149305832942</v>
      </c>
      <c r="AF72" s="11">
        <f>(Opti_Medias__30_OOS[[#This Row],[All: TS Index]]-AA$114) /ABS(AA$114)</f>
        <v>-0.89216428513756907</v>
      </c>
      <c r="AG72" s="11">
        <f>(Opti_Medias__30_OOS[[#This Row],[All: Expectancy Score]]-AB$114) /ABS(AB$114)</f>
        <v>-0.94928896954729713</v>
      </c>
      <c r="AH72" s="11"/>
      <c r="AI72" s="11">
        <f>(Opti_Medias__30_OOS[[#This Row],[All: Perfect Profit Correlation]]-AD$114) /ABS(AD$114)</f>
        <v>-0.92450350940907788</v>
      </c>
      <c r="AJ72" s="11">
        <f>(Opti_Medias__30_OOS[[#This Row],[All: Robustness Index]]-AE$114) /ABS(AE$114)</f>
        <v>-0.76367138277893942</v>
      </c>
      <c r="AK72" s="11">
        <f>SUM(Opti_Medias__30_OOS[[#This Row],[VAR TS Index]:[VAR Robustness Index]])</f>
        <v>-3.5296281468728834</v>
      </c>
      <c r="AL72" s="11">
        <f>Opti_Medias__30_OOS[[#This Row],[SUMA]]-Opti_Medias__30_OOS[[#This Row],[VAR Robustness Index]]</f>
        <v>-2.7659567640939438</v>
      </c>
    </row>
    <row r="73" spans="1:38" x14ac:dyDescent="0.25">
      <c r="A73" s="11"/>
      <c r="B73" s="17">
        <v>38</v>
      </c>
      <c r="C73" s="17">
        <v>11</v>
      </c>
      <c r="D73" s="17">
        <v>488</v>
      </c>
      <c r="E73" s="10">
        <v>16630</v>
      </c>
      <c r="F73" s="10">
        <v>817930</v>
      </c>
      <c r="G73" s="10">
        <v>-801300</v>
      </c>
      <c r="H73" s="17">
        <v>1649</v>
      </c>
      <c r="I73" s="11">
        <v>31.655548817465132</v>
      </c>
      <c r="J73" s="17">
        <v>522</v>
      </c>
      <c r="K73" s="17">
        <v>1123</v>
      </c>
      <c r="L73" s="12">
        <v>15070</v>
      </c>
      <c r="M73" s="12">
        <v>-4830</v>
      </c>
      <c r="N73" s="12">
        <v>1566.9156494140625</v>
      </c>
      <c r="O73" s="12">
        <v>-713.53515625</v>
      </c>
      <c r="P73" s="11">
        <v>2.195989413680782</v>
      </c>
      <c r="Q73" s="13">
        <v>10.084899939357186</v>
      </c>
      <c r="R73" s="17">
        <v>9</v>
      </c>
      <c r="S73" s="17">
        <v>15</v>
      </c>
      <c r="T73" s="17">
        <v>72</v>
      </c>
      <c r="U73" s="17">
        <v>23</v>
      </c>
      <c r="V73" s="12">
        <v>-45445</v>
      </c>
      <c r="W73" s="11">
        <v>1.020753775115437</v>
      </c>
      <c r="X73" s="17">
        <v>1</v>
      </c>
      <c r="Y73" s="12">
        <v>45445</v>
      </c>
      <c r="Z73" s="11">
        <v>36.593684673781496</v>
      </c>
      <c r="AA73" s="14">
        <v>191.01903399713939</v>
      </c>
      <c r="AB73" s="11">
        <v>1.6357510727709999E-3</v>
      </c>
      <c r="AC73" s="11">
        <v>4.7415907740183998E-2</v>
      </c>
      <c r="AD73" s="15">
        <v>9367.6186036054041</v>
      </c>
      <c r="AE73" s="11">
        <v>28.94731389651567</v>
      </c>
      <c r="AF73" s="11">
        <f>(Opti_Medias__30_OOS[[#This Row],[All: TS Index]]-AA$114) /ABS(AA$114)</f>
        <v>-0.86736581004082336</v>
      </c>
      <c r="AG73" s="11">
        <f>(Opti_Medias__30_OOS[[#This Row],[All: Expectancy Score]]-AB$114) /ABS(AB$114)</f>
        <v>-0.98653537457276652</v>
      </c>
      <c r="AH73" s="11"/>
      <c r="AI73" s="11">
        <f>(Opti_Medias__30_OOS[[#This Row],[All: Perfect Profit Correlation]]-AD$114) /ABS(AD$114)</f>
        <v>-0.89150727051814149</v>
      </c>
      <c r="AJ73" s="11">
        <f>(Opti_Medias__30_OOS[[#This Row],[All: Robustness Index]]-AE$114) /ABS(AE$114)</f>
        <v>-0.79770386310334096</v>
      </c>
      <c r="AK73" s="11">
        <f>SUM(Opti_Medias__30_OOS[[#This Row],[VAR TS Index]:[VAR Robustness Index]])</f>
        <v>-3.5431123182350723</v>
      </c>
      <c r="AL73" s="11">
        <f>Opti_Medias__30_OOS[[#This Row],[SUMA]]-Opti_Medias__30_OOS[[#This Row],[VAR Robustness Index]]</f>
        <v>-2.7454084551317313</v>
      </c>
    </row>
    <row r="74" spans="1:38" x14ac:dyDescent="0.25">
      <c r="A74" s="11"/>
      <c r="B74" s="17">
        <v>5</v>
      </c>
      <c r="C74" s="17">
        <v>8</v>
      </c>
      <c r="D74" s="17">
        <v>320</v>
      </c>
      <c r="E74" s="10">
        <v>18490</v>
      </c>
      <c r="F74" s="10">
        <v>892690</v>
      </c>
      <c r="G74" s="10">
        <v>-874200</v>
      </c>
      <c r="H74" s="17">
        <v>1765</v>
      </c>
      <c r="I74" s="11">
        <v>36.430594900849862</v>
      </c>
      <c r="J74" s="17">
        <v>643</v>
      </c>
      <c r="K74" s="17">
        <v>1109</v>
      </c>
      <c r="L74" s="12">
        <v>16650</v>
      </c>
      <c r="M74" s="12">
        <v>-6450</v>
      </c>
      <c r="N74" s="12">
        <v>1388.3203125</v>
      </c>
      <c r="O74" s="12">
        <v>-788.2777099609375</v>
      </c>
      <c r="P74" s="11">
        <v>1.7612071164219489</v>
      </c>
      <c r="Q74" s="13">
        <v>10.475920679886686</v>
      </c>
      <c r="R74" s="17">
        <v>9</v>
      </c>
      <c r="S74" s="17">
        <v>15</v>
      </c>
      <c r="T74" s="17">
        <v>55</v>
      </c>
      <c r="U74" s="17">
        <v>25</v>
      </c>
      <c r="V74" s="12">
        <v>-42165</v>
      </c>
      <c r="W74" s="11">
        <v>1.0211507664150079</v>
      </c>
      <c r="X74" s="17">
        <v>1</v>
      </c>
      <c r="Y74" s="12">
        <v>42165</v>
      </c>
      <c r="Z74" s="11">
        <v>43.851535633819516</v>
      </c>
      <c r="AA74" s="14">
        <v>281.9653741254595</v>
      </c>
      <c r="AB74" s="11">
        <v>2.8816347096670002E-3</v>
      </c>
      <c r="AC74" s="11">
        <v>9.5366932160835999E-2</v>
      </c>
      <c r="AD74" s="15">
        <v>10741.093592114701</v>
      </c>
      <c r="AE74" s="11">
        <v>14.843437274079976</v>
      </c>
      <c r="AF74" s="11">
        <f>(Opti_Medias__30_OOS[[#This Row],[All: TS Index]]-AA$114) /ABS(AA$114)</f>
        <v>-0.80421715987619036</v>
      </c>
      <c r="AG74" s="11">
        <f>(Opti_Medias__30_OOS[[#This Row],[All: Expectancy Score]]-AB$114) /ABS(AB$114)</f>
        <v>-0.97627992875587577</v>
      </c>
      <c r="AH74" s="11"/>
      <c r="AI74" s="11">
        <f>(Opti_Medias__30_OOS[[#This Row],[All: Perfect Profit Correlation]]-AD$114) /ABS(AD$114)</f>
        <v>-0.87560012733864789</v>
      </c>
      <c r="AJ74" s="11">
        <f>(Opti_Medias__30_OOS[[#This Row],[All: Robustness Index]]-AE$114) /ABS(AE$114)</f>
        <v>-0.89626774941713361</v>
      </c>
      <c r="AK74" s="11">
        <f>SUM(Opti_Medias__30_OOS[[#This Row],[VAR TS Index]:[VAR Robustness Index]])</f>
        <v>-3.5523649653878477</v>
      </c>
      <c r="AL74" s="11">
        <f>Opti_Medias__30_OOS[[#This Row],[SUMA]]-Opti_Medias__30_OOS[[#This Row],[VAR Robustness Index]]</f>
        <v>-2.6560972159707141</v>
      </c>
    </row>
    <row r="75" spans="1:38" x14ac:dyDescent="0.25">
      <c r="A75" s="11"/>
      <c r="B75" s="17">
        <v>12</v>
      </c>
      <c r="C75" s="17">
        <v>8</v>
      </c>
      <c r="D75" s="17">
        <v>327</v>
      </c>
      <c r="E75" s="10">
        <v>17140</v>
      </c>
      <c r="F75" s="10">
        <v>856610</v>
      </c>
      <c r="G75" s="10">
        <v>-839470</v>
      </c>
      <c r="H75" s="17">
        <v>1683</v>
      </c>
      <c r="I75" s="11">
        <v>34.997029114676174</v>
      </c>
      <c r="J75" s="17">
        <v>589</v>
      </c>
      <c r="K75" s="17">
        <v>1090</v>
      </c>
      <c r="L75" s="12">
        <v>15630</v>
      </c>
      <c r="M75" s="12">
        <v>-6520</v>
      </c>
      <c r="N75" s="12">
        <v>1454.3463134765625</v>
      </c>
      <c r="O75" s="12">
        <v>-770.15594482421875</v>
      </c>
      <c r="P75" s="11">
        <v>1.8883790007081021</v>
      </c>
      <c r="Q75" s="13">
        <v>10.184194890077244</v>
      </c>
      <c r="R75" s="17">
        <v>7</v>
      </c>
      <c r="S75" s="17">
        <v>13</v>
      </c>
      <c r="T75" s="17">
        <v>63</v>
      </c>
      <c r="U75" s="17">
        <v>24</v>
      </c>
      <c r="V75" s="12">
        <v>-46345</v>
      </c>
      <c r="W75" s="11">
        <v>1.020417644466151</v>
      </c>
      <c r="X75" s="17">
        <v>1</v>
      </c>
      <c r="Y75" s="12">
        <v>46345</v>
      </c>
      <c r="Z75" s="11">
        <v>36.983493364980042</v>
      </c>
      <c r="AA75" s="14">
        <v>217.83277591973246</v>
      </c>
      <c r="AB75" s="11">
        <v>2.2287736059029999E-3</v>
      </c>
      <c r="AC75" s="11">
        <v>7.2708129901837004E-2</v>
      </c>
      <c r="AD75" s="15">
        <v>10321.870983081459</v>
      </c>
      <c r="AE75" s="11">
        <v>18.695723105689655</v>
      </c>
      <c r="AF75" s="11">
        <f>(Opti_Medias__30_OOS[[#This Row],[All: TS Index]]-AA$114) /ABS(AA$114)</f>
        <v>-0.84874767097238468</v>
      </c>
      <c r="AG75" s="11">
        <f>(Opti_Medias__30_OOS[[#This Row],[All: Expectancy Score]]-AB$114) /ABS(AB$114)</f>
        <v>-0.98165393117257671</v>
      </c>
      <c r="AH75" s="11"/>
      <c r="AI75" s="11">
        <f>(Opti_Medias__30_OOS[[#This Row],[All: Perfect Profit Correlation]]-AD$114) /ABS(AD$114)</f>
        <v>-0.88045542803342824</v>
      </c>
      <c r="AJ75" s="11">
        <f>(Opti_Medias__30_OOS[[#This Row],[All: Robustness Index]]-AE$114) /ABS(AE$114)</f>
        <v>-0.86934633816832774</v>
      </c>
      <c r="AK75" s="11">
        <f>SUM(Opti_Medias__30_OOS[[#This Row],[VAR TS Index]:[VAR Robustness Index]])</f>
        <v>-3.5802033683467172</v>
      </c>
      <c r="AL75" s="11">
        <f>Opti_Medias__30_OOS[[#This Row],[SUMA]]-Opti_Medias__30_OOS[[#This Row],[VAR Robustness Index]]</f>
        <v>-2.7108570301783894</v>
      </c>
    </row>
    <row r="76" spans="1:38" x14ac:dyDescent="0.25">
      <c r="A76" s="11"/>
      <c r="B76" s="17">
        <v>10</v>
      </c>
      <c r="C76" s="17">
        <v>3</v>
      </c>
      <c r="D76" s="17">
        <v>100</v>
      </c>
      <c r="E76" s="10">
        <v>16310</v>
      </c>
      <c r="F76" s="10">
        <v>812050</v>
      </c>
      <c r="G76" s="10">
        <v>-795740</v>
      </c>
      <c r="H76" s="17">
        <v>1506</v>
      </c>
      <c r="I76" s="11">
        <v>41.965471447543159</v>
      </c>
      <c r="J76" s="17">
        <v>632</v>
      </c>
      <c r="K76" s="17">
        <v>865</v>
      </c>
      <c r="L76" s="12">
        <v>13810</v>
      </c>
      <c r="M76" s="12">
        <v>-5310</v>
      </c>
      <c r="N76" s="12">
        <v>1284.8892822265625</v>
      </c>
      <c r="O76" s="12">
        <v>-919.9306640625</v>
      </c>
      <c r="P76" s="11">
        <v>1.396724049345601</v>
      </c>
      <c r="Q76" s="13">
        <v>10.830013280212484</v>
      </c>
      <c r="R76" s="17">
        <v>8</v>
      </c>
      <c r="S76" s="17">
        <v>12</v>
      </c>
      <c r="T76" s="17">
        <v>52</v>
      </c>
      <c r="U76" s="17">
        <v>35</v>
      </c>
      <c r="V76" s="12">
        <v>-83035</v>
      </c>
      <c r="W76" s="11">
        <v>1.0204966446326691</v>
      </c>
      <c r="X76" s="17">
        <v>1</v>
      </c>
      <c r="Y76" s="12">
        <v>83035</v>
      </c>
      <c r="Z76" s="11">
        <v>19.642319503823689</v>
      </c>
      <c r="AA76" s="14">
        <v>124.13945926416571</v>
      </c>
      <c r="AB76" s="11">
        <v>1.8807718350059999E-3</v>
      </c>
      <c r="AC76" s="11">
        <v>0.11064357060581299</v>
      </c>
      <c r="AD76" s="15">
        <v>12719.924058369596</v>
      </c>
      <c r="AE76" s="11">
        <v>14.693898533810707</v>
      </c>
      <c r="AF76" s="11">
        <f>(Opti_Medias__30_OOS[[#This Row],[All: TS Index]]-AA$114) /ABS(AA$114)</f>
        <v>-0.91380368606764395</v>
      </c>
      <c r="AG76" s="11">
        <f>(Opti_Medias__30_OOS[[#This Row],[All: Expectancy Score]]-AB$114) /ABS(AB$114)</f>
        <v>-0.98451849508522893</v>
      </c>
      <c r="AH76" s="11"/>
      <c r="AI76" s="11">
        <f>(Opti_Medias__30_OOS[[#This Row],[All: Perfect Profit Correlation]]-AD$114) /ABS(AD$114)</f>
        <v>-0.85268195276830161</v>
      </c>
      <c r="AJ76" s="11">
        <f>(Opti_Medias__30_OOS[[#This Row],[All: Robustness Index]]-AE$114) /ABS(AE$114)</f>
        <v>-0.89731278971278972</v>
      </c>
      <c r="AK76" s="11">
        <f>SUM(Opti_Medias__30_OOS[[#This Row],[VAR TS Index]:[VAR Robustness Index]])</f>
        <v>-3.6483169236339643</v>
      </c>
      <c r="AL76" s="11">
        <f>Opti_Medias__30_OOS[[#This Row],[SUMA]]-Opti_Medias__30_OOS[[#This Row],[VAR Robustness Index]]</f>
        <v>-2.7510041339211746</v>
      </c>
    </row>
    <row r="77" spans="1:38" x14ac:dyDescent="0.25">
      <c r="A77" s="11"/>
      <c r="B77" s="17">
        <v>13</v>
      </c>
      <c r="C77" s="17">
        <v>8</v>
      </c>
      <c r="D77" s="17">
        <v>328</v>
      </c>
      <c r="E77" s="10">
        <v>14870</v>
      </c>
      <c r="F77" s="10">
        <v>848830</v>
      </c>
      <c r="G77" s="10">
        <v>-833960</v>
      </c>
      <c r="H77" s="17">
        <v>1661</v>
      </c>
      <c r="I77" s="11">
        <v>34.858518964479231</v>
      </c>
      <c r="J77" s="17">
        <v>579</v>
      </c>
      <c r="K77" s="17">
        <v>1079</v>
      </c>
      <c r="L77" s="12">
        <v>15630</v>
      </c>
      <c r="M77" s="12">
        <v>-6240</v>
      </c>
      <c r="N77" s="12">
        <v>1466.027587890625</v>
      </c>
      <c r="O77" s="12">
        <v>-772.90081787109375</v>
      </c>
      <c r="P77" s="11">
        <v>1.8967861774667349</v>
      </c>
      <c r="Q77" s="13">
        <v>8.9524382901866346</v>
      </c>
      <c r="R77" s="17">
        <v>7</v>
      </c>
      <c r="S77" s="17">
        <v>13</v>
      </c>
      <c r="T77" s="17">
        <v>64</v>
      </c>
      <c r="U77" s="17">
        <v>24</v>
      </c>
      <c r="V77" s="12">
        <v>-46925</v>
      </c>
      <c r="W77" s="11">
        <v>1.017830591395271</v>
      </c>
      <c r="X77" s="17">
        <v>1</v>
      </c>
      <c r="Y77" s="12">
        <v>46925</v>
      </c>
      <c r="Z77" s="11">
        <v>31.688865210442195</v>
      </c>
      <c r="AA77" s="14">
        <v>183.47852956846032</v>
      </c>
      <c r="AB77" s="11">
        <v>-8.1588075605099997E-4</v>
      </c>
      <c r="AC77" s="11">
        <v>4.9821803146191002E-2</v>
      </c>
      <c r="AD77" s="15">
        <v>7747.203975755293</v>
      </c>
      <c r="AE77" s="11">
        <v>17.339038709648133</v>
      </c>
      <c r="AF77" s="11">
        <f>(Opti_Medias__30_OOS[[#This Row],[All: TS Index]]-AA$114) /ABS(AA$114)</f>
        <v>-0.87260156417408119</v>
      </c>
      <c r="AG77" s="11">
        <f>(Opti_Medias__30_OOS[[#This Row],[All: Expectancy Score]]-AB$114) /ABS(AB$114)</f>
        <v>-1.0067158927518873</v>
      </c>
      <c r="AH77" s="11"/>
      <c r="AI77" s="11">
        <f>(Opti_Medias__30_OOS[[#This Row],[All: Perfect Profit Correlation]]-AD$114) /ABS(AD$114)</f>
        <v>-0.91027438874818178</v>
      </c>
      <c r="AJ77" s="11">
        <f>(Opti_Medias__30_OOS[[#This Row],[All: Robustness Index]]-AE$114) /ABS(AE$114)</f>
        <v>-0.87882742554273208</v>
      </c>
      <c r="AK77" s="11">
        <f>SUM(Opti_Medias__30_OOS[[#This Row],[VAR TS Index]:[VAR Robustness Index]])</f>
        <v>-3.6684192712168824</v>
      </c>
      <c r="AL77" s="11">
        <f>Opti_Medias__30_OOS[[#This Row],[SUMA]]-Opti_Medias__30_OOS[[#This Row],[VAR Robustness Index]]</f>
        <v>-2.7895918456741504</v>
      </c>
    </row>
    <row r="78" spans="1:38" x14ac:dyDescent="0.25">
      <c r="A78" s="11"/>
      <c r="B78" s="17">
        <v>11</v>
      </c>
      <c r="C78" s="17">
        <v>3</v>
      </c>
      <c r="D78" s="17">
        <v>101</v>
      </c>
      <c r="E78" s="10">
        <v>8130</v>
      </c>
      <c r="F78" s="10">
        <v>793220</v>
      </c>
      <c r="G78" s="10">
        <v>-785090</v>
      </c>
      <c r="H78" s="17">
        <v>1482</v>
      </c>
      <c r="I78" s="11">
        <v>42.914979757085021</v>
      </c>
      <c r="J78" s="17">
        <v>636</v>
      </c>
      <c r="K78" s="17">
        <v>843</v>
      </c>
      <c r="L78" s="12">
        <v>14430</v>
      </c>
      <c r="M78" s="12">
        <v>-4090</v>
      </c>
      <c r="N78" s="12">
        <v>1247.2012939453125</v>
      </c>
      <c r="O78" s="12">
        <v>-931.30487060546875</v>
      </c>
      <c r="P78" s="11">
        <v>1.3391976497819349</v>
      </c>
      <c r="Q78" s="13">
        <v>5.4858299595141702</v>
      </c>
      <c r="R78" s="17">
        <v>8</v>
      </c>
      <c r="S78" s="17">
        <v>12</v>
      </c>
      <c r="T78" s="17">
        <v>52</v>
      </c>
      <c r="U78" s="17">
        <v>35</v>
      </c>
      <c r="V78" s="12">
        <v>-69955</v>
      </c>
      <c r="W78" s="11">
        <v>1.0103555006432381</v>
      </c>
      <c r="X78" s="17">
        <v>1</v>
      </c>
      <c r="Y78" s="12">
        <v>69955</v>
      </c>
      <c r="Z78" s="11">
        <v>11.621756843685226</v>
      </c>
      <c r="AA78" s="14">
        <v>73.914373525838045</v>
      </c>
      <c r="AB78" s="11">
        <v>-1.2395944327920001E-3</v>
      </c>
      <c r="AC78" s="11">
        <v>3.7167169934819999E-2</v>
      </c>
      <c r="AD78" s="15">
        <v>5829.611841592081</v>
      </c>
      <c r="AE78" s="11">
        <v>7.638212455606805</v>
      </c>
      <c r="AF78" s="11">
        <f>(Opti_Medias__30_OOS[[#This Row],[All: TS Index]]-AA$114) /ABS(AA$114)</f>
        <v>-0.94867750687564278</v>
      </c>
      <c r="AG78" s="11">
        <f>(Opti_Medias__30_OOS[[#This Row],[All: Expectancy Score]]-AB$114) /ABS(AB$114)</f>
        <v>-1.0102036764621856</v>
      </c>
      <c r="AH78" s="11"/>
      <c r="AI78" s="11">
        <f>(Opti_Medias__30_OOS[[#This Row],[All: Perfect Profit Correlation]]-AD$114) /ABS(AD$114)</f>
        <v>-0.93248332075873974</v>
      </c>
      <c r="AJ78" s="11">
        <f>(Opti_Medias__30_OOS[[#This Row],[All: Robustness Index]]-AE$114) /ABS(AE$114)</f>
        <v>-0.94662092385880436</v>
      </c>
      <c r="AK78" s="11">
        <f>SUM(Opti_Medias__30_OOS[[#This Row],[VAR TS Index]:[VAR Robustness Index]])</f>
        <v>-3.8379854279553727</v>
      </c>
      <c r="AL78" s="11">
        <f>Opti_Medias__30_OOS[[#This Row],[SUMA]]-Opti_Medias__30_OOS[[#This Row],[VAR Robustness Index]]</f>
        <v>-2.8913645040965683</v>
      </c>
    </row>
    <row r="79" spans="1:38" x14ac:dyDescent="0.25">
      <c r="A79" s="11"/>
      <c r="B79" s="17">
        <v>7</v>
      </c>
      <c r="C79" s="17">
        <v>8</v>
      </c>
      <c r="D79" s="17">
        <v>322</v>
      </c>
      <c r="E79" s="4">
        <v>7850</v>
      </c>
      <c r="F79" s="4">
        <v>877220</v>
      </c>
      <c r="G79" s="4">
        <v>-869370</v>
      </c>
      <c r="H79" s="17">
        <v>1765</v>
      </c>
      <c r="I79" s="5">
        <v>35.354107648725211</v>
      </c>
      <c r="J79" s="17">
        <v>624</v>
      </c>
      <c r="K79" s="17">
        <v>1133</v>
      </c>
      <c r="L79" s="6">
        <v>17140</v>
      </c>
      <c r="M79" s="6">
        <v>-6960</v>
      </c>
      <c r="N79" s="6">
        <v>1405.80126953125</v>
      </c>
      <c r="O79" s="6">
        <v>-767.31683349609375</v>
      </c>
      <c r="P79" s="5">
        <v>1.8321001288686141</v>
      </c>
      <c r="Q79" s="7">
        <v>4.4475920679886682</v>
      </c>
      <c r="R79" s="17">
        <v>8</v>
      </c>
      <c r="S79" s="17">
        <v>12</v>
      </c>
      <c r="T79" s="17">
        <v>57</v>
      </c>
      <c r="U79" s="17">
        <v>25</v>
      </c>
      <c r="V79" s="6">
        <v>-48255</v>
      </c>
      <c r="W79" s="5">
        <v>1.009029527128841</v>
      </c>
      <c r="X79" s="17">
        <v>1</v>
      </c>
      <c r="Y79" s="6">
        <v>48255</v>
      </c>
      <c r="Z79" s="5">
        <v>16.267744275204642</v>
      </c>
      <c r="AA79" s="8">
        <v>101.51072427727696</v>
      </c>
      <c r="AB79" s="5">
        <v>-7.0695592851470002E-3</v>
      </c>
      <c r="AC79" s="5">
        <v>-1.4389691819515001E-2</v>
      </c>
      <c r="AD79" s="9">
        <v>4530.9036595536763</v>
      </c>
      <c r="AE79" s="5">
        <v>6.9217103176129777</v>
      </c>
      <c r="AF79" s="11">
        <f>(Opti_Medias__30_OOS[[#This Row],[All: TS Index]]-AA$114) /ABS(AA$114)</f>
        <v>-0.92951596286008031</v>
      </c>
      <c r="AG79" s="11">
        <f>(Opti_Medias__30_OOS[[#This Row],[All: Expectancy Score]]-AB$114) /ABS(AB$114)</f>
        <v>-1.0581928199801649</v>
      </c>
      <c r="AH79" s="11"/>
      <c r="AI79" s="11">
        <f>(Opti_Medias__30_OOS[[#This Row],[All: Perfect Profit Correlation]]-AD$114) /ABS(AD$114)</f>
        <v>-0.94752453896285604</v>
      </c>
      <c r="AJ79" s="11">
        <f>(Opti_Medias__30_OOS[[#This Row],[All: Robustness Index]]-AE$114) /ABS(AE$114)</f>
        <v>-0.9516281454308132</v>
      </c>
      <c r="AK79" s="11">
        <f>SUM(Opti_Medias__30_OOS[[#This Row],[VAR TS Index]:[VAR Robustness Index]])</f>
        <v>-3.8868614672339143</v>
      </c>
      <c r="AL79" s="11">
        <f>Opti_Medias__30_OOS[[#This Row],[SUMA]]-Opti_Medias__30_OOS[[#This Row],[VAR Robustness Index]]</f>
        <v>-2.9352333218031013</v>
      </c>
    </row>
    <row r="80" spans="1:38" x14ac:dyDescent="0.25">
      <c r="A80" s="11"/>
      <c r="B80" s="17">
        <v>39</v>
      </c>
      <c r="C80" s="17">
        <v>5</v>
      </c>
      <c r="D80" s="17">
        <v>219</v>
      </c>
      <c r="E80" s="10">
        <v>11830</v>
      </c>
      <c r="F80" s="10">
        <v>831710</v>
      </c>
      <c r="G80" s="10">
        <v>-819880</v>
      </c>
      <c r="H80" s="17">
        <v>2017</v>
      </c>
      <c r="I80" s="11">
        <v>27.615270203272186</v>
      </c>
      <c r="J80" s="17">
        <v>557</v>
      </c>
      <c r="K80" s="17">
        <v>1445</v>
      </c>
      <c r="L80" s="12">
        <v>14460</v>
      </c>
      <c r="M80" s="12">
        <v>-3250</v>
      </c>
      <c r="N80" s="12">
        <v>1493.1956787109375</v>
      </c>
      <c r="O80" s="12">
        <v>-567.3909912109375</v>
      </c>
      <c r="P80" s="11">
        <v>2.631687322923701</v>
      </c>
      <c r="Q80" s="13">
        <v>5.8651462568170549</v>
      </c>
      <c r="R80" s="17">
        <v>5</v>
      </c>
      <c r="S80" s="17">
        <v>20</v>
      </c>
      <c r="T80" s="17">
        <v>71</v>
      </c>
      <c r="U80" s="17">
        <v>16</v>
      </c>
      <c r="V80" s="12">
        <v>-74985</v>
      </c>
      <c r="W80" s="11">
        <v>1.014428940820608</v>
      </c>
      <c r="X80" s="17">
        <v>1</v>
      </c>
      <c r="Y80" s="12">
        <v>74985</v>
      </c>
      <c r="Z80" s="11">
        <v>15.776488631059545</v>
      </c>
      <c r="AA80" s="14">
        <v>87.875041675001668</v>
      </c>
      <c r="AB80" s="11">
        <v>-7.8200946758220004E-3</v>
      </c>
      <c r="AC80" s="11">
        <v>-1.8423611992454E-2</v>
      </c>
      <c r="AD80" s="15">
        <v>-5506.5342301202272</v>
      </c>
      <c r="AE80" s="11">
        <v>22.627853219638013</v>
      </c>
      <c r="AF80" s="11">
        <f>(Opti_Medias__30_OOS[[#This Row],[All: TS Index]]-AA$114) /ABS(AA$114)</f>
        <v>-0.93898390790539077</v>
      </c>
      <c r="AG80" s="11">
        <f>(Opti_Medias__30_OOS[[#This Row],[All: Expectancy Score]]-AB$114) /ABS(AB$114)</f>
        <v>-1.0643708247350094</v>
      </c>
      <c r="AH80" s="11"/>
      <c r="AI80" s="11">
        <f>(Opti_Medias__30_OOS[[#This Row],[All: Perfect Profit Correlation]]-AD$114) /ABS(AD$114)</f>
        <v>-1.0637748988180513</v>
      </c>
      <c r="AJ80" s="11">
        <f>(Opti_Medias__30_OOS[[#This Row],[All: Robustness Index]]-AE$114) /ABS(AE$114)</f>
        <v>-0.84186694112753624</v>
      </c>
      <c r="AK80" s="11">
        <f>SUM(Opti_Medias__30_OOS[[#This Row],[VAR TS Index]:[VAR Robustness Index]])</f>
        <v>-3.9089965725859876</v>
      </c>
      <c r="AL80" s="11">
        <f>Opti_Medias__30_OOS[[#This Row],[SUMA]]-Opti_Medias__30_OOS[[#This Row],[VAR Robustness Index]]</f>
        <v>-3.0671296314584513</v>
      </c>
    </row>
    <row r="81" spans="1:38" x14ac:dyDescent="0.25">
      <c r="A81" s="11"/>
      <c r="B81" s="17">
        <v>37</v>
      </c>
      <c r="C81" s="17">
        <v>1</v>
      </c>
      <c r="D81" s="17">
        <v>37</v>
      </c>
      <c r="E81" s="10">
        <v>4250</v>
      </c>
      <c r="F81" s="10">
        <v>843770</v>
      </c>
      <c r="G81" s="10">
        <v>-839520</v>
      </c>
      <c r="H81" s="17">
        <v>1861</v>
      </c>
      <c r="I81" s="11">
        <v>29.983879634605049</v>
      </c>
      <c r="J81" s="17">
        <v>558</v>
      </c>
      <c r="K81" s="17">
        <v>1298</v>
      </c>
      <c r="L81" s="12">
        <v>15070</v>
      </c>
      <c r="M81" s="12">
        <v>-4830</v>
      </c>
      <c r="N81" s="12">
        <v>1512.132568359375</v>
      </c>
      <c r="O81" s="12">
        <v>-646.7796630859375</v>
      </c>
      <c r="P81" s="11">
        <v>2.3379408083807638</v>
      </c>
      <c r="Q81" s="13">
        <v>2.2837184309511009</v>
      </c>
      <c r="R81" s="17">
        <v>7</v>
      </c>
      <c r="S81" s="17">
        <v>19</v>
      </c>
      <c r="T81" s="17">
        <v>66</v>
      </c>
      <c r="U81" s="17">
        <v>20</v>
      </c>
      <c r="V81" s="12">
        <v>-57355</v>
      </c>
      <c r="W81" s="11">
        <v>1.0050624166190201</v>
      </c>
      <c r="X81" s="17">
        <v>1</v>
      </c>
      <c r="Y81" s="12">
        <v>57355</v>
      </c>
      <c r="Z81" s="11">
        <v>7.4099904106006447</v>
      </c>
      <c r="AA81" s="14">
        <v>41.347746491151597</v>
      </c>
      <c r="AB81" s="11">
        <v>-1.3527445622439E-2</v>
      </c>
      <c r="AC81" s="11">
        <v>-8.1676054140351007E-2</v>
      </c>
      <c r="AD81" s="15">
        <v>-160.9938524241951</v>
      </c>
      <c r="AE81" s="11">
        <v>5.5546994408598547</v>
      </c>
      <c r="AF81" s="11">
        <f>(Opti_Medias__30_OOS[[#This Row],[All: TS Index]]-AA$114) /ABS(AA$114)</f>
        <v>-0.97129016544721192</v>
      </c>
      <c r="AG81" s="11">
        <f>(Opti_Medias__30_OOS[[#This Row],[All: Expectancy Score]]-AB$114) /ABS(AB$114)</f>
        <v>-1.1113506763500738</v>
      </c>
      <c r="AH81" s="11"/>
      <c r="AI81" s="11">
        <f>(Opti_Medias__30_OOS[[#This Row],[All: Perfect Profit Correlation]]-AD$114) /ABS(AD$114)</f>
        <v>-1.0018645787385683</v>
      </c>
      <c r="AJ81" s="11">
        <f>(Opti_Medias__30_OOS[[#This Row],[All: Robustness Index]]-AE$114) /ABS(AE$114)</f>
        <v>-0.96118139864288976</v>
      </c>
      <c r="AK81" s="11">
        <f>SUM(Opti_Medias__30_OOS[[#This Row],[VAR TS Index]:[VAR Robustness Index]])</f>
        <v>-4.0456868191787443</v>
      </c>
      <c r="AL81" s="11">
        <f>Opti_Medias__30_OOS[[#This Row],[SUMA]]-Opti_Medias__30_OOS[[#This Row],[VAR Robustness Index]]</f>
        <v>-3.0845054205358546</v>
      </c>
    </row>
    <row r="82" spans="1:38" x14ac:dyDescent="0.25">
      <c r="A82" s="11"/>
      <c r="B82" s="17">
        <v>13</v>
      </c>
      <c r="C82" s="17">
        <v>3</v>
      </c>
      <c r="D82" s="17">
        <v>103</v>
      </c>
      <c r="E82" s="10">
        <v>-7810</v>
      </c>
      <c r="F82" s="10">
        <v>782340</v>
      </c>
      <c r="G82" s="10">
        <v>-790150</v>
      </c>
      <c r="H82" s="17">
        <v>1418</v>
      </c>
      <c r="I82" s="11">
        <v>41.043723554301835</v>
      </c>
      <c r="J82" s="17">
        <v>582</v>
      </c>
      <c r="K82" s="17">
        <v>827</v>
      </c>
      <c r="L82" s="12">
        <v>14430</v>
      </c>
      <c r="M82" s="12">
        <v>-4000</v>
      </c>
      <c r="N82" s="12">
        <v>1344.226806640625</v>
      </c>
      <c r="O82" s="12">
        <v>-955.44134521484375</v>
      </c>
      <c r="P82" s="11">
        <v>1.406917141876834</v>
      </c>
      <c r="Q82" s="13">
        <v>-5.5077574047954867</v>
      </c>
      <c r="R82" s="17">
        <v>8</v>
      </c>
      <c r="S82" s="17">
        <v>12</v>
      </c>
      <c r="T82" s="17">
        <v>56</v>
      </c>
      <c r="U82" s="17">
        <v>37</v>
      </c>
      <c r="V82" s="12">
        <v>-77025</v>
      </c>
      <c r="W82" s="11">
        <v>0.99011580079731698</v>
      </c>
      <c r="X82" s="17">
        <v>1</v>
      </c>
      <c r="Y82" s="12">
        <v>77025</v>
      </c>
      <c r="Z82" s="11">
        <v>-10.139565076273938</v>
      </c>
      <c r="AA82" s="14">
        <v>-59.012268743914312</v>
      </c>
      <c r="AB82" s="11">
        <v>-3.6018329978290001E-3</v>
      </c>
      <c r="AC82" s="11">
        <v>-0.127628287032687</v>
      </c>
      <c r="AD82" s="15">
        <v>-3108.1513066339317</v>
      </c>
      <c r="AE82" s="11">
        <v>-9.722357756634409</v>
      </c>
      <c r="AF82" s="11">
        <f>(Opti_Medias__30_OOS[[#This Row],[All: TS Index]]-AA$114) /ABS(AA$114)</f>
        <v>-1.0409752070184772</v>
      </c>
      <c r="AG82" s="11">
        <f>(Opti_Medias__30_OOS[[#This Row],[All: Expectancy Score]]-AB$114) /ABS(AB$114)</f>
        <v>-1.0296483572436614</v>
      </c>
      <c r="AH82" s="11"/>
      <c r="AI82" s="11">
        <f>(Opti_Medias__30_OOS[[#This Row],[All: Perfect Profit Correlation]]-AD$114) /ABS(AD$114)</f>
        <v>-1.0359976033577556</v>
      </c>
      <c r="AJ82" s="11">
        <f>(Opti_Medias__30_OOS[[#This Row],[All: Robustness Index]]-AE$114) /ABS(AE$114)</f>
        <v>-1.0679439696106363</v>
      </c>
      <c r="AK82" s="11">
        <f>SUM(Opti_Medias__30_OOS[[#This Row],[VAR TS Index]:[VAR Robustness Index]])</f>
        <v>-4.1745651372305304</v>
      </c>
      <c r="AL82" s="11">
        <f>Opti_Medias__30_OOS[[#This Row],[SUMA]]-Opti_Medias__30_OOS[[#This Row],[VAR Robustness Index]]</f>
        <v>-3.106621167619894</v>
      </c>
    </row>
    <row r="83" spans="1:38" x14ac:dyDescent="0.25">
      <c r="A83" s="11"/>
      <c r="B83" s="17">
        <v>20</v>
      </c>
      <c r="C83" s="17">
        <v>3</v>
      </c>
      <c r="D83" s="17">
        <v>110</v>
      </c>
      <c r="E83" s="10">
        <v>-10630</v>
      </c>
      <c r="F83" s="10">
        <v>771080</v>
      </c>
      <c r="G83" s="10">
        <v>-781710</v>
      </c>
      <c r="H83" s="17">
        <v>1246</v>
      </c>
      <c r="I83" s="11">
        <v>37.720706260032102</v>
      </c>
      <c r="J83" s="17">
        <v>470</v>
      </c>
      <c r="K83" s="17">
        <v>772</v>
      </c>
      <c r="L83" s="12">
        <v>15590</v>
      </c>
      <c r="M83" s="12">
        <v>-4250</v>
      </c>
      <c r="N83" s="12">
        <v>1640.595703125</v>
      </c>
      <c r="O83" s="12">
        <v>-1012.5776977539063</v>
      </c>
      <c r="P83" s="11">
        <v>1.620217102118839</v>
      </c>
      <c r="Q83" s="13">
        <v>-8.5313001605136431</v>
      </c>
      <c r="R83" s="17">
        <v>7</v>
      </c>
      <c r="S83" s="17">
        <v>11</v>
      </c>
      <c r="T83" s="17">
        <v>69</v>
      </c>
      <c r="U83" s="17">
        <v>39</v>
      </c>
      <c r="V83" s="12">
        <v>-75815</v>
      </c>
      <c r="W83" s="11">
        <v>0.98640160673395505</v>
      </c>
      <c r="X83" s="17">
        <v>1</v>
      </c>
      <c r="Y83" s="12">
        <v>75815</v>
      </c>
      <c r="Z83" s="11">
        <v>-14.020972103145816</v>
      </c>
      <c r="AA83" s="14">
        <v>-65.898568884785334</v>
      </c>
      <c r="AB83" s="11">
        <v>-5.0369709562530004E-3</v>
      </c>
      <c r="AC83" s="11">
        <v>-0.180629096684575</v>
      </c>
      <c r="AD83" s="15">
        <v>-10.086080568377657</v>
      </c>
      <c r="AE83" s="11">
        <v>-14.846279468920637</v>
      </c>
      <c r="AF83" s="11">
        <f>(Opti_Medias__30_OOS[[#This Row],[All: TS Index]]-AA$114) /ABS(AA$114)</f>
        <v>-1.045756713980835</v>
      </c>
      <c r="AG83" s="11">
        <f>(Opti_Medias__30_OOS[[#This Row],[All: Expectancy Score]]-AB$114) /ABS(AB$114)</f>
        <v>-1.0414616431208632</v>
      </c>
      <c r="AH83" s="11"/>
      <c r="AI83" s="11">
        <f>(Opti_Medias__30_OOS[[#This Row],[All: Perfect Profit Correlation]]-AD$114) /ABS(AD$114)</f>
        <v>-1.0001168137236305</v>
      </c>
      <c r="AJ83" s="11">
        <f>(Opti_Medias__30_OOS[[#This Row],[All: Robustness Index]]-AE$114) /ABS(AE$114)</f>
        <v>-1.103752113048815</v>
      </c>
      <c r="AK83" s="11">
        <f>SUM(Opti_Medias__30_OOS[[#This Row],[VAR TS Index]:[VAR Robustness Index]])</f>
        <v>-4.1910872838741442</v>
      </c>
      <c r="AL83" s="11">
        <f>Opti_Medias__30_OOS[[#This Row],[SUMA]]-Opti_Medias__30_OOS[[#This Row],[VAR Robustness Index]]</f>
        <v>-3.0873351708253294</v>
      </c>
    </row>
    <row r="84" spans="1:38" x14ac:dyDescent="0.25">
      <c r="A84" s="11"/>
      <c r="B84" s="17">
        <v>6</v>
      </c>
      <c r="C84" s="17">
        <v>8</v>
      </c>
      <c r="D84" s="17">
        <v>321</v>
      </c>
      <c r="E84" s="10">
        <v>-2650</v>
      </c>
      <c r="F84" s="10">
        <v>874830</v>
      </c>
      <c r="G84" s="10">
        <v>-877480</v>
      </c>
      <c r="H84" s="17">
        <v>1759</v>
      </c>
      <c r="I84" s="11">
        <v>36.952814098919838</v>
      </c>
      <c r="J84" s="17">
        <v>650</v>
      </c>
      <c r="K84" s="17">
        <v>1100</v>
      </c>
      <c r="L84" s="12">
        <v>16650</v>
      </c>
      <c r="M84" s="12">
        <v>-6490</v>
      </c>
      <c r="N84" s="12">
        <v>1345.892333984375</v>
      </c>
      <c r="O84" s="12">
        <v>-797.7091064453125</v>
      </c>
      <c r="P84" s="11">
        <v>1.6871969031190239</v>
      </c>
      <c r="Q84" s="13">
        <v>-1.506537805571347</v>
      </c>
      <c r="R84" s="17">
        <v>8</v>
      </c>
      <c r="S84" s="17">
        <v>13</v>
      </c>
      <c r="T84" s="17">
        <v>55</v>
      </c>
      <c r="U84" s="17">
        <v>25</v>
      </c>
      <c r="V84" s="12">
        <v>-53385</v>
      </c>
      <c r="W84" s="11">
        <v>0.99697998814787803</v>
      </c>
      <c r="X84" s="17">
        <v>1</v>
      </c>
      <c r="Y84" s="12">
        <v>53385</v>
      </c>
      <c r="Z84" s="11">
        <v>-4.9639411819799566</v>
      </c>
      <c r="AA84" s="14">
        <v>-32.265617682869717</v>
      </c>
      <c r="AB84" s="11">
        <v>-2.3568413866549998E-2</v>
      </c>
      <c r="AC84" s="11">
        <v>-0.10506638236578</v>
      </c>
      <c r="AD84" s="15">
        <v>-537.19267290954485</v>
      </c>
      <c r="AE84" s="11">
        <v>-2.1599956450971058</v>
      </c>
      <c r="AF84" s="11">
        <f>(Opti_Medias__30_OOS[[#This Row],[All: TS Index]]-AA$114) /ABS(AA$114)</f>
        <v>-1.0224036525332025</v>
      </c>
      <c r="AG84" s="11">
        <f>(Opti_Medias__30_OOS[[#This Row],[All: Expectancy Score]]-AB$114) /ABS(AB$114)</f>
        <v>-1.1940025410403852</v>
      </c>
      <c r="AH84" s="11"/>
      <c r="AI84" s="11">
        <f>(Opti_Medias__30_OOS[[#This Row],[All: Perfect Profit Correlation]]-AD$114) /ABS(AD$114)</f>
        <v>-1.0062215918268897</v>
      </c>
      <c r="AJ84" s="11">
        <f>(Opti_Medias__30_OOS[[#This Row],[All: Robustness Index]]-AE$114) /ABS(AE$114)</f>
        <v>-1.0150949679227179</v>
      </c>
      <c r="AK84" s="11">
        <f>SUM(Opti_Medias__30_OOS[[#This Row],[VAR TS Index]:[VAR Robustness Index]])</f>
        <v>-4.2377227533231956</v>
      </c>
      <c r="AL84" s="11">
        <f>Opti_Medias__30_OOS[[#This Row],[SUMA]]-Opti_Medias__30_OOS[[#This Row],[VAR Robustness Index]]</f>
        <v>-3.2226277854004777</v>
      </c>
    </row>
    <row r="85" spans="1:38" x14ac:dyDescent="0.25">
      <c r="A85" s="11"/>
      <c r="B85" s="17">
        <v>38</v>
      </c>
      <c r="C85" s="17">
        <v>1</v>
      </c>
      <c r="D85" s="17">
        <v>38</v>
      </c>
      <c r="E85" s="10">
        <v>-3030</v>
      </c>
      <c r="F85" s="10">
        <v>849850</v>
      </c>
      <c r="G85" s="10">
        <v>-852880</v>
      </c>
      <c r="H85" s="17">
        <v>1939</v>
      </c>
      <c r="I85" s="11">
        <v>30.273336771531717</v>
      </c>
      <c r="J85" s="17">
        <v>587</v>
      </c>
      <c r="K85" s="17">
        <v>1346</v>
      </c>
      <c r="L85" s="12">
        <v>14910</v>
      </c>
      <c r="M85" s="12">
        <v>-5240</v>
      </c>
      <c r="N85" s="12">
        <v>1447.785400390625</v>
      </c>
      <c r="O85" s="12">
        <v>-633.64044189453125</v>
      </c>
      <c r="P85" s="11">
        <v>2.284868996148461</v>
      </c>
      <c r="Q85" s="13">
        <v>-1.5626611655492519</v>
      </c>
      <c r="R85" s="17">
        <v>7</v>
      </c>
      <c r="S85" s="17">
        <v>20</v>
      </c>
      <c r="T85" s="17">
        <v>64</v>
      </c>
      <c r="U85" s="17">
        <v>19</v>
      </c>
      <c r="V85" s="12">
        <v>-52815</v>
      </c>
      <c r="W85" s="11">
        <v>0.99644733139480302</v>
      </c>
      <c r="X85" s="17">
        <v>1</v>
      </c>
      <c r="Y85" s="12">
        <v>52815</v>
      </c>
      <c r="Z85" s="11">
        <v>-5.7370065322351609</v>
      </c>
      <c r="AA85" s="14">
        <v>-33.676228344220391</v>
      </c>
      <c r="AB85" s="11">
        <v>-2.2308928446206001E-2</v>
      </c>
      <c r="AC85" s="11">
        <v>-0.14860144539026901</v>
      </c>
      <c r="AD85" s="15">
        <v>-396.96622784524635</v>
      </c>
      <c r="AE85" s="11">
        <v>-4.127078723147827</v>
      </c>
      <c r="AF85" s="11">
        <f>(Opti_Medias__30_OOS[[#This Row],[All: TS Index]]-AA$114) /ABS(AA$114)</f>
        <v>-1.0233831109594178</v>
      </c>
      <c r="AG85" s="11">
        <f>(Opti_Medias__30_OOS[[#This Row],[All: Expectancy Score]]-AB$114) /ABS(AB$114)</f>
        <v>-1.1836351326380385</v>
      </c>
      <c r="AH85" s="11"/>
      <c r="AI85" s="11">
        <f>(Opti_Medias__30_OOS[[#This Row],[All: Perfect Profit Correlation]]-AD$114) /ABS(AD$114)</f>
        <v>-1.0045975344848552</v>
      </c>
      <c r="AJ85" s="11">
        <f>(Opti_Medias__30_OOS[[#This Row],[All: Robustness Index]]-AE$114) /ABS(AE$114)</f>
        <v>-1.0288417808072237</v>
      </c>
      <c r="AK85" s="11">
        <f>SUM(Opti_Medias__30_OOS[[#This Row],[VAR TS Index]:[VAR Robustness Index]])</f>
        <v>-4.2404575588895348</v>
      </c>
      <c r="AL85" s="11">
        <f>Opti_Medias__30_OOS[[#This Row],[SUMA]]-Opti_Medias__30_OOS[[#This Row],[VAR Robustness Index]]</f>
        <v>-3.2116157780823111</v>
      </c>
    </row>
    <row r="86" spans="1:38" x14ac:dyDescent="0.25">
      <c r="A86" s="11"/>
      <c r="B86" s="17">
        <v>19</v>
      </c>
      <c r="C86" s="17">
        <v>3</v>
      </c>
      <c r="D86" s="17">
        <v>109</v>
      </c>
      <c r="E86" s="10">
        <v>-12170</v>
      </c>
      <c r="F86" s="10">
        <v>773880</v>
      </c>
      <c r="G86" s="10">
        <v>-786050</v>
      </c>
      <c r="H86" s="17">
        <v>1276</v>
      </c>
      <c r="I86" s="11">
        <v>38.871473354231973</v>
      </c>
      <c r="J86" s="17">
        <v>496</v>
      </c>
      <c r="K86" s="17">
        <v>778</v>
      </c>
      <c r="L86" s="12">
        <v>16030</v>
      </c>
      <c r="M86" s="12">
        <v>-4120</v>
      </c>
      <c r="N86" s="12">
        <v>1560.241943359375</v>
      </c>
      <c r="O86" s="12">
        <v>-1010.3470458984375</v>
      </c>
      <c r="P86" s="11">
        <v>1.5442633792945379</v>
      </c>
      <c r="Q86" s="13">
        <v>-9.5376175548589348</v>
      </c>
      <c r="R86" s="17">
        <v>7</v>
      </c>
      <c r="S86" s="17">
        <v>11</v>
      </c>
      <c r="T86" s="17">
        <v>65</v>
      </c>
      <c r="U86" s="17">
        <v>39</v>
      </c>
      <c r="V86" s="12">
        <v>-74875</v>
      </c>
      <c r="W86" s="11">
        <v>0.98451752433051298</v>
      </c>
      <c r="X86" s="17">
        <v>1</v>
      </c>
      <c r="Y86" s="12">
        <v>74875</v>
      </c>
      <c r="Z86" s="11">
        <v>-16.253756260434056</v>
      </c>
      <c r="AA86" s="14">
        <v>-80.618631051752928</v>
      </c>
      <c r="AB86" s="11">
        <v>-9.3407340132320004E-3</v>
      </c>
      <c r="AC86" s="11">
        <v>-0.187369799385561</v>
      </c>
      <c r="AD86" s="15">
        <v>-1408.4955567039847</v>
      </c>
      <c r="AE86" s="11">
        <v>-13.141312663972318</v>
      </c>
      <c r="AF86" s="11">
        <f>(Opti_Medias__30_OOS[[#This Row],[All: TS Index]]-AA$114) /ABS(AA$114)</f>
        <v>-1.0559775986791302</v>
      </c>
      <c r="AG86" s="11">
        <f>(Opti_Medias__30_OOS[[#This Row],[All: Expectancy Score]]-AB$114) /ABS(AB$114)</f>
        <v>-1.0768879121017669</v>
      </c>
      <c r="AH86" s="11"/>
      <c r="AI86" s="11">
        <f>(Opti_Medias__30_OOS[[#This Row],[All: Perfect Profit Correlation]]-AD$114) /ABS(AD$114)</f>
        <v>-1.0163127400758045</v>
      </c>
      <c r="AJ86" s="11">
        <f>(Opti_Medias__30_OOS[[#This Row],[All: Robustness Index]]-AE$114) /ABS(AE$114)</f>
        <v>-1.0918370801234423</v>
      </c>
      <c r="AK86" s="11">
        <f>SUM(Opti_Medias__30_OOS[[#This Row],[VAR TS Index]:[VAR Robustness Index]])</f>
        <v>-4.2410153309801437</v>
      </c>
      <c r="AL86" s="11">
        <f>Opti_Medias__30_OOS[[#This Row],[SUMA]]-Opti_Medias__30_OOS[[#This Row],[VAR Robustness Index]]</f>
        <v>-3.1491782508567017</v>
      </c>
    </row>
    <row r="87" spans="1:38" x14ac:dyDescent="0.25">
      <c r="A87" s="11"/>
      <c r="B87" s="17">
        <v>12</v>
      </c>
      <c r="C87" s="17">
        <v>3</v>
      </c>
      <c r="D87" s="17">
        <v>102</v>
      </c>
      <c r="E87" s="10">
        <v>-11530</v>
      </c>
      <c r="F87" s="10">
        <v>784820</v>
      </c>
      <c r="G87" s="10">
        <v>-796350</v>
      </c>
      <c r="H87" s="17">
        <v>1466</v>
      </c>
      <c r="I87" s="11">
        <v>41.473396998635742</v>
      </c>
      <c r="J87" s="17">
        <v>608</v>
      </c>
      <c r="K87" s="17">
        <v>848</v>
      </c>
      <c r="L87" s="12">
        <v>14430</v>
      </c>
      <c r="M87" s="12">
        <v>-4110</v>
      </c>
      <c r="N87" s="12">
        <v>1290.8223876953125</v>
      </c>
      <c r="O87" s="12">
        <v>-939.09197998046875</v>
      </c>
      <c r="P87" s="11">
        <v>1.3745430854623619</v>
      </c>
      <c r="Q87" s="13">
        <v>-7.8649386084583899</v>
      </c>
      <c r="R87" s="17">
        <v>8</v>
      </c>
      <c r="S87" s="17">
        <v>9</v>
      </c>
      <c r="T87" s="17">
        <v>54</v>
      </c>
      <c r="U87" s="17">
        <v>36</v>
      </c>
      <c r="V87" s="12">
        <v>-78915</v>
      </c>
      <c r="W87" s="11">
        <v>0.98552144157719601</v>
      </c>
      <c r="X87" s="17">
        <v>1</v>
      </c>
      <c r="Y87" s="12">
        <v>78915</v>
      </c>
      <c r="Z87" s="11">
        <v>-14.610657036051448</v>
      </c>
      <c r="AA87" s="14">
        <v>-88.832794779192795</v>
      </c>
      <c r="AB87" s="11">
        <v>-2.0057954084518E-2</v>
      </c>
      <c r="AC87" s="11">
        <v>-0.16011882657826801</v>
      </c>
      <c r="AD87" s="15">
        <v>-4206.0289488619901</v>
      </c>
      <c r="AE87" s="11">
        <v>-10.44479710542695</v>
      </c>
      <c r="AF87" s="11">
        <f>(Opti_Medias__30_OOS[[#This Row],[All: TS Index]]-AA$114) /ABS(AA$114)</f>
        <v>-1.0616811085827418</v>
      </c>
      <c r="AG87" s="11">
        <f>(Opti_Medias__30_OOS[[#This Row],[All: Expectancy Score]]-AB$114) /ABS(AB$114)</f>
        <v>-1.1651063190973012</v>
      </c>
      <c r="AH87" s="11"/>
      <c r="AI87" s="11">
        <f>(Opti_Medias__30_OOS[[#This Row],[All: Perfect Profit Correlation]]-AD$114) /ABS(AD$114)</f>
        <v>-1.0487128671918944</v>
      </c>
      <c r="AJ87" s="11">
        <f>(Opti_Medias__30_OOS[[#This Row],[All: Robustness Index]]-AE$114) /ABS(AE$114)</f>
        <v>-1.0729926829360015</v>
      </c>
      <c r="AK87" s="11">
        <f>SUM(Opti_Medias__30_OOS[[#This Row],[VAR TS Index]:[VAR Robustness Index]])</f>
        <v>-4.3484929778079389</v>
      </c>
      <c r="AL87" s="11">
        <f>Opti_Medias__30_OOS[[#This Row],[SUMA]]-Opti_Medias__30_OOS[[#This Row],[VAR Robustness Index]]</f>
        <v>-3.2755002948719376</v>
      </c>
    </row>
    <row r="88" spans="1:38" x14ac:dyDescent="0.25">
      <c r="A88" s="11"/>
      <c r="B88" s="17">
        <v>36</v>
      </c>
      <c r="C88" s="17">
        <v>1</v>
      </c>
      <c r="D88" s="17">
        <v>36</v>
      </c>
      <c r="E88" s="10">
        <v>-5690</v>
      </c>
      <c r="F88" s="10">
        <v>836110</v>
      </c>
      <c r="G88" s="10">
        <v>-841800</v>
      </c>
      <c r="H88" s="17">
        <v>1803</v>
      </c>
      <c r="I88" s="11">
        <v>30.227398779811427</v>
      </c>
      <c r="J88" s="17">
        <v>545</v>
      </c>
      <c r="K88" s="17">
        <v>1246</v>
      </c>
      <c r="L88" s="12">
        <v>15070</v>
      </c>
      <c r="M88" s="12">
        <v>-4830</v>
      </c>
      <c r="N88" s="12">
        <v>1534.146728515625</v>
      </c>
      <c r="O88" s="12">
        <v>-675.6019287109375</v>
      </c>
      <c r="P88" s="11">
        <v>2.27078500418554</v>
      </c>
      <c r="Q88" s="13">
        <v>-3.155851358846367</v>
      </c>
      <c r="R88" s="17">
        <v>7</v>
      </c>
      <c r="S88" s="17">
        <v>17</v>
      </c>
      <c r="T88" s="17">
        <v>68</v>
      </c>
      <c r="U88" s="17">
        <v>21</v>
      </c>
      <c r="V88" s="12">
        <v>-56365</v>
      </c>
      <c r="W88" s="11">
        <v>0.99324067474459499</v>
      </c>
      <c r="X88" s="17">
        <v>1</v>
      </c>
      <c r="Y88" s="12">
        <v>56365</v>
      </c>
      <c r="Z88" s="11">
        <v>-10.094917058458263</v>
      </c>
      <c r="AA88" s="14">
        <v>-55.017297968597532</v>
      </c>
      <c r="AB88" s="11">
        <v>-3.5124326906541999E-2</v>
      </c>
      <c r="AC88" s="11">
        <v>-0.17657130676203101</v>
      </c>
      <c r="AD88" s="15">
        <v>-389.07470070761525</v>
      </c>
      <c r="AE88" s="11">
        <v>-7.7488337530407083</v>
      </c>
      <c r="AF88" s="11">
        <f>(Opti_Medias__30_OOS[[#This Row],[All: TS Index]]-AA$114) /ABS(AA$114)</f>
        <v>-1.0382012964735068</v>
      </c>
      <c r="AG88" s="11">
        <f>(Opti_Medias__30_OOS[[#This Row],[All: Expectancy Score]]-AB$114) /ABS(AB$114)</f>
        <v>-1.2891246186860938</v>
      </c>
      <c r="AH88" s="11"/>
      <c r="AI88" s="11">
        <f>(Opti_Medias__30_OOS[[#This Row],[All: Perfect Profit Correlation]]-AD$114) /ABS(AD$114)</f>
        <v>-1.0045061373694122</v>
      </c>
      <c r="AJ88" s="11">
        <f>(Opti_Medias__30_OOS[[#This Row],[All: Robustness Index]]-AE$114) /ABS(AE$114)</f>
        <v>-1.0541521447999795</v>
      </c>
      <c r="AK88" s="11">
        <f>SUM(Opti_Medias__30_OOS[[#This Row],[VAR TS Index]:[VAR Robustness Index]])</f>
        <v>-4.3859841973289919</v>
      </c>
      <c r="AL88" s="11">
        <f>Opti_Medias__30_OOS[[#This Row],[SUMA]]-Opti_Medias__30_OOS[[#This Row],[VAR Robustness Index]]</f>
        <v>-3.3318320525290126</v>
      </c>
    </row>
    <row r="89" spans="1:38" x14ac:dyDescent="0.25">
      <c r="A89" s="11"/>
      <c r="B89" s="17">
        <v>25</v>
      </c>
      <c r="C89" s="17">
        <v>3</v>
      </c>
      <c r="D89" s="17">
        <v>115</v>
      </c>
      <c r="E89" s="10">
        <v>-32020</v>
      </c>
      <c r="F89" s="10">
        <v>731730</v>
      </c>
      <c r="G89" s="10">
        <v>-763750</v>
      </c>
      <c r="H89" s="17">
        <v>1209</v>
      </c>
      <c r="I89" s="11">
        <v>36.393713813068651</v>
      </c>
      <c r="J89" s="17">
        <v>440</v>
      </c>
      <c r="K89" s="17">
        <v>765</v>
      </c>
      <c r="L89" s="12">
        <v>12800</v>
      </c>
      <c r="M89" s="12">
        <v>-6070</v>
      </c>
      <c r="N89" s="12">
        <v>1663.022705078125</v>
      </c>
      <c r="O89" s="12">
        <v>-998.36602783203125</v>
      </c>
      <c r="P89" s="11">
        <v>1.6657444852058989</v>
      </c>
      <c r="Q89" s="13">
        <v>-26.484698097601324</v>
      </c>
      <c r="R89" s="17">
        <v>6</v>
      </c>
      <c r="S89" s="17">
        <v>14</v>
      </c>
      <c r="T89" s="17">
        <v>77</v>
      </c>
      <c r="U89" s="17">
        <v>38</v>
      </c>
      <c r="V89" s="12">
        <v>-86675</v>
      </c>
      <c r="W89" s="11">
        <v>0.95807528641571205</v>
      </c>
      <c r="X89" s="17">
        <v>1</v>
      </c>
      <c r="Y89" s="12">
        <v>86675</v>
      </c>
      <c r="Z89" s="11">
        <v>-36.942601672916062</v>
      </c>
      <c r="AA89" s="14">
        <v>-162.54744736083069</v>
      </c>
      <c r="AB89" s="11">
        <v>-1.1278814849888999E-2</v>
      </c>
      <c r="AC89" s="11">
        <v>-0.39290419494934098</v>
      </c>
      <c r="AD89" s="15">
        <v>-108.53262673271827</v>
      </c>
      <c r="AE89" s="11">
        <v>-37.156542116662081</v>
      </c>
      <c r="AF89" s="11">
        <f>(Opti_Medias__30_OOS[[#This Row],[All: TS Index]]-AA$114) /ABS(AA$114)</f>
        <v>-1.112864925340155</v>
      </c>
      <c r="AG89" s="11">
        <f>(Opti_Medias__30_OOS[[#This Row],[All: Expectancy Score]]-AB$114) /ABS(AB$114)</f>
        <v>-1.092841153978038</v>
      </c>
      <c r="AH89" s="11"/>
      <c r="AI89" s="11">
        <f>(Opti_Medias__30_OOS[[#This Row],[All: Perfect Profit Correlation]]-AD$114) /ABS(AD$114)</f>
        <v>-1.0012569897868746</v>
      </c>
      <c r="AJ89" s="11">
        <f>(Opti_Medias__30_OOS[[#This Row],[All: Robustness Index]]-AE$114) /ABS(AE$114)</f>
        <v>-1.259665713976436</v>
      </c>
      <c r="AK89" s="11">
        <f>SUM(Opti_Medias__30_OOS[[#This Row],[VAR TS Index]:[VAR Robustness Index]])</f>
        <v>-4.4666287830815037</v>
      </c>
      <c r="AL89" s="11">
        <f>Opti_Medias__30_OOS[[#This Row],[SUMA]]-Opti_Medias__30_OOS[[#This Row],[VAR Robustness Index]]</f>
        <v>-3.2069630691050675</v>
      </c>
    </row>
    <row r="90" spans="1:38" x14ac:dyDescent="0.25">
      <c r="A90" s="11"/>
      <c r="B90" s="17">
        <v>18</v>
      </c>
      <c r="C90" s="17">
        <v>3</v>
      </c>
      <c r="D90" s="17">
        <v>108</v>
      </c>
      <c r="E90" s="10">
        <v>-30190</v>
      </c>
      <c r="F90" s="10">
        <v>772610</v>
      </c>
      <c r="G90" s="10">
        <v>-802800</v>
      </c>
      <c r="H90" s="17">
        <v>1294</v>
      </c>
      <c r="I90" s="11">
        <v>38.485316846986088</v>
      </c>
      <c r="J90" s="17">
        <v>498</v>
      </c>
      <c r="K90" s="17">
        <v>790</v>
      </c>
      <c r="L90" s="12">
        <v>20030</v>
      </c>
      <c r="M90" s="12">
        <v>-5970</v>
      </c>
      <c r="N90" s="12">
        <v>1551.4256591796875</v>
      </c>
      <c r="O90" s="12">
        <v>-1016.2025146484375</v>
      </c>
      <c r="P90" s="11">
        <v>1.5266894509864639</v>
      </c>
      <c r="Q90" s="13">
        <v>-23.330757341576508</v>
      </c>
      <c r="R90" s="17">
        <v>8</v>
      </c>
      <c r="S90" s="17">
        <v>14</v>
      </c>
      <c r="T90" s="17">
        <v>63</v>
      </c>
      <c r="U90" s="17">
        <v>40</v>
      </c>
      <c r="V90" s="12">
        <v>-93855</v>
      </c>
      <c r="W90" s="11">
        <v>0.96239412057797702</v>
      </c>
      <c r="X90" s="17">
        <v>1</v>
      </c>
      <c r="Y90" s="12">
        <v>93855</v>
      </c>
      <c r="Z90" s="11">
        <v>-32.166640029833253</v>
      </c>
      <c r="AA90" s="14">
        <v>-160.18986734856961</v>
      </c>
      <c r="AB90" s="11">
        <v>-2.3599728612937999E-2</v>
      </c>
      <c r="AC90" s="11">
        <v>-0.36249139739646602</v>
      </c>
      <c r="AD90" s="15">
        <v>-245.43415575402321</v>
      </c>
      <c r="AE90" s="11">
        <v>-32.385213020168386</v>
      </c>
      <c r="AF90" s="11">
        <f>(Opti_Medias__30_OOS[[#This Row],[All: TS Index]]-AA$114) /ABS(AA$114)</f>
        <v>-1.111227938131881</v>
      </c>
      <c r="AG90" s="11">
        <f>(Opti_Medias__30_OOS[[#This Row],[All: Expectancy Score]]-AB$114) /ABS(AB$114)</f>
        <v>-1.194260307235671</v>
      </c>
      <c r="AH90" s="11"/>
      <c r="AI90" s="11">
        <f>(Opti_Medias__30_OOS[[#This Row],[All: Perfect Profit Correlation]]-AD$114) /ABS(AD$114)</f>
        <v>-1.0028425390264695</v>
      </c>
      <c r="AJ90" s="11">
        <f>(Opti_Medias__30_OOS[[#This Row],[All: Robustness Index]]-AE$114) /ABS(AE$114)</f>
        <v>-1.2263216376474926</v>
      </c>
      <c r="AK90" s="11">
        <f>SUM(Opti_Medias__30_OOS[[#This Row],[VAR TS Index]:[VAR Robustness Index]])</f>
        <v>-4.5346524220415141</v>
      </c>
      <c r="AL90" s="11">
        <f>Opti_Medias__30_OOS[[#This Row],[SUMA]]-Opti_Medias__30_OOS[[#This Row],[VAR Robustness Index]]</f>
        <v>-3.3083307843940215</v>
      </c>
    </row>
    <row r="91" spans="1:38" x14ac:dyDescent="0.25">
      <c r="A91" s="11"/>
      <c r="B91" s="17">
        <v>24</v>
      </c>
      <c r="C91" s="17">
        <v>3</v>
      </c>
      <c r="D91" s="17">
        <v>114</v>
      </c>
      <c r="E91" s="10">
        <v>-23930</v>
      </c>
      <c r="F91" s="10">
        <v>762290</v>
      </c>
      <c r="G91" s="10">
        <v>-786220</v>
      </c>
      <c r="H91" s="17">
        <v>1219</v>
      </c>
      <c r="I91" s="11">
        <v>35.438884331419196</v>
      </c>
      <c r="J91" s="17">
        <v>432</v>
      </c>
      <c r="K91" s="17">
        <v>783</v>
      </c>
      <c r="L91" s="12">
        <v>12710</v>
      </c>
      <c r="M91" s="12">
        <v>-6070</v>
      </c>
      <c r="N91" s="12">
        <v>1764.5601806640625</v>
      </c>
      <c r="O91" s="12">
        <v>-1004.1123657226563</v>
      </c>
      <c r="P91" s="11">
        <v>1.757333383096138</v>
      </c>
      <c r="Q91" s="13">
        <v>-19.630844954881049</v>
      </c>
      <c r="R91" s="17">
        <v>5</v>
      </c>
      <c r="S91" s="17">
        <v>17</v>
      </c>
      <c r="T91" s="17">
        <v>76</v>
      </c>
      <c r="U91" s="17">
        <v>38</v>
      </c>
      <c r="V91" s="12">
        <v>-81425</v>
      </c>
      <c r="W91" s="11">
        <v>0.96956322657780303</v>
      </c>
      <c r="X91" s="17">
        <v>1</v>
      </c>
      <c r="Y91" s="12">
        <v>81425</v>
      </c>
      <c r="Z91" s="11">
        <v>-29.389008289837275</v>
      </c>
      <c r="AA91" s="14">
        <v>-126.96051581209703</v>
      </c>
      <c r="AB91" s="11">
        <v>-2.8477143819038001E-2</v>
      </c>
      <c r="AC91" s="11">
        <v>-0.32508484153707601</v>
      </c>
      <c r="AD91" s="15">
        <v>-3041.2678060323769</v>
      </c>
      <c r="AE91" s="11">
        <v>-28.702295192712423</v>
      </c>
      <c r="AF91" s="11">
        <f>(Opti_Medias__30_OOS[[#This Row],[All: TS Index]]-AA$114) /ABS(AA$114)</f>
        <v>-1.0881551163733187</v>
      </c>
      <c r="AG91" s="11">
        <f>(Opti_Medias__30_OOS[[#This Row],[All: Expectancy Score]]-AB$114) /ABS(AB$114)</f>
        <v>-1.2344085730057055</v>
      </c>
      <c r="AH91" s="11"/>
      <c r="AI91" s="11">
        <f>(Opti_Medias__30_OOS[[#This Row],[All: Perfect Profit Correlation]]-AD$114) /ABS(AD$114)</f>
        <v>-1.035222980281751</v>
      </c>
      <c r="AJ91" s="11">
        <f>(Opti_Medias__30_OOS[[#This Row],[All: Robustness Index]]-AE$114) /ABS(AE$114)</f>
        <v>-1.2005838420210786</v>
      </c>
      <c r="AK91" s="11">
        <f>SUM(Opti_Medias__30_OOS[[#This Row],[VAR TS Index]:[VAR Robustness Index]])</f>
        <v>-4.5583705116818543</v>
      </c>
      <c r="AL91" s="11">
        <f>Opti_Medias__30_OOS[[#This Row],[SUMA]]-Opti_Medias__30_OOS[[#This Row],[VAR Robustness Index]]</f>
        <v>-3.3577866696607757</v>
      </c>
    </row>
    <row r="92" spans="1:38" x14ac:dyDescent="0.25">
      <c r="A92" s="11"/>
      <c r="B92" s="17">
        <v>23</v>
      </c>
      <c r="C92" s="17">
        <v>3</v>
      </c>
      <c r="D92" s="17">
        <v>113</v>
      </c>
      <c r="E92" s="10">
        <v>-23930</v>
      </c>
      <c r="F92" s="10">
        <v>767370</v>
      </c>
      <c r="G92" s="10">
        <v>-791300</v>
      </c>
      <c r="H92" s="17">
        <v>1213</v>
      </c>
      <c r="I92" s="11">
        <v>35.779060181368507</v>
      </c>
      <c r="J92" s="17">
        <v>434</v>
      </c>
      <c r="K92" s="17">
        <v>774</v>
      </c>
      <c r="L92" s="12">
        <v>14600</v>
      </c>
      <c r="M92" s="12">
        <v>-4200</v>
      </c>
      <c r="N92" s="12">
        <v>1768.1336669921875</v>
      </c>
      <c r="O92" s="12">
        <v>-1022.3514404296875</v>
      </c>
      <c r="P92" s="11">
        <v>1.729477356875492</v>
      </c>
      <c r="Q92" s="13">
        <v>-19.727947238252266</v>
      </c>
      <c r="R92" s="17">
        <v>7</v>
      </c>
      <c r="S92" s="17">
        <v>18</v>
      </c>
      <c r="T92" s="17">
        <v>75</v>
      </c>
      <c r="U92" s="17">
        <v>39</v>
      </c>
      <c r="V92" s="12">
        <v>-89845</v>
      </c>
      <c r="W92" s="11">
        <v>0.96975862504738997</v>
      </c>
      <c r="X92" s="17">
        <v>1</v>
      </c>
      <c r="Y92" s="12">
        <v>89845</v>
      </c>
      <c r="Z92" s="11">
        <v>-26.634759864210586</v>
      </c>
      <c r="AA92" s="14">
        <v>-115.59485781067394</v>
      </c>
      <c r="AB92" s="11">
        <v>-1.8050158405650999E-2</v>
      </c>
      <c r="AC92" s="11">
        <v>-0.32322247591606201</v>
      </c>
      <c r="AD92" s="15">
        <v>-5481.3226310310356</v>
      </c>
      <c r="AE92" s="11">
        <v>-39.041704004966256</v>
      </c>
      <c r="AF92" s="11">
        <f>(Opti_Medias__30_OOS[[#This Row],[All: TS Index]]-AA$114) /ABS(AA$114)</f>
        <v>-1.08026336437967</v>
      </c>
      <c r="AG92" s="11">
        <f>(Opti_Medias__30_OOS[[#This Row],[All: Expectancy Score]]-AB$114) /ABS(AB$114)</f>
        <v>-1.1485792220344422</v>
      </c>
      <c r="AH92" s="11"/>
      <c r="AI92" s="11">
        <f>(Opti_Medias__30_OOS[[#This Row],[All: Perfect Profit Correlation]]-AD$114) /ABS(AD$114)</f>
        <v>-1.0634829062300166</v>
      </c>
      <c r="AJ92" s="11">
        <f>(Opti_Medias__30_OOS[[#This Row],[All: Robustness Index]]-AE$114) /ABS(AE$114)</f>
        <v>-1.2728400267569613</v>
      </c>
      <c r="AK92" s="11">
        <f>SUM(Opti_Medias__30_OOS[[#This Row],[VAR TS Index]:[VAR Robustness Index]])</f>
        <v>-4.5651655194010905</v>
      </c>
      <c r="AL92" s="11">
        <f>Opti_Medias__30_OOS[[#This Row],[SUMA]]-Opti_Medias__30_OOS[[#This Row],[VAR Robustness Index]]</f>
        <v>-3.292325492644129</v>
      </c>
    </row>
    <row r="93" spans="1:38" x14ac:dyDescent="0.25">
      <c r="A93" s="11"/>
      <c r="B93" s="17">
        <v>15</v>
      </c>
      <c r="C93" s="17">
        <v>3</v>
      </c>
      <c r="D93" s="17">
        <v>105</v>
      </c>
      <c r="E93" s="10">
        <v>-24710</v>
      </c>
      <c r="F93" s="10">
        <v>786260</v>
      </c>
      <c r="G93" s="10">
        <v>-810970</v>
      </c>
      <c r="H93" s="17">
        <v>1376</v>
      </c>
      <c r="I93" s="11">
        <v>40.406976744186046</v>
      </c>
      <c r="J93" s="17">
        <v>556</v>
      </c>
      <c r="K93" s="17">
        <v>819</v>
      </c>
      <c r="L93" s="12">
        <v>20700</v>
      </c>
      <c r="M93" s="12">
        <v>-4670</v>
      </c>
      <c r="N93" s="12">
        <v>1414.13671875</v>
      </c>
      <c r="O93" s="12">
        <v>-990.19537353515625</v>
      </c>
      <c r="P93" s="11">
        <v>1.428139089058057</v>
      </c>
      <c r="Q93" s="13">
        <v>-17.957848837209301</v>
      </c>
      <c r="R93" s="17">
        <v>8</v>
      </c>
      <c r="S93" s="17">
        <v>16</v>
      </c>
      <c r="T93" s="17">
        <v>57</v>
      </c>
      <c r="U93" s="17">
        <v>38</v>
      </c>
      <c r="V93" s="12">
        <v>-89845</v>
      </c>
      <c r="W93" s="11">
        <v>0.96953031554804703</v>
      </c>
      <c r="X93" s="17">
        <v>1</v>
      </c>
      <c r="Y93" s="12">
        <v>89845</v>
      </c>
      <c r="Z93" s="11">
        <v>-27.502921698480716</v>
      </c>
      <c r="AA93" s="14">
        <v>-152.91624464355277</v>
      </c>
      <c r="AB93" s="11">
        <v>-2.5320008052034E-2</v>
      </c>
      <c r="AC93" s="11">
        <v>-0.29717266257962799</v>
      </c>
      <c r="AD93" s="15">
        <v>-4715.6605861077342</v>
      </c>
      <c r="AE93" s="11">
        <v>-28.553196870175164</v>
      </c>
      <c r="AF93" s="11">
        <f>(Opti_Medias__30_OOS[[#This Row],[All: TS Index]]-AA$114) /ABS(AA$114)</f>
        <v>-1.1061774934962798</v>
      </c>
      <c r="AG93" s="11">
        <f>(Opti_Medias__30_OOS[[#This Row],[All: Expectancy Score]]-AB$114) /ABS(AB$114)</f>
        <v>-1.208420724834151</v>
      </c>
      <c r="AH93" s="11"/>
      <c r="AI93" s="11">
        <f>(Opti_Medias__30_OOS[[#This Row],[All: Perfect Profit Correlation]]-AD$114) /ABS(AD$114)</f>
        <v>-1.0546152560160744</v>
      </c>
      <c r="AJ93" s="11">
        <f>(Opti_Medias__30_OOS[[#This Row],[All: Robustness Index]]-AE$114) /ABS(AE$114)</f>
        <v>-1.199541879551784</v>
      </c>
      <c r="AK93" s="11">
        <f>SUM(Opti_Medias__30_OOS[[#This Row],[VAR TS Index]:[VAR Robustness Index]])</f>
        <v>-4.5687553538982897</v>
      </c>
      <c r="AL93" s="11">
        <f>Opti_Medias__30_OOS[[#This Row],[SUMA]]-Opti_Medias__30_OOS[[#This Row],[VAR Robustness Index]]</f>
        <v>-3.3692134743465054</v>
      </c>
    </row>
    <row r="94" spans="1:38" x14ac:dyDescent="0.25">
      <c r="A94" s="11"/>
      <c r="B94" s="17">
        <v>22</v>
      </c>
      <c r="C94" s="17">
        <v>3</v>
      </c>
      <c r="D94" s="17">
        <v>112</v>
      </c>
      <c r="E94" s="10">
        <v>-24630</v>
      </c>
      <c r="F94" s="10">
        <v>761810</v>
      </c>
      <c r="G94" s="10">
        <v>-786440</v>
      </c>
      <c r="H94" s="17">
        <v>1207</v>
      </c>
      <c r="I94" s="11">
        <v>36.371168185584089</v>
      </c>
      <c r="J94" s="17">
        <v>439</v>
      </c>
      <c r="K94" s="17">
        <v>767</v>
      </c>
      <c r="L94" s="12">
        <v>14600</v>
      </c>
      <c r="M94" s="12">
        <v>-4500</v>
      </c>
      <c r="N94" s="12">
        <v>1735.330322265625</v>
      </c>
      <c r="O94" s="12">
        <v>-1025.345458984375</v>
      </c>
      <c r="P94" s="11">
        <v>1.6924347858179469</v>
      </c>
      <c r="Q94" s="13">
        <v>-20.4059652029826</v>
      </c>
      <c r="R94" s="17">
        <v>6</v>
      </c>
      <c r="S94" s="17">
        <v>16</v>
      </c>
      <c r="T94" s="17">
        <v>74</v>
      </c>
      <c r="U94" s="17">
        <v>39</v>
      </c>
      <c r="V94" s="12">
        <v>-88995</v>
      </c>
      <c r="W94" s="11">
        <v>0.968681654035909</v>
      </c>
      <c r="X94" s="17">
        <v>1</v>
      </c>
      <c r="Y94" s="12">
        <v>88995</v>
      </c>
      <c r="Z94" s="11">
        <v>-27.675712118658353</v>
      </c>
      <c r="AA94" s="14">
        <v>-121.49637620091016</v>
      </c>
      <c r="AB94" s="11">
        <v>-2.1791764539338E-2</v>
      </c>
      <c r="AC94" s="11">
        <v>-0.32592504974521103</v>
      </c>
      <c r="AD94" s="15">
        <v>-8568.4106632631901</v>
      </c>
      <c r="AE94" s="11">
        <v>-38.090403745372029</v>
      </c>
      <c r="AF94" s="11">
        <f>(Opti_Medias__30_OOS[[#This Row],[All: TS Index]]-AA$114) /ABS(AA$114)</f>
        <v>-1.0843610874957332</v>
      </c>
      <c r="AG94" s="11">
        <f>(Opti_Medias__30_OOS[[#This Row],[All: Expectancy Score]]-AB$114) /ABS(AB$114)</f>
        <v>-1.1793781167592925</v>
      </c>
      <c r="AH94" s="11"/>
      <c r="AI94" s="11">
        <f>(Opti_Medias__30_OOS[[#This Row],[All: Perfect Profit Correlation]]-AD$114) /ABS(AD$114)</f>
        <v>-1.099236561554833</v>
      </c>
      <c r="AJ94" s="11">
        <f>(Opti_Medias__30_OOS[[#This Row],[All: Robustness Index]]-AE$114) /ABS(AE$114)</f>
        <v>-1.2661919360832403</v>
      </c>
      <c r="AK94" s="11">
        <f>SUM(Opti_Medias__30_OOS[[#This Row],[VAR TS Index]:[VAR Robustness Index]])</f>
        <v>-4.629167701893099</v>
      </c>
      <c r="AL94" s="11">
        <f>Opti_Medias__30_OOS[[#This Row],[SUMA]]-Opti_Medias__30_OOS[[#This Row],[VAR Robustness Index]]</f>
        <v>-3.3629757658098587</v>
      </c>
    </row>
    <row r="95" spans="1:38" x14ac:dyDescent="0.25">
      <c r="A95" s="11"/>
      <c r="B95" s="17">
        <v>14</v>
      </c>
      <c r="C95" s="17">
        <v>3</v>
      </c>
      <c r="D95" s="17">
        <v>104</v>
      </c>
      <c r="E95" s="10">
        <v>-32530</v>
      </c>
      <c r="F95" s="10">
        <v>782420</v>
      </c>
      <c r="G95" s="10">
        <v>-814950</v>
      </c>
      <c r="H95" s="17">
        <v>1442</v>
      </c>
      <c r="I95" s="11">
        <v>39.805825242718448</v>
      </c>
      <c r="J95" s="17">
        <v>574</v>
      </c>
      <c r="K95" s="17">
        <v>861</v>
      </c>
      <c r="L95" s="12">
        <v>13960</v>
      </c>
      <c r="M95" s="12">
        <v>-4470</v>
      </c>
      <c r="N95" s="12">
        <v>1363.10107421875</v>
      </c>
      <c r="O95" s="12">
        <v>-946.51568603515625</v>
      </c>
      <c r="P95" s="11">
        <v>1.440125181578999</v>
      </c>
      <c r="Q95" s="13">
        <v>-22.558945908460473</v>
      </c>
      <c r="R95" s="17">
        <v>8</v>
      </c>
      <c r="S95" s="17">
        <v>14</v>
      </c>
      <c r="T95" s="17">
        <v>55</v>
      </c>
      <c r="U95" s="17">
        <v>36</v>
      </c>
      <c r="V95" s="12">
        <v>-78145</v>
      </c>
      <c r="W95" s="11">
        <v>0.96008344070188401</v>
      </c>
      <c r="X95" s="17">
        <v>1</v>
      </c>
      <c r="Y95" s="12">
        <v>78145</v>
      </c>
      <c r="Z95" s="11">
        <v>-41.627743297715782</v>
      </c>
      <c r="AA95" s="14">
        <v>-238.94324652888861</v>
      </c>
      <c r="AB95" s="11">
        <v>-2.4411163569460999E-2</v>
      </c>
      <c r="AC95" s="11">
        <v>-0.37414158121822599</v>
      </c>
      <c r="AD95" s="15">
        <v>-529.92061000592184</v>
      </c>
      <c r="AE95" s="11">
        <v>-37.001263272689947</v>
      </c>
      <c r="AF95" s="11">
        <f>(Opti_Medias__30_OOS[[#This Row],[All: TS Index]]-AA$114) /ABS(AA$114)</f>
        <v>-1.1659103979661503</v>
      </c>
      <c r="AG95" s="11">
        <f>(Opti_Medias__30_OOS[[#This Row],[All: Expectancy Score]]-AB$114) /ABS(AB$114)</f>
        <v>-1.2009396045505354</v>
      </c>
      <c r="AH95" s="11"/>
      <c r="AI95" s="11">
        <f>(Opti_Medias__30_OOS[[#This Row],[All: Perfect Profit Correlation]]-AD$114) /ABS(AD$114)</f>
        <v>-1.0061373691458901</v>
      </c>
      <c r="AJ95" s="11">
        <f>(Opti_Medias__30_OOS[[#This Row],[All: Robustness Index]]-AE$114) /ABS(AE$114)</f>
        <v>-1.2585805593956125</v>
      </c>
      <c r="AK95" s="11">
        <f>SUM(Opti_Medias__30_OOS[[#This Row],[VAR TS Index]:[VAR Robustness Index]])</f>
        <v>-4.6315679310581883</v>
      </c>
      <c r="AL95" s="11">
        <f>Opti_Medias__30_OOS[[#This Row],[SUMA]]-Opti_Medias__30_OOS[[#This Row],[VAR Robustness Index]]</f>
        <v>-3.3729873716625756</v>
      </c>
    </row>
    <row r="96" spans="1:38" x14ac:dyDescent="0.25">
      <c r="A96" s="11"/>
      <c r="B96" s="17">
        <v>26</v>
      </c>
      <c r="C96" s="17">
        <v>3</v>
      </c>
      <c r="D96" s="17">
        <v>116</v>
      </c>
      <c r="E96" s="10">
        <v>-30570</v>
      </c>
      <c r="F96" s="10">
        <v>735270</v>
      </c>
      <c r="G96" s="10">
        <v>-765840</v>
      </c>
      <c r="H96" s="17">
        <v>1187</v>
      </c>
      <c r="I96" s="11">
        <v>35.046335299073291</v>
      </c>
      <c r="J96" s="17">
        <v>416</v>
      </c>
      <c r="K96" s="17">
        <v>765</v>
      </c>
      <c r="L96" s="12">
        <v>12800</v>
      </c>
      <c r="M96" s="12">
        <v>-7010</v>
      </c>
      <c r="N96" s="12">
        <v>1767.4759521484375</v>
      </c>
      <c r="O96" s="12">
        <v>-1001.0980224609375</v>
      </c>
      <c r="P96" s="11">
        <v>1.765537352479791</v>
      </c>
      <c r="Q96" s="13">
        <v>-25.754001684919967</v>
      </c>
      <c r="R96" s="17">
        <v>5</v>
      </c>
      <c r="S96" s="17">
        <v>14</v>
      </c>
      <c r="T96" s="17">
        <v>82</v>
      </c>
      <c r="U96" s="17">
        <v>37</v>
      </c>
      <c r="V96" s="12">
        <v>-80355</v>
      </c>
      <c r="W96" s="11">
        <v>0.96008304606706396</v>
      </c>
      <c r="X96" s="17">
        <v>1</v>
      </c>
      <c r="Y96" s="12">
        <v>80355</v>
      </c>
      <c r="Z96" s="11">
        <v>-38.043681164831064</v>
      </c>
      <c r="AA96" s="14">
        <v>-158.26171364569723</v>
      </c>
      <c r="AB96" s="11">
        <v>-3.6728452079941999E-2</v>
      </c>
      <c r="AC96" s="11">
        <v>-0.389305740347899</v>
      </c>
      <c r="AD96" s="15">
        <v>-5127.4610461691218</v>
      </c>
      <c r="AE96" s="11">
        <v>-45.810156309084412</v>
      </c>
      <c r="AF96" s="11">
        <f>(Opti_Medias__30_OOS[[#This Row],[All: TS Index]]-AA$114) /ABS(AA$114)</f>
        <v>-1.109889123359626</v>
      </c>
      <c r="AG96" s="11">
        <f>(Opti_Medias__30_OOS[[#This Row],[All: Expectancy Score]]-AB$114) /ABS(AB$114)</f>
        <v>-1.3023289166735852</v>
      </c>
      <c r="AH96" s="11"/>
      <c r="AI96" s="11">
        <f>(Opti_Medias__30_OOS[[#This Row],[All: Perfect Profit Correlation]]-AD$114) /ABS(AD$114)</f>
        <v>-1.0593845957815455</v>
      </c>
      <c r="AJ96" s="11">
        <f>(Opti_Medias__30_OOS[[#This Row],[All: Robustness Index]]-AE$114) /ABS(AE$114)</f>
        <v>-1.3201408491678868</v>
      </c>
      <c r="AK96" s="11">
        <f>SUM(Opti_Medias__30_OOS[[#This Row],[VAR TS Index]:[VAR Robustness Index]])</f>
        <v>-4.7917434849826437</v>
      </c>
      <c r="AL96" s="11">
        <f>Opti_Medias__30_OOS[[#This Row],[SUMA]]-Opti_Medias__30_OOS[[#This Row],[VAR Robustness Index]]</f>
        <v>-3.4716026358147571</v>
      </c>
    </row>
    <row r="97" spans="1:38" x14ac:dyDescent="0.25">
      <c r="A97" s="11"/>
      <c r="B97" s="17">
        <v>17</v>
      </c>
      <c r="C97" s="17">
        <v>3</v>
      </c>
      <c r="D97" s="17">
        <v>107</v>
      </c>
      <c r="E97" s="10">
        <v>-49630</v>
      </c>
      <c r="F97" s="10">
        <v>770700</v>
      </c>
      <c r="G97" s="10">
        <v>-820330</v>
      </c>
      <c r="H97" s="17">
        <v>1316</v>
      </c>
      <c r="I97" s="11">
        <v>39.437689969604861</v>
      </c>
      <c r="J97" s="17">
        <v>519</v>
      </c>
      <c r="K97" s="17">
        <v>794</v>
      </c>
      <c r="L97" s="12">
        <v>19990</v>
      </c>
      <c r="M97" s="12">
        <v>-5960</v>
      </c>
      <c r="N97" s="12">
        <v>1484.9710693359375</v>
      </c>
      <c r="O97" s="12">
        <v>-1033.1612548828125</v>
      </c>
      <c r="P97" s="11">
        <v>1.4373081281531139</v>
      </c>
      <c r="Q97" s="13">
        <v>-37.712765957446805</v>
      </c>
      <c r="R97" s="17">
        <v>7</v>
      </c>
      <c r="S97" s="17">
        <v>12</v>
      </c>
      <c r="T97" s="17">
        <v>60</v>
      </c>
      <c r="U97" s="17">
        <v>40</v>
      </c>
      <c r="V97" s="12">
        <v>-117815</v>
      </c>
      <c r="W97" s="11">
        <v>0.93949995733424396</v>
      </c>
      <c r="X97" s="17">
        <v>1</v>
      </c>
      <c r="Y97" s="12">
        <v>117815</v>
      </c>
      <c r="Z97" s="11">
        <v>-42.125366039977933</v>
      </c>
      <c r="AA97" s="14">
        <v>-218.63064974748548</v>
      </c>
      <c r="AB97" s="11">
        <v>-1.5355876090271E-2</v>
      </c>
      <c r="AC97" s="11">
        <v>-0.54347552907993801</v>
      </c>
      <c r="AD97" s="15">
        <v>-15388.837652502105</v>
      </c>
      <c r="AE97" s="11">
        <v>-65.59328672377444</v>
      </c>
      <c r="AF97" s="11">
        <f>(Opti_Medias__30_OOS[[#This Row],[All: TS Index]]-AA$114) /ABS(AA$114)</f>
        <v>-1.151806333236616</v>
      </c>
      <c r="AG97" s="11">
        <f>(Opti_Medias__30_OOS[[#This Row],[All: Expectancy Score]]-AB$114) /ABS(AB$114)</f>
        <v>-1.12640133520576</v>
      </c>
      <c r="AH97" s="11"/>
      <c r="AI97" s="11">
        <f>(Opti_Medias__30_OOS[[#This Row],[All: Perfect Profit Correlation]]-AD$114) /ABS(AD$114)</f>
        <v>-1.1782285414385427</v>
      </c>
      <c r="AJ97" s="11">
        <f>(Opti_Medias__30_OOS[[#This Row],[All: Robustness Index]]-AE$114) /ABS(AE$114)</f>
        <v>-1.4583937756024983</v>
      </c>
      <c r="AK97" s="11">
        <f>SUM(Opti_Medias__30_OOS[[#This Row],[VAR TS Index]:[VAR Robustness Index]])</f>
        <v>-4.9148299854834168</v>
      </c>
      <c r="AL97" s="11">
        <f>Opti_Medias__30_OOS[[#This Row],[SUMA]]-Opti_Medias__30_OOS[[#This Row],[VAR Robustness Index]]</f>
        <v>-3.4564362098809185</v>
      </c>
    </row>
    <row r="98" spans="1:38" x14ac:dyDescent="0.25">
      <c r="A98" s="11"/>
      <c r="B98" s="17">
        <v>21</v>
      </c>
      <c r="C98" s="17">
        <v>3</v>
      </c>
      <c r="D98" s="17">
        <v>111</v>
      </c>
      <c r="E98" s="10">
        <v>-36390</v>
      </c>
      <c r="F98" s="10">
        <v>741220</v>
      </c>
      <c r="G98" s="10">
        <v>-777610</v>
      </c>
      <c r="H98" s="17">
        <v>1194</v>
      </c>
      <c r="I98" s="11">
        <v>37.269681742043552</v>
      </c>
      <c r="J98" s="17">
        <v>445</v>
      </c>
      <c r="K98" s="17">
        <v>739</v>
      </c>
      <c r="L98" s="12">
        <v>14540</v>
      </c>
      <c r="M98" s="12">
        <v>-4430</v>
      </c>
      <c r="N98" s="12">
        <v>1665.6629638671875</v>
      </c>
      <c r="O98" s="12">
        <v>-1052.246337890625</v>
      </c>
      <c r="P98" s="11">
        <v>1.5829591454851171</v>
      </c>
      <c r="Q98" s="13">
        <v>-30.477386934673365</v>
      </c>
      <c r="R98" s="17">
        <v>7</v>
      </c>
      <c r="S98" s="17">
        <v>14</v>
      </c>
      <c r="T98" s="17">
        <v>74</v>
      </c>
      <c r="U98" s="17">
        <v>40</v>
      </c>
      <c r="V98" s="12">
        <v>-80065</v>
      </c>
      <c r="W98" s="11">
        <v>0.95320276231015499</v>
      </c>
      <c r="X98" s="17">
        <v>1</v>
      </c>
      <c r="Y98" s="12">
        <v>80065</v>
      </c>
      <c r="Z98" s="11">
        <v>-45.450571410728784</v>
      </c>
      <c r="AA98" s="14">
        <v>-202.25504277774309</v>
      </c>
      <c r="AB98" s="11">
        <v>-2.9045105229848999E-2</v>
      </c>
      <c r="AC98" s="11">
        <v>-0.42922351571717599</v>
      </c>
      <c r="AD98" s="15">
        <v>-20408.364218413237</v>
      </c>
      <c r="AE98" s="11">
        <v>-48.244990740535385</v>
      </c>
      <c r="AF98" s="11">
        <f>(Opti_Medias__30_OOS[[#This Row],[All: TS Index]]-AA$114) /ABS(AA$114)</f>
        <v>-1.140435919932389</v>
      </c>
      <c r="AG98" s="11">
        <f>(Opti_Medias__30_OOS[[#This Row],[All: Expectancy Score]]-AB$114) /ABS(AB$114)</f>
        <v>-1.2390837266895349</v>
      </c>
      <c r="AH98" s="11"/>
      <c r="AI98" s="11">
        <f>(Opti_Medias__30_OOS[[#This Row],[All: Perfect Profit Correlation]]-AD$114) /ABS(AD$114)</f>
        <v>-1.2363630749722629</v>
      </c>
      <c r="AJ98" s="11">
        <f>(Opti_Medias__30_OOS[[#This Row],[All: Robustness Index]]-AE$114) /ABS(AE$114)</f>
        <v>-1.3371565073815073</v>
      </c>
      <c r="AK98" s="11">
        <f>SUM(Opti_Medias__30_OOS[[#This Row],[VAR TS Index]:[VAR Robustness Index]])</f>
        <v>-4.9530392289756939</v>
      </c>
      <c r="AL98" s="11">
        <f>Opti_Medias__30_OOS[[#This Row],[SUMA]]-Opti_Medias__30_OOS[[#This Row],[VAR Robustness Index]]</f>
        <v>-3.6158827215941867</v>
      </c>
    </row>
    <row r="99" spans="1:38" x14ac:dyDescent="0.25">
      <c r="A99" s="11"/>
      <c r="B99" s="17">
        <v>40</v>
      </c>
      <c r="C99" s="17">
        <v>1</v>
      </c>
      <c r="D99" s="17">
        <v>40</v>
      </c>
      <c r="E99" s="10">
        <v>-22090</v>
      </c>
      <c r="F99" s="10">
        <v>863770</v>
      </c>
      <c r="G99" s="10">
        <v>-885860</v>
      </c>
      <c r="H99" s="17">
        <v>2157</v>
      </c>
      <c r="I99" s="11">
        <v>27.445526193787668</v>
      </c>
      <c r="J99" s="17">
        <v>592</v>
      </c>
      <c r="K99" s="17">
        <v>1560</v>
      </c>
      <c r="L99" s="12">
        <v>14810</v>
      </c>
      <c r="M99" s="12">
        <v>-4490</v>
      </c>
      <c r="N99" s="12">
        <v>1459.0709228515625</v>
      </c>
      <c r="O99" s="12">
        <v>-567.85894775390625</v>
      </c>
      <c r="P99" s="11">
        <v>2.5694249049393898</v>
      </c>
      <c r="Q99" s="13">
        <v>-10.241075567918406</v>
      </c>
      <c r="R99" s="17">
        <v>6</v>
      </c>
      <c r="S99" s="17">
        <v>22</v>
      </c>
      <c r="T99" s="17">
        <v>63</v>
      </c>
      <c r="U99" s="17">
        <v>17</v>
      </c>
      <c r="V99" s="12">
        <v>-83695</v>
      </c>
      <c r="W99" s="11">
        <v>0.97506377982976999</v>
      </c>
      <c r="X99" s="17">
        <v>1</v>
      </c>
      <c r="Y99" s="12">
        <v>83695</v>
      </c>
      <c r="Z99" s="11">
        <v>-26.393452416512336</v>
      </c>
      <c r="AA99" s="14">
        <v>-156.24923830575304</v>
      </c>
      <c r="AB99" s="11">
        <v>-6.0977075970038E-2</v>
      </c>
      <c r="AC99" s="11">
        <v>-0.35162095923068598</v>
      </c>
      <c r="AD99" s="15">
        <v>-12580.711825348984</v>
      </c>
      <c r="AE99" s="11">
        <v>-38.1864364221166</v>
      </c>
      <c r="AF99" s="11">
        <f>(Opti_Medias__30_OOS[[#This Row],[All: TS Index]]-AA$114) /ABS(AA$114)</f>
        <v>-1.1084917598040636</v>
      </c>
      <c r="AG99" s="11">
        <f>(Opti_Medias__30_OOS[[#This Row],[All: Expectancy Score]]-AB$114) /ABS(AB$114)</f>
        <v>-1.5019305817685744</v>
      </c>
      <c r="AH99" s="11"/>
      <c r="AI99" s="11">
        <f>(Opti_Medias__30_OOS[[#This Row],[All: Perfect Profit Correlation]]-AD$114) /ABS(AD$114)</f>
        <v>-1.1457057361655907</v>
      </c>
      <c r="AJ99" s="11">
        <f>(Opti_Medias__30_OOS[[#This Row],[All: Robustness Index]]-AE$114) /ABS(AE$114)</f>
        <v>-1.2668630532580747</v>
      </c>
      <c r="AK99" s="11">
        <f>SUM(Opti_Medias__30_OOS[[#This Row],[VAR TS Index]:[VAR Robustness Index]])</f>
        <v>-5.0229911309963029</v>
      </c>
      <c r="AL99" s="11">
        <f>Opti_Medias__30_OOS[[#This Row],[SUMA]]-Opti_Medias__30_OOS[[#This Row],[VAR Robustness Index]]</f>
        <v>-3.7561280777382282</v>
      </c>
    </row>
    <row r="100" spans="1:38" x14ac:dyDescent="0.25">
      <c r="A100" s="11"/>
      <c r="B100" s="17">
        <v>16</v>
      </c>
      <c r="C100" s="17">
        <v>3</v>
      </c>
      <c r="D100" s="17">
        <v>106</v>
      </c>
      <c r="E100" s="10">
        <v>-53960</v>
      </c>
      <c r="F100" s="10">
        <v>771270</v>
      </c>
      <c r="G100" s="10">
        <v>-825230</v>
      </c>
      <c r="H100" s="17">
        <v>1354</v>
      </c>
      <c r="I100" s="11">
        <v>39.217134416543573</v>
      </c>
      <c r="J100" s="17">
        <v>531</v>
      </c>
      <c r="K100" s="17">
        <v>815</v>
      </c>
      <c r="L100" s="12">
        <v>19990</v>
      </c>
      <c r="M100" s="12">
        <v>-5490</v>
      </c>
      <c r="N100" s="12">
        <v>1452.48583984375</v>
      </c>
      <c r="O100" s="12">
        <v>-1012.5521240234375</v>
      </c>
      <c r="P100" s="11">
        <v>1.434480068119564</v>
      </c>
      <c r="Q100" s="13">
        <v>-39.852289512555394</v>
      </c>
      <c r="R100" s="17">
        <v>7</v>
      </c>
      <c r="S100" s="17">
        <v>12</v>
      </c>
      <c r="T100" s="17">
        <v>58</v>
      </c>
      <c r="U100" s="17">
        <v>39</v>
      </c>
      <c r="V100" s="12">
        <v>-114445</v>
      </c>
      <c r="W100" s="11">
        <v>0.934612168728718</v>
      </c>
      <c r="X100" s="17">
        <v>1</v>
      </c>
      <c r="Y100" s="12">
        <v>114445</v>
      </c>
      <c r="Z100" s="11">
        <v>-47.149285683079206</v>
      </c>
      <c r="AA100" s="14">
        <v>-250.36270697715059</v>
      </c>
      <c r="AB100" s="11">
        <v>-2.1550676127791001E-2</v>
      </c>
      <c r="AC100" s="11">
        <v>-0.58523721006160401</v>
      </c>
      <c r="AD100" s="15">
        <v>-21602.696826267002</v>
      </c>
      <c r="AE100" s="11">
        <v>-71.178937131278346</v>
      </c>
      <c r="AF100" s="11">
        <f>(Opti_Medias__30_OOS[[#This Row],[All: TS Index]]-AA$114) /ABS(AA$114)</f>
        <v>-1.1738395077236039</v>
      </c>
      <c r="AG100" s="11">
        <f>(Opti_Medias__30_OOS[[#This Row],[All: Expectancy Score]]-AB$114) /ABS(AB$114)</f>
        <v>-1.1773936062733368</v>
      </c>
      <c r="AH100" s="11"/>
      <c r="AI100" s="11">
        <f>(Opti_Medias__30_OOS[[#This Row],[All: Perfect Profit Correlation]]-AD$114) /ABS(AD$114)</f>
        <v>-1.2501954490278602</v>
      </c>
      <c r="AJ100" s="11">
        <f>(Opti_Medias__30_OOS[[#This Row],[All: Robustness Index]]-AE$114) /ABS(AE$114)</f>
        <v>-1.4974286754737882</v>
      </c>
      <c r="AK100" s="11">
        <f>SUM(Opti_Medias__30_OOS[[#This Row],[VAR TS Index]:[VAR Robustness Index]])</f>
        <v>-5.0988572384985886</v>
      </c>
      <c r="AL100" s="11">
        <f>Opti_Medias__30_OOS[[#This Row],[SUMA]]-Opti_Medias__30_OOS[[#This Row],[VAR Robustness Index]]</f>
        <v>-3.6014285630248004</v>
      </c>
    </row>
    <row r="101" spans="1:38" x14ac:dyDescent="0.25">
      <c r="A101" s="11"/>
      <c r="B101" s="17">
        <v>39</v>
      </c>
      <c r="C101" s="17">
        <v>1</v>
      </c>
      <c r="D101" s="17">
        <v>39</v>
      </c>
      <c r="E101" s="10">
        <v>-31070</v>
      </c>
      <c r="F101" s="10">
        <v>850340</v>
      </c>
      <c r="G101" s="10">
        <v>-881410</v>
      </c>
      <c r="H101" s="17">
        <v>2041</v>
      </c>
      <c r="I101" s="11">
        <v>28.368446839784419</v>
      </c>
      <c r="J101" s="17">
        <v>579</v>
      </c>
      <c r="K101" s="17">
        <v>1458</v>
      </c>
      <c r="L101" s="12">
        <v>14910</v>
      </c>
      <c r="M101" s="12">
        <v>-5240</v>
      </c>
      <c r="N101" s="12">
        <v>1468.6356201171875</v>
      </c>
      <c r="O101" s="12">
        <v>-604.53363037109375</v>
      </c>
      <c r="P101" s="11">
        <v>2.4293695939060722</v>
      </c>
      <c r="Q101" s="13">
        <v>-15.222929936305732</v>
      </c>
      <c r="R101" s="17">
        <v>7</v>
      </c>
      <c r="S101" s="17">
        <v>22</v>
      </c>
      <c r="T101" s="17">
        <v>65</v>
      </c>
      <c r="U101" s="17">
        <v>18</v>
      </c>
      <c r="V101" s="12">
        <v>-86465</v>
      </c>
      <c r="W101" s="11">
        <v>0.96474966247262905</v>
      </c>
      <c r="X101" s="17">
        <v>1</v>
      </c>
      <c r="Y101" s="12">
        <v>86465</v>
      </c>
      <c r="Z101" s="11">
        <v>-35.933614757416294</v>
      </c>
      <c r="AA101" s="14">
        <v>-208.05562944544036</v>
      </c>
      <c r="AB101" s="11">
        <v>-6.6479283115324E-2</v>
      </c>
      <c r="AC101" s="11">
        <v>-0.433255544759027</v>
      </c>
      <c r="AD101" s="15">
        <v>-21448.818962331196</v>
      </c>
      <c r="AE101" s="11">
        <v>-49.905470723254261</v>
      </c>
      <c r="AF101" s="11">
        <f>(Opti_Medias__30_OOS[[#This Row],[All: TS Index]]-AA$114) /ABS(AA$114)</f>
        <v>-1.1444635610415446</v>
      </c>
      <c r="AG101" s="11">
        <f>(Opti_Medias__30_OOS[[#This Row],[All: Expectancy Score]]-AB$114) /ABS(AB$114)</f>
        <v>-1.5472217996485795</v>
      </c>
      <c r="AH101" s="11"/>
      <c r="AI101" s="11">
        <f>(Opti_Medias__30_OOS[[#This Row],[All: Perfect Profit Correlation]]-AD$114) /ABS(AD$114)</f>
        <v>-1.2484132853668837</v>
      </c>
      <c r="AJ101" s="11">
        <f>(Opti_Medias__30_OOS[[#This Row],[All: Robustness Index]]-AE$114) /ABS(AE$114)</f>
        <v>-1.3487606474788962</v>
      </c>
      <c r="AK101" s="11">
        <f>SUM(Opti_Medias__30_OOS[[#This Row],[VAR TS Index]:[VAR Robustness Index]])</f>
        <v>-5.2888592935359036</v>
      </c>
      <c r="AL101" s="11">
        <f>Opti_Medias__30_OOS[[#This Row],[SUMA]]-Opti_Medias__30_OOS[[#This Row],[VAR Robustness Index]]</f>
        <v>-3.9400986460570073</v>
      </c>
    </row>
    <row r="104" spans="1:38" ht="30" customHeight="1" x14ac:dyDescent="0.25">
      <c r="A104" s="50" t="s">
        <v>38</v>
      </c>
      <c r="B104" s="51">
        <v>23.13</v>
      </c>
      <c r="C104" s="51">
        <v>5.91</v>
      </c>
      <c r="D104" s="58"/>
      <c r="E104" s="59">
        <v>29589.5</v>
      </c>
      <c r="F104" s="59">
        <v>828401.9</v>
      </c>
      <c r="G104" s="59">
        <v>-798812.4</v>
      </c>
      <c r="H104" s="51">
        <v>1616.92</v>
      </c>
      <c r="I104" s="51">
        <v>34.893856422424605</v>
      </c>
      <c r="J104" s="51">
        <v>561.54</v>
      </c>
      <c r="K104" s="51">
        <v>1048.68</v>
      </c>
      <c r="L104" s="60">
        <v>15552.7</v>
      </c>
      <c r="M104" s="60">
        <v>-5359.7</v>
      </c>
      <c r="N104" s="60">
        <v>1496.5252716064454</v>
      </c>
      <c r="O104" s="60">
        <v>-778.60620788574215</v>
      </c>
      <c r="P104" s="61">
        <v>1.971407369448813</v>
      </c>
      <c r="Q104" s="60">
        <v>17.593090580578512</v>
      </c>
      <c r="R104" s="51">
        <v>7.08</v>
      </c>
      <c r="S104" s="51">
        <v>14.86</v>
      </c>
      <c r="T104" s="51">
        <v>66.12</v>
      </c>
      <c r="U104" s="51">
        <v>26.26</v>
      </c>
      <c r="V104" s="60">
        <v>-54831</v>
      </c>
      <c r="W104" s="61">
        <v>1.0378622635801116</v>
      </c>
      <c r="X104" s="58"/>
      <c r="Y104" s="58"/>
      <c r="Z104" s="51">
        <v>74.373068234819243</v>
      </c>
      <c r="AA104" s="58">
        <v>420.12686365936503</v>
      </c>
      <c r="AB104" s="61">
        <v>1.7466160770318991E-2</v>
      </c>
      <c r="AC104" s="61">
        <v>0.19327401207118433</v>
      </c>
      <c r="AD104" s="61">
        <v>24539.792364193065</v>
      </c>
      <c r="AE104" s="61">
        <v>41.477532167454619</v>
      </c>
    </row>
    <row r="105" spans="1:38" ht="30" customHeight="1" x14ac:dyDescent="0.25">
      <c r="A105" s="52" t="s">
        <v>39</v>
      </c>
      <c r="B105" s="53">
        <v>1.1042301582660392</v>
      </c>
      <c r="C105" s="53">
        <v>0.34702050706439863</v>
      </c>
      <c r="D105" s="62"/>
      <c r="E105" s="63">
        <v>3255.3472851555634</v>
      </c>
      <c r="F105" s="63">
        <v>4224.1114006559446</v>
      </c>
      <c r="G105" s="63">
        <v>4066.8577305339873</v>
      </c>
      <c r="H105" s="53">
        <v>18.986702843002686</v>
      </c>
      <c r="I105" s="53">
        <v>0.43625236791389621</v>
      </c>
      <c r="J105" s="53">
        <v>8.2132858617282167</v>
      </c>
      <c r="K105" s="53">
        <v>16.317053606084617</v>
      </c>
      <c r="L105" s="64">
        <v>150.42497744185917</v>
      </c>
      <c r="M105" s="64">
        <v>103.63713454435943</v>
      </c>
      <c r="N105" s="64">
        <v>15.508315274779855</v>
      </c>
      <c r="O105" s="64">
        <v>11.933817613007804</v>
      </c>
      <c r="P105" s="65">
        <v>3.8793816945023978E-2</v>
      </c>
      <c r="Q105" s="64">
        <v>2.1528551413038586</v>
      </c>
      <c r="R105" s="53">
        <v>0.10510216290098226</v>
      </c>
      <c r="S105" s="53">
        <v>0.32722277957799262</v>
      </c>
      <c r="T105" s="53">
        <v>1.0592812505075162</v>
      </c>
      <c r="U105" s="53">
        <v>0.61342225969300235</v>
      </c>
      <c r="V105" s="64">
        <v>2042.7133767109713</v>
      </c>
      <c r="W105" s="65">
        <v>4.1741929790103513E-3</v>
      </c>
      <c r="X105" s="62"/>
      <c r="Y105" s="62"/>
      <c r="Z105" s="53">
        <v>7.1474560746576001</v>
      </c>
      <c r="AA105" s="62">
        <v>39.545628773968666</v>
      </c>
      <c r="AB105" s="65">
        <v>3.0694435157060823E-3</v>
      </c>
      <c r="AC105" s="65">
        <v>3.1440274391410221E-2</v>
      </c>
      <c r="AD105" s="66">
        <v>2403.782599949137</v>
      </c>
      <c r="AE105" s="65">
        <v>4.7895249465622456</v>
      </c>
    </row>
    <row r="106" spans="1:38" ht="30" customHeight="1" x14ac:dyDescent="0.25">
      <c r="A106" s="54" t="s">
        <v>40</v>
      </c>
      <c r="B106" s="55">
        <v>23.5</v>
      </c>
      <c r="C106" s="55">
        <v>8</v>
      </c>
      <c r="D106" s="67"/>
      <c r="E106" s="68">
        <v>34870</v>
      </c>
      <c r="F106" s="68">
        <v>834595</v>
      </c>
      <c r="G106" s="68">
        <v>-790655</v>
      </c>
      <c r="H106" s="55">
        <v>1605</v>
      </c>
      <c r="I106" s="55">
        <v>35.01933454452579</v>
      </c>
      <c r="J106" s="55">
        <v>548</v>
      </c>
      <c r="K106" s="55">
        <v>1054.5</v>
      </c>
      <c r="L106" s="69">
        <v>15250</v>
      </c>
      <c r="M106" s="69">
        <v>-5240</v>
      </c>
      <c r="N106" s="69">
        <v>1510.3610229492188</v>
      </c>
      <c r="O106" s="69">
        <v>-755.90277099609375</v>
      </c>
      <c r="P106" s="70">
        <v>1.966319430894365</v>
      </c>
      <c r="Q106" s="69">
        <v>20.952314551167078</v>
      </c>
      <c r="R106" s="55">
        <v>7</v>
      </c>
      <c r="S106" s="55">
        <v>14</v>
      </c>
      <c r="T106" s="55">
        <v>68</v>
      </c>
      <c r="U106" s="55">
        <v>25</v>
      </c>
      <c r="V106" s="69">
        <v>-48090</v>
      </c>
      <c r="W106" s="70">
        <v>1.0427295757700303</v>
      </c>
      <c r="X106" s="67"/>
      <c r="Y106" s="67"/>
      <c r="Z106" s="55">
        <v>82.082808941441343</v>
      </c>
      <c r="AA106" s="71">
        <v>444.42960387082655</v>
      </c>
      <c r="AB106" s="72">
        <v>1.8043112507512001E-2</v>
      </c>
      <c r="AC106" s="70">
        <v>0.2398508419958445</v>
      </c>
      <c r="AD106" s="73">
        <v>24059.277800351905</v>
      </c>
      <c r="AE106" s="74">
        <v>42.704885005830647</v>
      </c>
    </row>
    <row r="107" spans="1:38" ht="30" customHeight="1" x14ac:dyDescent="0.25">
      <c r="A107" s="52" t="s">
        <v>41</v>
      </c>
      <c r="B107" s="53">
        <v>37</v>
      </c>
      <c r="C107" s="53">
        <v>8</v>
      </c>
      <c r="D107" s="62"/>
      <c r="E107" s="63">
        <v>-23930</v>
      </c>
      <c r="F107" s="63">
        <v>843770</v>
      </c>
      <c r="G107" s="63">
        <v>-773740</v>
      </c>
      <c r="H107" s="53">
        <v>1605</v>
      </c>
      <c r="I107" s="53" t="e">
        <v>#N/A</v>
      </c>
      <c r="J107" s="53">
        <v>510</v>
      </c>
      <c r="K107" s="53">
        <v>1021</v>
      </c>
      <c r="L107" s="64">
        <v>15250</v>
      </c>
      <c r="M107" s="64">
        <v>-5240</v>
      </c>
      <c r="N107" s="64" t="e">
        <v>#N/A</v>
      </c>
      <c r="O107" s="64" t="e">
        <v>#N/A</v>
      </c>
      <c r="P107" s="65" t="e">
        <v>#N/A</v>
      </c>
      <c r="Q107" s="64" t="e">
        <v>#N/A</v>
      </c>
      <c r="R107" s="53">
        <v>7</v>
      </c>
      <c r="S107" s="53">
        <v>13</v>
      </c>
      <c r="T107" s="53">
        <v>74</v>
      </c>
      <c r="U107" s="53">
        <v>25</v>
      </c>
      <c r="V107" s="64">
        <v>-41945</v>
      </c>
      <c r="W107" s="65" t="e">
        <v>#N/A</v>
      </c>
      <c r="X107" s="62"/>
      <c r="Y107" s="62"/>
      <c r="Z107" s="53" t="e">
        <v>#N/A</v>
      </c>
      <c r="AA107" s="62" t="e">
        <v>#N/A</v>
      </c>
      <c r="AB107" s="65" t="e">
        <v>#N/A</v>
      </c>
      <c r="AC107" s="65" t="e">
        <v>#N/A</v>
      </c>
      <c r="AD107" s="66" t="e">
        <v>#N/A</v>
      </c>
      <c r="AE107" s="65" t="e">
        <v>#N/A</v>
      </c>
    </row>
    <row r="108" spans="1:38" ht="30" customHeight="1" x14ac:dyDescent="0.25">
      <c r="A108" s="54" t="s">
        <v>42</v>
      </c>
      <c r="B108" s="55">
        <v>11.042301582660393</v>
      </c>
      <c r="C108" s="55">
        <v>3.4702050706439862</v>
      </c>
      <c r="D108" s="70"/>
      <c r="E108" s="68">
        <v>32553.472851555634</v>
      </c>
      <c r="F108" s="68">
        <v>42241.114006559445</v>
      </c>
      <c r="G108" s="68">
        <v>40668.577305339873</v>
      </c>
      <c r="H108" s="55">
        <v>189.86702843002686</v>
      </c>
      <c r="I108" s="55">
        <v>4.3625236791389623</v>
      </c>
      <c r="J108" s="55">
        <v>82.132858617282167</v>
      </c>
      <c r="K108" s="55">
        <v>163.17053606084616</v>
      </c>
      <c r="L108" s="69">
        <v>1504.2497744185916</v>
      </c>
      <c r="M108" s="69">
        <v>1036.3713454435942</v>
      </c>
      <c r="N108" s="69">
        <v>155.08315274779855</v>
      </c>
      <c r="O108" s="69">
        <v>119.33817613007804</v>
      </c>
      <c r="P108" s="70">
        <v>0.38793816945023979</v>
      </c>
      <c r="Q108" s="69">
        <v>21.528551413038585</v>
      </c>
      <c r="R108" s="55">
        <v>1.0510216290098227</v>
      </c>
      <c r="S108" s="55">
        <v>3.2722277957799264</v>
      </c>
      <c r="T108" s="55">
        <v>10.592812505075162</v>
      </c>
      <c r="U108" s="55">
        <v>6.134222596930023</v>
      </c>
      <c r="V108" s="69">
        <v>20427.133767109714</v>
      </c>
      <c r="W108" s="70">
        <v>4.1741929790103514E-2</v>
      </c>
      <c r="X108" s="70"/>
      <c r="Y108" s="70"/>
      <c r="Z108" s="55">
        <v>71.474560746576003</v>
      </c>
      <c r="AA108" s="70">
        <v>395.45628773968667</v>
      </c>
      <c r="AB108" s="70">
        <v>3.0694435157060822E-2</v>
      </c>
      <c r="AC108" s="70">
        <v>0.31440274391410222</v>
      </c>
      <c r="AD108" s="61">
        <v>24037.825999491368</v>
      </c>
      <c r="AE108" s="70">
        <v>47.895249465622456</v>
      </c>
    </row>
    <row r="109" spans="1:38" ht="30" customHeight="1" x14ac:dyDescent="0.25">
      <c r="A109" s="52" t="s">
        <v>43</v>
      </c>
      <c r="B109" s="53">
        <v>121.93242424242422</v>
      </c>
      <c r="C109" s="53">
        <v>12.042323232323232</v>
      </c>
      <c r="D109" s="65"/>
      <c r="E109" s="63">
        <v>1059728594.6969697</v>
      </c>
      <c r="F109" s="63">
        <v>1784311712.5151525</v>
      </c>
      <c r="G109" s="63">
        <v>1653933180.0404055</v>
      </c>
      <c r="H109" s="53">
        <v>36049.488484848633</v>
      </c>
      <c r="I109" s="53">
        <v>19.031612851048145</v>
      </c>
      <c r="J109" s="53">
        <v>6745.8064646464627</v>
      </c>
      <c r="K109" s="53">
        <v>26624.623838383894</v>
      </c>
      <c r="L109" s="63">
        <v>2262767.3838383839</v>
      </c>
      <c r="M109" s="63">
        <v>1074065.5656565656</v>
      </c>
      <c r="N109" s="63">
        <v>24050.784266197021</v>
      </c>
      <c r="O109" s="63">
        <v>14241.600282053529</v>
      </c>
      <c r="P109" s="65">
        <v>0.15049602331640297</v>
      </c>
      <c r="Q109" s="63">
        <v>463.47852594384563</v>
      </c>
      <c r="R109" s="53">
        <v>1.1046464646464613</v>
      </c>
      <c r="S109" s="53">
        <v>10.707474747474757</v>
      </c>
      <c r="T109" s="53">
        <v>112.20767676767674</v>
      </c>
      <c r="U109" s="53">
        <v>37.62868686868692</v>
      </c>
      <c r="V109" s="63">
        <v>417267793.93939394</v>
      </c>
      <c r="W109" s="65">
        <v>1.7423887026019312E-3</v>
      </c>
      <c r="X109" s="62"/>
      <c r="Y109" s="62"/>
      <c r="Z109" s="53">
        <v>5108.6128339159841</v>
      </c>
      <c r="AA109" s="62">
        <v>156385.67551285386</v>
      </c>
      <c r="AB109" s="65">
        <v>9.4214834961101144E-4</v>
      </c>
      <c r="AC109" s="65">
        <v>9.8849085380716559E-2</v>
      </c>
      <c r="AD109" s="75">
        <v>577817078.78182316</v>
      </c>
      <c r="AE109" s="65">
        <v>2293.9549213742084</v>
      </c>
    </row>
    <row r="110" spans="1:38" ht="30" customHeight="1" x14ac:dyDescent="0.25">
      <c r="A110" s="54" t="s">
        <v>44</v>
      </c>
      <c r="B110" s="55">
        <v>-1.1204474681637222</v>
      </c>
      <c r="C110" s="55">
        <v>-1.4008951924508661</v>
      </c>
      <c r="D110" s="70"/>
      <c r="E110" s="68">
        <v>-0.15933905714679941</v>
      </c>
      <c r="F110" s="68">
        <v>0.24180961216287766</v>
      </c>
      <c r="G110" s="68">
        <v>0.63973034867197098</v>
      </c>
      <c r="H110" s="55">
        <v>0.67097735325035268</v>
      </c>
      <c r="I110" s="55">
        <v>-0.51257242017474125</v>
      </c>
      <c r="J110" s="55">
        <v>2.7393863147892943</v>
      </c>
      <c r="K110" s="55">
        <v>0.61968269306980517</v>
      </c>
      <c r="L110" s="69">
        <v>2.1406960357732729</v>
      </c>
      <c r="M110" s="69">
        <v>-0.54610934886987383</v>
      </c>
      <c r="N110" s="69">
        <v>1.7453218949844236</v>
      </c>
      <c r="O110" s="69">
        <v>-0.15263679997306401</v>
      </c>
      <c r="P110" s="70">
        <v>-0.6028556977710422</v>
      </c>
      <c r="Q110" s="69">
        <v>8.3495278408649121E-2</v>
      </c>
      <c r="R110" s="55">
        <v>0.54431362295178021</v>
      </c>
      <c r="S110" s="55">
        <v>-0.39627684012098285</v>
      </c>
      <c r="T110" s="55">
        <v>2.7032106329141894</v>
      </c>
      <c r="U110" s="55">
        <v>8.9617340004636947E-2</v>
      </c>
      <c r="V110" s="69">
        <v>0.27627068079150474</v>
      </c>
      <c r="W110" s="70">
        <v>-0.25811379242222854</v>
      </c>
      <c r="X110" s="70"/>
      <c r="Y110" s="70"/>
      <c r="Z110" s="55">
        <v>-0.516089380737216</v>
      </c>
      <c r="AA110" s="70">
        <v>-0.4943444485805597</v>
      </c>
      <c r="AB110" s="70">
        <v>0.89814754855042001</v>
      </c>
      <c r="AC110" s="70">
        <v>-0.23355211571262169</v>
      </c>
      <c r="AD110" s="61">
        <v>-0.4008419603340565</v>
      </c>
      <c r="AE110" s="70">
        <v>-0.27697102260505702</v>
      </c>
    </row>
    <row r="111" spans="1:38" ht="30" customHeight="1" x14ac:dyDescent="0.25">
      <c r="A111" s="52" t="s">
        <v>45</v>
      </c>
      <c r="B111" s="53">
        <v>-0.25145254298887942</v>
      </c>
      <c r="C111" s="53">
        <v>-3.3799272229406173E-2</v>
      </c>
      <c r="D111" s="65"/>
      <c r="E111" s="63">
        <v>-0.60455019028370904</v>
      </c>
      <c r="F111" s="63">
        <v>-0.18142619348402406</v>
      </c>
      <c r="G111" s="63">
        <v>-0.26120225023300314</v>
      </c>
      <c r="H111" s="53">
        <v>-0.16725317708479384</v>
      </c>
      <c r="I111" s="53">
        <v>0.24278197791830272</v>
      </c>
      <c r="J111" s="53">
        <v>1.0088130295808071</v>
      </c>
      <c r="K111" s="53">
        <v>0.38779575461918864</v>
      </c>
      <c r="L111" s="64">
        <v>1.0174638906249156</v>
      </c>
      <c r="M111" s="64">
        <v>0.1385120095375284</v>
      </c>
      <c r="N111" s="64">
        <v>-0.26277766584679291</v>
      </c>
      <c r="O111" s="64">
        <v>-0.65142114039697185</v>
      </c>
      <c r="P111" s="65">
        <v>0.13609922068779748</v>
      </c>
      <c r="Q111" s="64">
        <v>-0.68924089357793195</v>
      </c>
      <c r="R111" s="53">
        <v>-0.21570844468766284</v>
      </c>
      <c r="S111" s="53">
        <v>0.61585614780137921</v>
      </c>
      <c r="T111" s="53">
        <v>0.22479459862038662</v>
      </c>
      <c r="U111" s="53">
        <v>0.96258589992602039</v>
      </c>
      <c r="V111" s="64">
        <v>-1.0844142902852156</v>
      </c>
      <c r="W111" s="65">
        <v>-0.50803014334627716</v>
      </c>
      <c r="X111" s="65"/>
      <c r="Y111" s="65"/>
      <c r="Z111" s="53">
        <v>0.15999495970287633</v>
      </c>
      <c r="AA111" s="65">
        <v>0.22119576409650052</v>
      </c>
      <c r="AB111" s="65">
        <v>9.357876313696023E-2</v>
      </c>
      <c r="AC111" s="65">
        <v>-0.51808514662857197</v>
      </c>
      <c r="AD111" s="66">
        <v>0.28635337815256129</v>
      </c>
      <c r="AE111" s="65">
        <v>-0.20479749560609173</v>
      </c>
    </row>
    <row r="112" spans="1:38" ht="30" customHeight="1" x14ac:dyDescent="0.25">
      <c r="A112" s="54" t="s">
        <v>46</v>
      </c>
      <c r="B112" s="55">
        <v>40</v>
      </c>
      <c r="C112" s="55">
        <v>10</v>
      </c>
      <c r="D112" s="67"/>
      <c r="E112" s="68">
        <v>143410</v>
      </c>
      <c r="F112" s="68">
        <v>214860</v>
      </c>
      <c r="G112" s="68">
        <v>231680</v>
      </c>
      <c r="H112" s="55">
        <v>970</v>
      </c>
      <c r="I112" s="55">
        <v>18.758300395256921</v>
      </c>
      <c r="J112" s="55">
        <v>537</v>
      </c>
      <c r="K112" s="55">
        <v>821</v>
      </c>
      <c r="L112" s="69">
        <v>8160</v>
      </c>
      <c r="M112" s="69">
        <v>4170</v>
      </c>
      <c r="N112" s="69">
        <v>1050.2752075195313</v>
      </c>
      <c r="O112" s="69">
        <v>484.8553466796875</v>
      </c>
      <c r="P112" s="70">
        <v>1.699981800259476</v>
      </c>
      <c r="Q112" s="69">
        <v>96.430404629569949</v>
      </c>
      <c r="R112" s="55">
        <v>5</v>
      </c>
      <c r="S112" s="55">
        <v>13</v>
      </c>
      <c r="T112" s="55">
        <v>74</v>
      </c>
      <c r="U112" s="55">
        <v>24</v>
      </c>
      <c r="V112" s="69">
        <v>84400</v>
      </c>
      <c r="W112" s="70">
        <v>0.18373611525424105</v>
      </c>
      <c r="X112" s="67"/>
      <c r="Y112" s="67"/>
      <c r="Z112" s="55">
        <v>314.8434350172106</v>
      </c>
      <c r="AA112" s="67">
        <v>1690.5572303947774</v>
      </c>
      <c r="AB112" s="70">
        <v>0.18796436130120101</v>
      </c>
      <c r="AC112" s="70">
        <v>1.3773684701485731</v>
      </c>
      <c r="AD112" s="61">
        <v>107945.98128729434</v>
      </c>
      <c r="AE112" s="70">
        <v>214.27269235856232</v>
      </c>
    </row>
    <row r="113" spans="1:31" ht="30" customHeight="1" x14ac:dyDescent="0.25">
      <c r="A113" s="52" t="s">
        <v>47</v>
      </c>
      <c r="B113" s="53">
        <v>1</v>
      </c>
      <c r="C113" s="53">
        <v>1</v>
      </c>
      <c r="D113" s="62"/>
      <c r="E113" s="63">
        <v>-53960</v>
      </c>
      <c r="F113" s="63">
        <v>716110</v>
      </c>
      <c r="G113" s="63">
        <v>-903740</v>
      </c>
      <c r="H113" s="53">
        <v>1187</v>
      </c>
      <c r="I113" s="53">
        <v>25.691699604743082</v>
      </c>
      <c r="J113" s="53">
        <v>352</v>
      </c>
      <c r="K113" s="53">
        <v>739</v>
      </c>
      <c r="L113" s="64">
        <v>12540</v>
      </c>
      <c r="M113" s="64">
        <v>-7420</v>
      </c>
      <c r="N113" s="64">
        <v>984.12823486328125</v>
      </c>
      <c r="O113" s="64">
        <v>-1052.246337890625</v>
      </c>
      <c r="P113" s="65">
        <v>1.2645586189263931</v>
      </c>
      <c r="Q113" s="64">
        <v>-39.852289512555394</v>
      </c>
      <c r="R113" s="53">
        <v>4</v>
      </c>
      <c r="S113" s="53">
        <v>9</v>
      </c>
      <c r="T113" s="53">
        <v>37</v>
      </c>
      <c r="U113" s="53">
        <v>16</v>
      </c>
      <c r="V113" s="64">
        <v>-117815</v>
      </c>
      <c r="W113" s="65">
        <v>0.934612168728718</v>
      </c>
      <c r="X113" s="62"/>
      <c r="Y113" s="62"/>
      <c r="Z113" s="62">
        <v>-47.149285683079206</v>
      </c>
      <c r="AA113" s="71">
        <v>-250.36270697715059</v>
      </c>
      <c r="AB113" s="72">
        <v>-6.6479283115324E-2</v>
      </c>
      <c r="AC113" s="65">
        <v>-0.58523721006160401</v>
      </c>
      <c r="AD113" s="73">
        <v>-21602.696826267002</v>
      </c>
      <c r="AE113" s="74">
        <v>-71.178937131278346</v>
      </c>
    </row>
    <row r="114" spans="1:31" ht="30" customHeight="1" x14ac:dyDescent="0.25">
      <c r="A114" s="54" t="s">
        <v>48</v>
      </c>
      <c r="B114" s="55">
        <v>41</v>
      </c>
      <c r="C114" s="55">
        <v>11</v>
      </c>
      <c r="D114" s="67"/>
      <c r="E114" s="68">
        <v>89450</v>
      </c>
      <c r="F114" s="68">
        <v>930970</v>
      </c>
      <c r="G114" s="68">
        <v>-672060</v>
      </c>
      <c r="H114" s="55">
        <v>2157</v>
      </c>
      <c r="I114" s="55">
        <v>44.45</v>
      </c>
      <c r="J114" s="55">
        <v>889</v>
      </c>
      <c r="K114" s="55">
        <v>1560</v>
      </c>
      <c r="L114" s="69">
        <v>20700</v>
      </c>
      <c r="M114" s="69">
        <v>-3250</v>
      </c>
      <c r="N114" s="69">
        <v>2034.4034423828125</v>
      </c>
      <c r="O114" s="69">
        <v>-567.3909912109375</v>
      </c>
      <c r="P114" s="70">
        <v>2.9645404191858691</v>
      </c>
      <c r="Q114" s="69">
        <v>56.578115117014548</v>
      </c>
      <c r="R114" s="55">
        <v>9</v>
      </c>
      <c r="S114" s="55">
        <v>22</v>
      </c>
      <c r="T114" s="55">
        <v>111</v>
      </c>
      <c r="U114" s="55">
        <v>40</v>
      </c>
      <c r="V114" s="69">
        <v>-33415</v>
      </c>
      <c r="W114" s="70">
        <v>1.118348283982959</v>
      </c>
      <c r="X114" s="67"/>
      <c r="Y114" s="67"/>
      <c r="Z114" s="55">
        <v>267.6941493341314</v>
      </c>
      <c r="AA114" s="71">
        <v>1440.1945234176269</v>
      </c>
      <c r="AB114" s="72">
        <v>0.121485078185877</v>
      </c>
      <c r="AC114" s="70">
        <v>0.79213126008696899</v>
      </c>
      <c r="AD114" s="73">
        <v>86343.284461027346</v>
      </c>
      <c r="AE114" s="76">
        <v>143.09375522728399</v>
      </c>
    </row>
    <row r="115" spans="1:31" ht="30" customHeight="1" x14ac:dyDescent="0.25">
      <c r="A115" s="56" t="s">
        <v>49</v>
      </c>
      <c r="B115" s="57">
        <v>2.1910321984844265</v>
      </c>
      <c r="C115" s="57">
        <v>0.68856397266529357</v>
      </c>
      <c r="D115" s="77"/>
      <c r="E115" s="78">
        <v>6459.315266506489</v>
      </c>
      <c r="F115" s="78">
        <v>8381.5534465709661</v>
      </c>
      <c r="G115" s="78">
        <v>8069.5280486158008</v>
      </c>
      <c r="H115" s="57">
        <v>37.67373763581994</v>
      </c>
      <c r="I115" s="57">
        <v>0.86561934358446702</v>
      </c>
      <c r="J115" s="57">
        <v>16.296941035066176</v>
      </c>
      <c r="K115" s="57">
        <v>32.376574365137365</v>
      </c>
      <c r="L115" s="79">
        <v>298.47579018214128</v>
      </c>
      <c r="M115" s="79">
        <v>205.63855917676017</v>
      </c>
      <c r="N115" s="79">
        <v>30.771862058764743</v>
      </c>
      <c r="O115" s="79">
        <v>23.679283204870632</v>
      </c>
      <c r="P115" s="77">
        <v>7.697534919905695E-2</v>
      </c>
      <c r="Q115" s="79">
        <v>4.2717316656850866</v>
      </c>
      <c r="R115" s="57">
        <v>0.20854549327652597</v>
      </c>
      <c r="S115" s="57">
        <v>0.64928098618387842</v>
      </c>
      <c r="T115" s="57">
        <v>2.1018438137546709</v>
      </c>
      <c r="U115" s="57">
        <v>1.2171628461633002</v>
      </c>
      <c r="V115" s="79">
        <v>4053.1865093022388</v>
      </c>
      <c r="W115" s="77">
        <v>8.2825044681453415E-3</v>
      </c>
      <c r="X115" s="77"/>
      <c r="Y115" s="77"/>
      <c r="Z115" s="57">
        <v>14.182103504054918</v>
      </c>
      <c r="AA115" s="77">
        <v>78.467106974452179</v>
      </c>
      <c r="AB115" s="77">
        <v>6.0904418558010154E-3</v>
      </c>
      <c r="AC115" s="77">
        <v>6.2384325409964463E-2</v>
      </c>
      <c r="AD115" s="80">
        <v>4769.6261827475473</v>
      </c>
      <c r="AE115" s="77">
        <v>9.5034565890148333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BDB6-10C3-4FD0-A5EC-AE08B5445BC7}">
  <dimension ref="A1:AL115"/>
  <sheetViews>
    <sheetView tabSelected="1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E22" sqref="AE22"/>
    </sheetView>
  </sheetViews>
  <sheetFormatPr baseColWidth="10" defaultColWidth="1.375" defaultRowHeight="15" x14ac:dyDescent="0.25"/>
  <cols>
    <col min="1" max="1" width="11.125" customWidth="1"/>
    <col min="2" max="2" width="12.75" bestFit="1" customWidth="1"/>
    <col min="3" max="3" width="11.75" bestFit="1" customWidth="1"/>
    <col min="4" max="4" width="4.875" bestFit="1" customWidth="1"/>
    <col min="5" max="5" width="8.75" bestFit="1" customWidth="1"/>
    <col min="6" max="6" width="10.125" bestFit="1" customWidth="1"/>
    <col min="7" max="7" width="10.625" bestFit="1" customWidth="1"/>
    <col min="8" max="8" width="7.625" bestFit="1" customWidth="1"/>
    <col min="9" max="9" width="7.5" bestFit="1" customWidth="1"/>
    <col min="10" max="10" width="8.375" bestFit="1" customWidth="1"/>
    <col min="11" max="11" width="7.625" bestFit="1" customWidth="1"/>
    <col min="12" max="15" width="9.25" bestFit="1" customWidth="1"/>
    <col min="16" max="16" width="8.625" bestFit="1" customWidth="1"/>
    <col min="17" max="17" width="7.375" bestFit="1" customWidth="1"/>
    <col min="18" max="18" width="11" bestFit="1" customWidth="1"/>
    <col min="19" max="19" width="9.875" bestFit="1" customWidth="1"/>
    <col min="20" max="20" width="10" bestFit="1" customWidth="1"/>
    <col min="21" max="21" width="9.125" bestFit="1" customWidth="1"/>
    <col min="22" max="22" width="11" bestFit="1" customWidth="1"/>
    <col min="23" max="23" width="7.5" bestFit="1" customWidth="1"/>
    <col min="24" max="24" width="8.625" bestFit="1" customWidth="1"/>
    <col min="25" max="25" width="10.125" bestFit="1" customWidth="1"/>
    <col min="26" max="26" width="8.875" bestFit="1" customWidth="1"/>
    <col min="27" max="27" width="7.375" bestFit="1" customWidth="1"/>
    <col min="28" max="28" width="9.25" bestFit="1" customWidth="1"/>
    <col min="29" max="29" width="12.375" bestFit="1" customWidth="1"/>
    <col min="30" max="30" width="10.125" bestFit="1" customWidth="1"/>
    <col min="31" max="31" width="9.25" bestFit="1" customWidth="1"/>
    <col min="32" max="32" width="10.125" bestFit="1" customWidth="1"/>
    <col min="33" max="33" width="13.875" bestFit="1" customWidth="1"/>
    <col min="34" max="34" width="13" bestFit="1" customWidth="1"/>
    <col min="35" max="35" width="14" bestFit="1" customWidth="1"/>
    <col min="36" max="36" width="13.125" bestFit="1" customWidth="1"/>
    <col min="37" max="37" width="9.625" bestFit="1" customWidth="1"/>
    <col min="38" max="38" width="12.625" bestFit="1" customWidth="1"/>
  </cols>
  <sheetData>
    <row r="1" spans="1:38" ht="83.25" customHeight="1" x14ac:dyDescent="0.25">
      <c r="A1" s="16" t="s">
        <v>30</v>
      </c>
      <c r="B1" s="16" t="s">
        <v>0</v>
      </c>
      <c r="C1" s="16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16" t="s">
        <v>7</v>
      </c>
      <c r="J1" s="1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2" t="s">
        <v>19</v>
      </c>
      <c r="V1" s="2" t="s">
        <v>20</v>
      </c>
      <c r="W1" s="16" t="s">
        <v>21</v>
      </c>
      <c r="X1" s="2" t="s">
        <v>22</v>
      </c>
      <c r="Y1" s="2" t="s">
        <v>23</v>
      </c>
      <c r="Z1" s="1" t="s">
        <v>24</v>
      </c>
      <c r="AA1" s="18" t="s">
        <v>25</v>
      </c>
      <c r="AB1" s="19" t="s">
        <v>26</v>
      </c>
      <c r="AC1" s="20" t="s">
        <v>27</v>
      </c>
      <c r="AD1" s="21" t="s">
        <v>28</v>
      </c>
      <c r="AE1" s="22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81" t="s">
        <v>59</v>
      </c>
      <c r="B2" s="23">
        <v>4</v>
      </c>
      <c r="C2" s="23">
        <v>8</v>
      </c>
      <c r="D2" s="23">
        <v>319</v>
      </c>
      <c r="E2" s="24">
        <v>330350</v>
      </c>
      <c r="F2" s="24">
        <v>2596180</v>
      </c>
      <c r="G2" s="24">
        <v>-2265830</v>
      </c>
      <c r="H2" s="23">
        <v>5715</v>
      </c>
      <c r="I2" s="25">
        <v>39.615048118985129</v>
      </c>
      <c r="J2" s="23">
        <v>2264</v>
      </c>
      <c r="K2" s="23">
        <v>3429</v>
      </c>
      <c r="L2" s="26">
        <v>17990</v>
      </c>
      <c r="M2" s="26">
        <v>-6470</v>
      </c>
      <c r="N2" s="26">
        <v>1146.72265625</v>
      </c>
      <c r="O2" s="26">
        <v>-660.78448486328125</v>
      </c>
      <c r="P2" s="25">
        <v>1.7353958552571971</v>
      </c>
      <c r="Q2" s="27">
        <v>57.804024496937885</v>
      </c>
      <c r="R2" s="23">
        <v>9</v>
      </c>
      <c r="S2" s="23">
        <v>19</v>
      </c>
      <c r="T2" s="23">
        <v>54</v>
      </c>
      <c r="U2" s="23">
        <v>25</v>
      </c>
      <c r="V2" s="26">
        <v>-55055</v>
      </c>
      <c r="W2" s="25">
        <v>1.145796463106235</v>
      </c>
      <c r="X2" s="23">
        <v>1</v>
      </c>
      <c r="Y2" s="26">
        <v>55055</v>
      </c>
      <c r="Z2" s="25">
        <v>600.03632730905463</v>
      </c>
      <c r="AA2" s="28">
        <v>13584.822450276995</v>
      </c>
      <c r="AB2" s="25">
        <v>1.9162519409647689</v>
      </c>
      <c r="AC2" s="25">
        <v>3.1448120335687002</v>
      </c>
      <c r="AD2" s="29">
        <v>308230.48170832533</v>
      </c>
      <c r="AE2" s="25">
        <v>44.689531920847223</v>
      </c>
      <c r="AF2" s="11">
        <f>(Opti_Medias__30_ALL_Data[[#This Row],[All: TS Index]]-AA$114) /ABS(AA$114)</f>
        <v>-0.14511455863983616</v>
      </c>
      <c r="AG2" s="11">
        <f>(Opti_Medias__30_ALL_Data[[#This Row],[All: Expectancy Score]]-AB$114) /ABS(AB$114)</f>
        <v>-0.3803284447057666</v>
      </c>
      <c r="AH2" s="11"/>
      <c r="AI2" s="11">
        <f>(Opti_Medias__30_ALL_Data[[#This Row],[All: Perfect Profit Correlation]]-AD$114) /ABS(AD$114)</f>
        <v>0</v>
      </c>
      <c r="AJ2" s="11">
        <f>(Opti_Medias__30_ALL_Data[[#This Row],[All: Robustness Index]]-AE$114) /ABS(AE$114)</f>
        <v>-0.68769055050750261</v>
      </c>
      <c r="AK2" s="11">
        <f>SUM(Opti_Medias__30_ALL_Data[[#This Row],[VAR TS Index]:[VAR Robustness Index]])</f>
        <v>-1.2131335538531054</v>
      </c>
      <c r="AL2" s="11">
        <f>Opti_Medias__30_ALL_Data[[#This Row],[SUMA]]-Opti_Medias__30_ALL_Data[[#This Row],[VAR Robustness Index]]</f>
        <v>-0.52544300334560279</v>
      </c>
    </row>
    <row r="3" spans="1:38" x14ac:dyDescent="0.25">
      <c r="A3" s="82" t="s">
        <v>50</v>
      </c>
      <c r="B3" s="83">
        <v>35</v>
      </c>
      <c r="C3" s="83">
        <v>11</v>
      </c>
      <c r="D3" s="83">
        <v>485</v>
      </c>
      <c r="E3" s="84">
        <v>239240</v>
      </c>
      <c r="F3" s="84">
        <v>2326160</v>
      </c>
      <c r="G3" s="84">
        <v>-2086920</v>
      </c>
      <c r="H3" s="83">
        <v>5283</v>
      </c>
      <c r="I3" s="82">
        <v>35.77512776831346</v>
      </c>
      <c r="J3" s="83">
        <v>1890</v>
      </c>
      <c r="K3" s="83">
        <v>3367</v>
      </c>
      <c r="L3" s="85">
        <v>18780</v>
      </c>
      <c r="M3" s="85">
        <v>-5640</v>
      </c>
      <c r="N3" s="85">
        <v>1230.7724609375</v>
      </c>
      <c r="O3" s="85">
        <v>-619.81585693359375</v>
      </c>
      <c r="P3" s="82">
        <v>1.98570663717202</v>
      </c>
      <c r="Q3" s="86">
        <v>45.284876017414348</v>
      </c>
      <c r="R3" s="83">
        <v>9</v>
      </c>
      <c r="S3" s="83">
        <v>17</v>
      </c>
      <c r="T3" s="83">
        <v>69</v>
      </c>
      <c r="U3" s="83">
        <v>24</v>
      </c>
      <c r="V3" s="85">
        <v>-46315</v>
      </c>
      <c r="W3" s="82">
        <v>1.114637839495525</v>
      </c>
      <c r="X3" s="83">
        <v>1</v>
      </c>
      <c r="Y3" s="85">
        <v>46315</v>
      </c>
      <c r="Z3" s="82">
        <v>516.54971391557808</v>
      </c>
      <c r="AA3" s="87">
        <v>9762.7895930044269</v>
      </c>
      <c r="AB3" s="82">
        <v>1.3434797656299751</v>
      </c>
      <c r="AC3" s="82">
        <v>2.2169858263362321</v>
      </c>
      <c r="AD3" s="88">
        <v>226952.72748230037</v>
      </c>
      <c r="AE3" s="82">
        <v>139.34146226011583</v>
      </c>
      <c r="AF3" s="11">
        <f>(Opti_Medias__30_ALL_Data[[#This Row],[All: TS Index]]-AA$114) /ABS(AA$114)</f>
        <v>-0.38563299441931043</v>
      </c>
      <c r="AG3" s="11">
        <f>(Opti_Medias__30_ALL_Data[[#This Row],[All: Expectancy Score]]-AB$114) /ABS(AB$114)</f>
        <v>-0.56554971813616806</v>
      </c>
      <c r="AH3" s="11"/>
      <c r="AI3" s="11">
        <f>(Opti_Medias__30_ALL_Data[[#This Row],[All: Perfect Profit Correlation]]-AD$114) /ABS(AD$114)</f>
        <v>-0.26369148753735877</v>
      </c>
      <c r="AJ3" s="11">
        <f>(Opti_Medias__30_ALL_Data[[#This Row],[All: Robustness Index]]-AE$114) /ABS(AE$114)</f>
        <v>-2.6222618598611646E-2</v>
      </c>
      <c r="AK3" s="11">
        <f>SUM(Opti_Medias__30_ALL_Data[[#This Row],[VAR TS Index]:[VAR Robustness Index]])</f>
        <v>-1.2410968186914488</v>
      </c>
      <c r="AL3" s="11">
        <f>Opti_Medias__30_ALL_Data[[#This Row],[SUMA]]-Opti_Medias__30_ALL_Data[[#This Row],[VAR Robustness Index]]</f>
        <v>-1.2148742000928372</v>
      </c>
    </row>
    <row r="4" spans="1:38" s="108" customFormat="1" x14ac:dyDescent="0.25">
      <c r="A4" s="101" t="s">
        <v>64</v>
      </c>
      <c r="B4" s="102">
        <v>22</v>
      </c>
      <c r="C4" s="102">
        <v>8</v>
      </c>
      <c r="D4" s="102">
        <v>337</v>
      </c>
      <c r="E4" s="103">
        <v>258460</v>
      </c>
      <c r="F4" s="103">
        <v>2285760</v>
      </c>
      <c r="G4" s="103">
        <v>-2027300</v>
      </c>
      <c r="H4" s="102">
        <v>5029</v>
      </c>
      <c r="I4" s="101">
        <v>34.718631934778287</v>
      </c>
      <c r="J4" s="102">
        <v>1746</v>
      </c>
      <c r="K4" s="102">
        <v>3267</v>
      </c>
      <c r="L4" s="104">
        <v>17090</v>
      </c>
      <c r="M4" s="104">
        <v>-5240</v>
      </c>
      <c r="N4" s="104">
        <v>1309.140869140625</v>
      </c>
      <c r="O4" s="104">
        <v>-620.5386962890625</v>
      </c>
      <c r="P4" s="101">
        <v>2.1096844998861992</v>
      </c>
      <c r="Q4" s="105">
        <v>51.3939152913104</v>
      </c>
      <c r="R4" s="102">
        <v>11</v>
      </c>
      <c r="S4" s="102">
        <v>15</v>
      </c>
      <c r="T4" s="102">
        <v>74</v>
      </c>
      <c r="U4" s="102">
        <v>25</v>
      </c>
      <c r="V4" s="104">
        <v>-35235</v>
      </c>
      <c r="W4" s="101">
        <v>1.127489764711685</v>
      </c>
      <c r="X4" s="102">
        <v>1</v>
      </c>
      <c r="Y4" s="104">
        <v>35235</v>
      </c>
      <c r="Z4" s="101">
        <v>733.53199943238258</v>
      </c>
      <c r="AA4" s="106">
        <v>12807.468710089399</v>
      </c>
      <c r="AB4" s="101">
        <v>1.692641599764551</v>
      </c>
      <c r="AC4" s="101">
        <v>2.392258835158132</v>
      </c>
      <c r="AD4" s="107">
        <v>244195.43581624306</v>
      </c>
      <c r="AE4" s="101">
        <v>75.318790567901999</v>
      </c>
      <c r="AF4" s="101">
        <f>(Opti_Medias__30_ALL_Data[[#This Row],[All: TS Index]]-AA$114) /ABS(AA$114)</f>
        <v>-0.19403300403767773</v>
      </c>
      <c r="AG4" s="101">
        <f>(Opti_Medias__30_ALL_Data[[#This Row],[All: Expectancy Score]]-AB$114) /ABS(AB$114)</f>
        <v>-0.45263885700032658</v>
      </c>
      <c r="AH4" s="101"/>
      <c r="AI4" s="101">
        <f>(Opti_Medias__30_ALL_Data[[#This Row],[All: Perfect Profit Correlation]]-AD$114) /ABS(AD$114)</f>
        <v>-0.20775052985407796</v>
      </c>
      <c r="AJ4" s="101">
        <f>(Opti_Medias__30_ALL_Data[[#This Row],[All: Robustness Index]]-AE$114) /ABS(AE$114)</f>
        <v>-0.47364026858985664</v>
      </c>
      <c r="AK4" s="101">
        <f>SUM(Opti_Medias__30_ALL_Data[[#This Row],[VAR TS Index]:[VAR Robustness Index]])</f>
        <v>-1.3280626594819389</v>
      </c>
      <c r="AL4" s="101">
        <f>Opti_Medias__30_ALL_Data[[#This Row],[SUMA]]-Opti_Medias__30_ALL_Data[[#This Row],[VAR Robustness Index]]</f>
        <v>-0.85442239089208227</v>
      </c>
    </row>
    <row r="5" spans="1:38" x14ac:dyDescent="0.25">
      <c r="A5" s="82" t="s">
        <v>56</v>
      </c>
      <c r="B5" s="83">
        <v>19</v>
      </c>
      <c r="C5" s="83">
        <v>11</v>
      </c>
      <c r="D5" s="83">
        <v>469</v>
      </c>
      <c r="E5" s="84">
        <v>230840</v>
      </c>
      <c r="F5" s="84">
        <v>2362140</v>
      </c>
      <c r="G5" s="84">
        <v>-2131300</v>
      </c>
      <c r="H5" s="83">
        <v>5215</v>
      </c>
      <c r="I5" s="82">
        <v>42.991371045062323</v>
      </c>
      <c r="J5" s="83">
        <v>2242</v>
      </c>
      <c r="K5" s="83">
        <v>2940</v>
      </c>
      <c r="L5" s="85">
        <v>17020</v>
      </c>
      <c r="M5" s="85">
        <v>-4880</v>
      </c>
      <c r="N5" s="85">
        <v>1053.5860595703125</v>
      </c>
      <c r="O5" s="85">
        <v>-724.93194580078125</v>
      </c>
      <c r="P5" s="82">
        <v>1.4533585747921349</v>
      </c>
      <c r="Q5" s="86">
        <v>44.264621284755513</v>
      </c>
      <c r="R5" s="83">
        <v>9</v>
      </c>
      <c r="S5" s="83">
        <v>12</v>
      </c>
      <c r="T5" s="83">
        <v>57</v>
      </c>
      <c r="U5" s="83">
        <v>28</v>
      </c>
      <c r="V5" s="85">
        <v>-53095</v>
      </c>
      <c r="W5" s="82">
        <v>1.108309482475484</v>
      </c>
      <c r="X5" s="83">
        <v>1</v>
      </c>
      <c r="Y5" s="85">
        <v>53095</v>
      </c>
      <c r="Z5" s="82">
        <v>434.7678689142104</v>
      </c>
      <c r="AA5" s="87">
        <v>9747.4956210565961</v>
      </c>
      <c r="AB5" s="82">
        <v>0.88170846236920697</v>
      </c>
      <c r="AC5" s="82">
        <v>2.20260041662636</v>
      </c>
      <c r="AD5" s="88">
        <v>220195.64626898491</v>
      </c>
      <c r="AE5" s="82">
        <v>143.09375522728399</v>
      </c>
      <c r="AF5" s="11">
        <f>(Opti_Medias__30_ALL_Data[[#This Row],[All: TS Index]]-AA$114) /ABS(AA$114)</f>
        <v>-0.38659543570307592</v>
      </c>
      <c r="AG5" s="11">
        <f>(Opti_Medias__30_ALL_Data[[#This Row],[All: Expectancy Score]]-AB$114) /ABS(AB$114)</f>
        <v>-0.71487587695940713</v>
      </c>
      <c r="AH5" s="11"/>
      <c r="AI5" s="11">
        <f>(Opti_Medias__30_ALL_Data[[#This Row],[All: Perfect Profit Correlation]]-AD$114) /ABS(AD$114)</f>
        <v>-0.28561365816715911</v>
      </c>
      <c r="AJ5" s="11">
        <f>(Opti_Medias__30_ALL_Data[[#This Row],[All: Robustness Index]]-AE$114) /ABS(AE$114)</f>
        <v>0</v>
      </c>
      <c r="AK5" s="11">
        <f>SUM(Opti_Medias__30_ALL_Data[[#This Row],[VAR TS Index]:[VAR Robustness Index]])</f>
        <v>-1.3870849708296422</v>
      </c>
      <c r="AL5" s="11">
        <f>Opti_Medias__30_ALL_Data[[#This Row],[SUMA]]-Opti_Medias__30_ALL_Data[[#This Row],[VAR Robustness Index]]</f>
        <v>-1.3870849708296422</v>
      </c>
    </row>
    <row r="6" spans="1:38" x14ac:dyDescent="0.25">
      <c r="A6" s="82" t="s">
        <v>57</v>
      </c>
      <c r="B6" s="83">
        <v>34</v>
      </c>
      <c r="C6" s="83">
        <v>11</v>
      </c>
      <c r="D6" s="83">
        <v>484</v>
      </c>
      <c r="E6" s="84">
        <v>279860</v>
      </c>
      <c r="F6" s="84">
        <v>2333630</v>
      </c>
      <c r="G6" s="84">
        <v>-2053770</v>
      </c>
      <c r="H6" s="83">
        <v>5189</v>
      </c>
      <c r="I6" s="82">
        <v>36.943534399691657</v>
      </c>
      <c r="J6" s="83">
        <v>1917</v>
      </c>
      <c r="K6" s="83">
        <v>3252</v>
      </c>
      <c r="L6" s="85">
        <v>18960</v>
      </c>
      <c r="M6" s="85">
        <v>-5350</v>
      </c>
      <c r="N6" s="85">
        <v>1217.3343505859375</v>
      </c>
      <c r="O6" s="85">
        <v>-631.54058837890625</v>
      </c>
      <c r="P6" s="82">
        <v>1.9275631257694741</v>
      </c>
      <c r="Q6" s="86">
        <v>53.933320485642703</v>
      </c>
      <c r="R6" s="83">
        <v>9</v>
      </c>
      <c r="S6" s="83">
        <v>15</v>
      </c>
      <c r="T6" s="83">
        <v>68</v>
      </c>
      <c r="U6" s="83">
        <v>24</v>
      </c>
      <c r="V6" s="85">
        <v>-41585</v>
      </c>
      <c r="W6" s="82">
        <v>1.136266475798166</v>
      </c>
      <c r="X6" s="83">
        <v>1</v>
      </c>
      <c r="Y6" s="85">
        <v>41585</v>
      </c>
      <c r="Z6" s="82">
        <v>672.98304677167243</v>
      </c>
      <c r="AA6" s="87">
        <v>12901.085006612961</v>
      </c>
      <c r="AB6" s="82">
        <v>0.575323193701475</v>
      </c>
      <c r="AC6" s="82">
        <v>2.625751983438537</v>
      </c>
      <c r="AD6" s="88">
        <v>263461.59448935062</v>
      </c>
      <c r="AE6" s="82">
        <v>106.03342216901936</v>
      </c>
      <c r="AF6" s="11">
        <f>(Opti_Medias__30_ALL_Data[[#This Row],[All: TS Index]]-AA$114) /ABS(AA$114)</f>
        <v>-0.18814178173683585</v>
      </c>
      <c r="AG6" s="11">
        <f>(Opti_Medias__30_ALL_Data[[#This Row],[All: Expectancy Score]]-AB$114) /ABS(AB$114)</f>
        <v>-0.81395378623421155</v>
      </c>
      <c r="AH6" s="11"/>
      <c r="AI6" s="11">
        <f>(Opti_Medias__30_ALL_Data[[#This Row],[All: Perfect Profit Correlation]]-AD$114) /ABS(AD$114)</f>
        <v>-0.14524484071416061</v>
      </c>
      <c r="AJ6" s="11">
        <f>(Opti_Medias__30_ALL_Data[[#This Row],[All: Robustness Index]]-AE$114) /ABS(AE$114)</f>
        <v>-0.25899336417162011</v>
      </c>
      <c r="AK6" s="11">
        <f>SUM(Opti_Medias__30_ALL_Data[[#This Row],[VAR TS Index]:[VAR Robustness Index]])</f>
        <v>-1.4063337728568284</v>
      </c>
      <c r="AL6" s="11">
        <f>Opti_Medias__30_ALL_Data[[#This Row],[SUMA]]-Opti_Medias__30_ALL_Data[[#This Row],[VAR Robustness Index]]</f>
        <v>-1.1473404086852081</v>
      </c>
    </row>
    <row r="7" spans="1:38" x14ac:dyDescent="0.25">
      <c r="A7" s="81" t="s">
        <v>61</v>
      </c>
      <c r="B7" s="83">
        <v>10</v>
      </c>
      <c r="C7" s="83">
        <v>8</v>
      </c>
      <c r="D7" s="83">
        <v>325</v>
      </c>
      <c r="E7" s="84">
        <v>280500</v>
      </c>
      <c r="F7" s="84">
        <v>2471130</v>
      </c>
      <c r="G7" s="84">
        <v>-2190630</v>
      </c>
      <c r="H7" s="83">
        <v>5539</v>
      </c>
      <c r="I7" s="82">
        <v>37.06445206716014</v>
      </c>
      <c r="J7" s="83">
        <v>2053</v>
      </c>
      <c r="K7" s="83">
        <v>3465</v>
      </c>
      <c r="L7" s="85">
        <v>18490</v>
      </c>
      <c r="M7" s="85">
        <v>-6520</v>
      </c>
      <c r="N7" s="85">
        <v>1203.6678466796875</v>
      </c>
      <c r="O7" s="85">
        <v>-632.2164306640625</v>
      </c>
      <c r="P7" s="82">
        <v>1.903885739596151</v>
      </c>
      <c r="Q7" s="86">
        <v>50.640909911536376</v>
      </c>
      <c r="R7" s="83">
        <v>7</v>
      </c>
      <c r="S7" s="83">
        <v>16</v>
      </c>
      <c r="T7" s="83">
        <v>61</v>
      </c>
      <c r="U7" s="83">
        <v>24</v>
      </c>
      <c r="V7" s="85">
        <v>-53305</v>
      </c>
      <c r="W7" s="82">
        <v>1.1280453568151629</v>
      </c>
      <c r="X7" s="83">
        <v>1</v>
      </c>
      <c r="Y7" s="85">
        <v>53305</v>
      </c>
      <c r="Z7" s="82">
        <v>526.21705280930496</v>
      </c>
      <c r="AA7" s="87">
        <v>10803.23609417503</v>
      </c>
      <c r="AB7" s="82">
        <v>2.375835437845319</v>
      </c>
      <c r="AC7" s="82">
        <v>2.6317670760024989</v>
      </c>
      <c r="AD7" s="88">
        <v>257565.0420354942</v>
      </c>
      <c r="AE7" s="82">
        <v>41.655693230979821</v>
      </c>
      <c r="AF7" s="11">
        <f>(Opti_Medias__30_ALL_Data[[#This Row],[All: TS Index]]-AA$114) /ABS(AA$114)</f>
        <v>-0.32015826557243227</v>
      </c>
      <c r="AG7" s="11">
        <f>(Opti_Medias__30_ALL_Data[[#This Row],[All: Expectancy Score]]-AB$114) /ABS(AB$114)</f>
        <v>-0.231709771862492</v>
      </c>
      <c r="AH7" s="11"/>
      <c r="AI7" s="11">
        <f>(Opti_Medias__30_ALL_Data[[#This Row],[All: Perfect Profit Correlation]]-AD$114) /ABS(AD$114)</f>
        <v>-0.16437517597878332</v>
      </c>
      <c r="AJ7" s="11">
        <f>(Opti_Medias__30_ALL_Data[[#This Row],[All: Robustness Index]]-AE$114) /ABS(AE$114)</f>
        <v>-0.70889230515464707</v>
      </c>
      <c r="AK7" s="11">
        <f>SUM(Opti_Medias__30_ALL_Data[[#This Row],[VAR TS Index]:[VAR Robustness Index]])</f>
        <v>-1.4251355185683545</v>
      </c>
      <c r="AL7" s="11">
        <f>Opti_Medias__30_ALL_Data[[#This Row],[SUMA]]-Opti_Medias__30_ALL_Data[[#This Row],[VAR Robustness Index]]</f>
        <v>-0.71624321341370745</v>
      </c>
    </row>
    <row r="8" spans="1:38" x14ac:dyDescent="0.25">
      <c r="A8" s="82" t="s">
        <v>53</v>
      </c>
      <c r="B8" s="83">
        <v>20</v>
      </c>
      <c r="C8" s="83">
        <v>11</v>
      </c>
      <c r="D8" s="83">
        <v>470</v>
      </c>
      <c r="E8" s="84">
        <v>234790</v>
      </c>
      <c r="F8" s="84">
        <v>2348800</v>
      </c>
      <c r="G8" s="84">
        <v>-2114010</v>
      </c>
      <c r="H8" s="83">
        <v>5243</v>
      </c>
      <c r="I8" s="82">
        <v>43.181384703414075</v>
      </c>
      <c r="J8" s="83">
        <v>2264</v>
      </c>
      <c r="K8" s="83">
        <v>2952</v>
      </c>
      <c r="L8" s="85">
        <v>16550</v>
      </c>
      <c r="M8" s="85">
        <v>-6240</v>
      </c>
      <c r="N8" s="85">
        <v>1037.455810546875</v>
      </c>
      <c r="O8" s="85">
        <v>-716.1280517578125</v>
      </c>
      <c r="P8" s="82">
        <v>1.4487015387825251</v>
      </c>
      <c r="Q8" s="86">
        <v>44.781613580011445</v>
      </c>
      <c r="R8" s="83">
        <v>9</v>
      </c>
      <c r="S8" s="83">
        <v>17</v>
      </c>
      <c r="T8" s="83">
        <v>57</v>
      </c>
      <c r="U8" s="83">
        <v>27</v>
      </c>
      <c r="V8" s="85">
        <v>-52445</v>
      </c>
      <c r="W8" s="82">
        <v>1.111063807645186</v>
      </c>
      <c r="X8" s="83">
        <v>1</v>
      </c>
      <c r="Y8" s="85">
        <v>52445</v>
      </c>
      <c r="Z8" s="82">
        <v>447.68805415196874</v>
      </c>
      <c r="AA8" s="87">
        <v>10135.657546000572</v>
      </c>
      <c r="AB8" s="82">
        <v>1.1910736084774429</v>
      </c>
      <c r="AC8" s="82">
        <v>2.2433517779485301</v>
      </c>
      <c r="AD8" s="88">
        <v>225873.76046760188</v>
      </c>
      <c r="AE8" s="82">
        <v>115.28000349603751</v>
      </c>
      <c r="AF8" s="11">
        <f>(Opti_Medias__30_ALL_Data[[#This Row],[All: TS Index]]-AA$114) /ABS(AA$114)</f>
        <v>-0.36216861822058649</v>
      </c>
      <c r="AG8" s="11">
        <f>(Opti_Medias__30_ALL_Data[[#This Row],[All: Expectancy Score]]-AB$114) /ABS(AB$114)</f>
        <v>-0.61483434424414152</v>
      </c>
      <c r="AH8" s="11"/>
      <c r="AI8" s="11">
        <f>(Opti_Medias__30_ALL_Data[[#This Row],[All: Perfect Profit Correlation]]-AD$114) /ABS(AD$114)</f>
        <v>-0.26719200769590529</v>
      </c>
      <c r="AJ8" s="11">
        <f>(Opti_Medias__30_ALL_Data[[#This Row],[All: Robustness Index]]-AE$114) /ABS(AE$114)</f>
        <v>-0.19437432253467885</v>
      </c>
      <c r="AK8" s="11">
        <f>SUM(Opti_Medias__30_ALL_Data[[#This Row],[VAR TS Index]:[VAR Robustness Index]])</f>
        <v>-1.4385692926953122</v>
      </c>
      <c r="AL8" s="11">
        <f>Opti_Medias__30_ALL_Data[[#This Row],[SUMA]]-Opti_Medias__30_ALL_Data[[#This Row],[VAR Robustness Index]]</f>
        <v>-1.2441949701606334</v>
      </c>
    </row>
    <row r="9" spans="1:38" s="108" customFormat="1" x14ac:dyDescent="0.25">
      <c r="A9" s="101" t="s">
        <v>54</v>
      </c>
      <c r="B9" s="102">
        <v>23</v>
      </c>
      <c r="C9" s="102">
        <v>8</v>
      </c>
      <c r="D9" s="102">
        <v>338</v>
      </c>
      <c r="E9" s="103">
        <v>244000</v>
      </c>
      <c r="F9" s="103">
        <v>2277560</v>
      </c>
      <c r="G9" s="103">
        <v>-2033560</v>
      </c>
      <c r="H9" s="102">
        <v>5049</v>
      </c>
      <c r="I9" s="101">
        <v>34.383046147752033</v>
      </c>
      <c r="J9" s="102">
        <v>1736</v>
      </c>
      <c r="K9" s="102">
        <v>3298</v>
      </c>
      <c r="L9" s="104">
        <v>17090</v>
      </c>
      <c r="M9" s="104">
        <v>-5240</v>
      </c>
      <c r="N9" s="104">
        <v>1311.95849609375</v>
      </c>
      <c r="O9" s="104">
        <v>-616.60400390625</v>
      </c>
      <c r="P9" s="101">
        <v>2.127716472456159</v>
      </c>
      <c r="Q9" s="105">
        <v>48.326401267577737</v>
      </c>
      <c r="R9" s="102">
        <v>11</v>
      </c>
      <c r="S9" s="102">
        <v>12</v>
      </c>
      <c r="T9" s="102">
        <v>74</v>
      </c>
      <c r="U9" s="102">
        <v>25</v>
      </c>
      <c r="V9" s="104">
        <v>-33435</v>
      </c>
      <c r="W9" s="101">
        <v>1.119986624441865</v>
      </c>
      <c r="X9" s="102">
        <v>1</v>
      </c>
      <c r="Y9" s="104">
        <v>33435</v>
      </c>
      <c r="Z9" s="101">
        <v>729.77418872439057</v>
      </c>
      <c r="AA9" s="106">
        <v>12668.879916255421</v>
      </c>
      <c r="AB9" s="101">
        <v>1.487758053508732</v>
      </c>
      <c r="AC9" s="101">
        <v>2.2474727862561101</v>
      </c>
      <c r="AD9" s="107">
        <v>229228.94951918849</v>
      </c>
      <c r="AE9" s="101">
        <v>76.003957295547892</v>
      </c>
      <c r="AF9" s="101">
        <f>(Opti_Medias__30_ALL_Data[[#This Row],[All: TS Index]]-AA$114) /ABS(AA$114)</f>
        <v>-0.20275432097928542</v>
      </c>
      <c r="AG9" s="101">
        <f>(Opti_Medias__30_ALL_Data[[#This Row],[All: Expectancy Score]]-AB$114) /ABS(AB$114)</f>
        <v>-0.51889345695581102</v>
      </c>
      <c r="AH9" s="101"/>
      <c r="AI9" s="101">
        <f>(Opti_Medias__30_ALL_Data[[#This Row],[All: Perfect Profit Correlation]]-AD$114) /ABS(AD$114)</f>
        <v>-0.25630668242570182</v>
      </c>
      <c r="AJ9" s="101">
        <f>(Opti_Medias__30_ALL_Data[[#This Row],[All: Robustness Index]]-AE$114) /ABS(AE$114)</f>
        <v>-0.46885203218808214</v>
      </c>
      <c r="AK9" s="101">
        <f>SUM(Opti_Medias__30_ALL_Data[[#This Row],[VAR TS Index]:[VAR Robustness Index]])</f>
        <v>-1.4468064925488804</v>
      </c>
      <c r="AL9" s="101">
        <f>Opti_Medias__30_ALL_Data[[#This Row],[SUMA]]-Opti_Medias__30_ALL_Data[[#This Row],[VAR Robustness Index]]</f>
        <v>-0.97795446036079825</v>
      </c>
    </row>
    <row r="10" spans="1:38" x14ac:dyDescent="0.25">
      <c r="A10" s="81" t="s">
        <v>63</v>
      </c>
      <c r="B10" s="83">
        <v>7</v>
      </c>
      <c r="C10" s="83">
        <v>3</v>
      </c>
      <c r="D10" s="83">
        <v>97</v>
      </c>
      <c r="E10" s="84">
        <v>271190</v>
      </c>
      <c r="F10" s="84">
        <v>2451340</v>
      </c>
      <c r="G10" s="84">
        <v>-2180150</v>
      </c>
      <c r="H10" s="83">
        <v>5406</v>
      </c>
      <c r="I10" s="82">
        <v>45.190529041805398</v>
      </c>
      <c r="J10" s="83">
        <v>2443</v>
      </c>
      <c r="K10" s="83">
        <v>2914</v>
      </c>
      <c r="L10" s="85">
        <v>17590</v>
      </c>
      <c r="M10" s="85">
        <v>-6560</v>
      </c>
      <c r="N10" s="85">
        <v>1003.413818359375</v>
      </c>
      <c r="O10" s="85">
        <v>-748.1640625</v>
      </c>
      <c r="P10" s="82">
        <v>1.3411681590351381</v>
      </c>
      <c r="Q10" s="86">
        <v>50.164631890492046</v>
      </c>
      <c r="R10" s="83">
        <v>11</v>
      </c>
      <c r="S10" s="83">
        <v>15</v>
      </c>
      <c r="T10" s="83">
        <v>47</v>
      </c>
      <c r="U10" s="83">
        <v>32</v>
      </c>
      <c r="V10" s="85">
        <v>-94315</v>
      </c>
      <c r="W10" s="82">
        <v>1.124390523587826</v>
      </c>
      <c r="X10" s="83">
        <v>1</v>
      </c>
      <c r="Y10" s="85">
        <v>94315</v>
      </c>
      <c r="Z10" s="82">
        <v>287.53644701267029</v>
      </c>
      <c r="AA10" s="87">
        <v>7024.5154005195354</v>
      </c>
      <c r="AB10" s="82">
        <v>2.913291237629827</v>
      </c>
      <c r="AC10" s="82">
        <v>2.6198155256980749</v>
      </c>
      <c r="AD10" s="88">
        <v>243980.64195540917</v>
      </c>
      <c r="AE10" s="82">
        <v>52.190662286403864</v>
      </c>
      <c r="AF10" s="11">
        <f>(Opti_Medias__30_ALL_Data[[#This Row],[All: TS Index]]-AA$114) /ABS(AA$114)</f>
        <v>-0.55795109060170556</v>
      </c>
      <c r="AG10" s="11">
        <f>(Opti_Medias__30_ALL_Data[[#This Row],[All: Expectancy Score]]-AB$114) /ABS(AB$114)</f>
        <v>-5.7908997426383883E-2</v>
      </c>
      <c r="AH10" s="11"/>
      <c r="AI10" s="11">
        <f>(Opti_Medias__30_ALL_Data[[#This Row],[All: Perfect Profit Correlation]]-AD$114) /ABS(AD$114)</f>
        <v>-0.20844739104588295</v>
      </c>
      <c r="AJ10" s="11">
        <f>(Opti_Medias__30_ALL_Data[[#This Row],[All: Robustness Index]]-AE$114) /ABS(AE$114)</f>
        <v>-0.63526946229409909</v>
      </c>
      <c r="AK10" s="11">
        <f>SUM(Opti_Medias__30_ALL_Data[[#This Row],[VAR TS Index]:[VAR Robustness Index]])</f>
        <v>-1.4595769413680715</v>
      </c>
      <c r="AL10" s="11">
        <f>Opti_Medias__30_ALL_Data[[#This Row],[SUMA]]-Opti_Medias__30_ALL_Data[[#This Row],[VAR Robustness Index]]</f>
        <v>-0.82430747907397239</v>
      </c>
    </row>
    <row r="11" spans="1:38" x14ac:dyDescent="0.25">
      <c r="A11" s="81" t="s">
        <v>60</v>
      </c>
      <c r="B11" s="30">
        <v>2</v>
      </c>
      <c r="C11" s="30">
        <v>8</v>
      </c>
      <c r="D11" s="30">
        <v>317</v>
      </c>
      <c r="E11" s="31">
        <v>327960</v>
      </c>
      <c r="F11" s="31">
        <v>2633160</v>
      </c>
      <c r="G11" s="31">
        <v>-2305200</v>
      </c>
      <c r="H11" s="30">
        <v>5719</v>
      </c>
      <c r="I11" s="32">
        <v>40.951215247420876</v>
      </c>
      <c r="J11" s="30">
        <v>2342</v>
      </c>
      <c r="K11" s="30">
        <v>3359</v>
      </c>
      <c r="L11" s="33">
        <v>19180</v>
      </c>
      <c r="M11" s="33">
        <v>-7200</v>
      </c>
      <c r="N11" s="33">
        <v>1124.321044921875</v>
      </c>
      <c r="O11" s="33">
        <v>-686.27569580078125</v>
      </c>
      <c r="P11" s="32">
        <v>1.638293548498698</v>
      </c>
      <c r="Q11" s="34">
        <v>57.345689805910126</v>
      </c>
      <c r="R11" s="30">
        <v>9</v>
      </c>
      <c r="S11" s="30">
        <v>15</v>
      </c>
      <c r="T11" s="30">
        <v>53</v>
      </c>
      <c r="U11" s="30">
        <v>26</v>
      </c>
      <c r="V11" s="33">
        <v>-48335</v>
      </c>
      <c r="W11" s="32">
        <v>1.142269651223321</v>
      </c>
      <c r="X11" s="30">
        <v>1</v>
      </c>
      <c r="Y11" s="33">
        <v>48335</v>
      </c>
      <c r="Z11" s="32">
        <v>678.51453398158685</v>
      </c>
      <c r="AA11" s="35">
        <v>15890.810385848763</v>
      </c>
      <c r="AB11" s="32">
        <v>0.97644587259665505</v>
      </c>
      <c r="AC11" s="32">
        <v>3.1332376125495789</v>
      </c>
      <c r="AD11" s="36">
        <v>304670.53740420414</v>
      </c>
      <c r="AE11" s="32">
        <v>29.491641608254941</v>
      </c>
      <c r="AF11" s="11">
        <f>(Opti_Medias__30_ALL_Data[[#This Row],[All: TS Index]]-AA$114) /ABS(AA$114)</f>
        <v>0</v>
      </c>
      <c r="AG11" s="11">
        <f>(Opti_Medias__30_ALL_Data[[#This Row],[All: Expectancy Score]]-AB$114) /ABS(AB$114)</f>
        <v>-0.684239989743745</v>
      </c>
      <c r="AH11" s="11"/>
      <c r="AI11" s="11">
        <f>(Opti_Medias__30_ALL_Data[[#This Row],[All: Perfect Profit Correlation]]-AD$114) /ABS(AD$114)</f>
        <v>-1.1549617949498985E-2</v>
      </c>
      <c r="AJ11" s="11">
        <f>(Opti_Medias__30_ALL_Data[[#This Row],[All: Robustness Index]]-AE$114) /ABS(AE$114)</f>
        <v>-0.79389986962455716</v>
      </c>
      <c r="AK11" s="11">
        <f>SUM(Opti_Medias__30_ALL_Data[[#This Row],[VAR TS Index]:[VAR Robustness Index]])</f>
        <v>-1.4896894773178011</v>
      </c>
      <c r="AL11" s="11">
        <f>Opti_Medias__30_ALL_Data[[#This Row],[SUMA]]-Opti_Medias__30_ALL_Data[[#This Row],[VAR Robustness Index]]</f>
        <v>-0.69578960769324394</v>
      </c>
    </row>
    <row r="12" spans="1:38" x14ac:dyDescent="0.25">
      <c r="A12" s="81" t="s">
        <v>62</v>
      </c>
      <c r="B12" s="89">
        <v>3</v>
      </c>
      <c r="C12" s="89">
        <v>8</v>
      </c>
      <c r="D12" s="89">
        <v>318</v>
      </c>
      <c r="E12" s="90">
        <v>297930</v>
      </c>
      <c r="F12" s="90">
        <v>2602250</v>
      </c>
      <c r="G12" s="90">
        <v>-2304320</v>
      </c>
      <c r="H12" s="89">
        <v>5743</v>
      </c>
      <c r="I12" s="81">
        <v>39.735329966916247</v>
      </c>
      <c r="J12" s="89">
        <v>2282</v>
      </c>
      <c r="K12" s="89">
        <v>3439</v>
      </c>
      <c r="L12" s="91">
        <v>18060</v>
      </c>
      <c r="M12" s="91">
        <v>-7100</v>
      </c>
      <c r="N12" s="91">
        <v>1140.33740234375</v>
      </c>
      <c r="O12" s="91">
        <v>-670.05523681640625</v>
      </c>
      <c r="P12" s="81">
        <v>1.701855816785744</v>
      </c>
      <c r="Q12" s="92">
        <v>51.877067734633464</v>
      </c>
      <c r="R12" s="89">
        <v>9</v>
      </c>
      <c r="S12" s="89">
        <v>16</v>
      </c>
      <c r="T12" s="89">
        <v>54</v>
      </c>
      <c r="U12" s="89">
        <v>25</v>
      </c>
      <c r="V12" s="91">
        <v>-53635</v>
      </c>
      <c r="W12" s="81">
        <v>1.1292919386196361</v>
      </c>
      <c r="X12" s="89">
        <v>1</v>
      </c>
      <c r="Y12" s="91">
        <v>53635</v>
      </c>
      <c r="Z12" s="81">
        <v>555.47683415680058</v>
      </c>
      <c r="AA12" s="93">
        <v>12675.981355458189</v>
      </c>
      <c r="AB12" s="81">
        <v>1.577117579203223</v>
      </c>
      <c r="AC12" s="81">
        <v>2.8274979949826049</v>
      </c>
      <c r="AD12" s="94">
        <v>276944.96981585037</v>
      </c>
      <c r="AE12" s="81">
        <v>34.565718802114304</v>
      </c>
      <c r="AF12" s="11">
        <f>(Opti_Medias__30_ALL_Data[[#This Row],[All: TS Index]]-AA$114) /ABS(AA$114)</f>
        <v>-0.20230743129711462</v>
      </c>
      <c r="AG12" s="11">
        <f>(Opti_Medias__30_ALL_Data[[#This Row],[All: Expectancy Score]]-AB$114) /ABS(AB$114)</f>
        <v>-0.48999665320902314</v>
      </c>
      <c r="AH12" s="11"/>
      <c r="AI12" s="11">
        <f>(Opti_Medias__30_ALL_Data[[#This Row],[All: Perfect Profit Correlation]]-AD$114) /ABS(AD$114)</f>
        <v>-0.10150038282741954</v>
      </c>
      <c r="AJ12" s="11">
        <f>(Opti_Medias__30_ALL_Data[[#This Row],[All: Robustness Index]]-AE$114) /ABS(AE$114)</f>
        <v>-0.7584400608732953</v>
      </c>
      <c r="AK12" s="11">
        <f>SUM(Opti_Medias__30_ALL_Data[[#This Row],[VAR TS Index]:[VAR Robustness Index]])</f>
        <v>-1.5522445282068527</v>
      </c>
      <c r="AL12" s="11">
        <f>Opti_Medias__30_ALL_Data[[#This Row],[SUMA]]-Opti_Medias__30_ALL_Data[[#This Row],[VAR Robustness Index]]</f>
        <v>-0.79380446733355736</v>
      </c>
    </row>
    <row r="13" spans="1:38" x14ac:dyDescent="0.25">
      <c r="A13" s="11"/>
      <c r="B13" s="17">
        <v>21</v>
      </c>
      <c r="C13" s="17">
        <v>8</v>
      </c>
      <c r="D13" s="17">
        <v>336</v>
      </c>
      <c r="E13" s="10">
        <v>248000</v>
      </c>
      <c r="F13" s="10">
        <v>2298540</v>
      </c>
      <c r="G13" s="10">
        <v>-2050540</v>
      </c>
      <c r="H13" s="17">
        <v>5055</v>
      </c>
      <c r="I13" s="11">
        <v>34.698318496538079</v>
      </c>
      <c r="J13" s="17">
        <v>1754</v>
      </c>
      <c r="K13" s="17">
        <v>3280</v>
      </c>
      <c r="L13" s="12">
        <v>17090</v>
      </c>
      <c r="M13" s="12">
        <v>-5240</v>
      </c>
      <c r="N13" s="12">
        <v>1310.4560546875</v>
      </c>
      <c r="O13" s="12">
        <v>-625.16461181640625</v>
      </c>
      <c r="P13" s="11">
        <v>2.0961775985367921</v>
      </c>
      <c r="Q13" s="13">
        <v>49.060336300692384</v>
      </c>
      <c r="R13" s="17">
        <v>11</v>
      </c>
      <c r="S13" s="17">
        <v>13</v>
      </c>
      <c r="T13" s="17">
        <v>73</v>
      </c>
      <c r="U13" s="17">
        <v>25</v>
      </c>
      <c r="V13" s="12">
        <v>-37865</v>
      </c>
      <c r="W13" s="11">
        <v>1.1209437514020699</v>
      </c>
      <c r="X13" s="17">
        <v>1</v>
      </c>
      <c r="Y13" s="12">
        <v>37865</v>
      </c>
      <c r="Z13" s="11">
        <v>654.95840485936878</v>
      </c>
      <c r="AA13" s="14">
        <v>11487.970421233329</v>
      </c>
      <c r="AB13" s="11">
        <v>1.6506790081197771</v>
      </c>
      <c r="AC13" s="11">
        <v>2.2892105365825328</v>
      </c>
      <c r="AD13" s="15">
        <v>231191.07209792378</v>
      </c>
      <c r="AE13" s="11">
        <v>61.860441680839493</v>
      </c>
      <c r="AF13" s="11">
        <f>(Opti_Medias__30_ALL_Data[[#This Row],[All: TS Index]]-AA$114) /ABS(AA$114)</f>
        <v>-0.27706830914905972</v>
      </c>
      <c r="AG13" s="11">
        <f>(Opti_Medias__30_ALL_Data[[#This Row],[All: Expectancy Score]]-AB$114) /ABS(AB$114)</f>
        <v>-0.46620858855431119</v>
      </c>
      <c r="AH13" s="11"/>
      <c r="AI13" s="11">
        <f>(Opti_Medias__30_ALL_Data[[#This Row],[All: Perfect Profit Correlation]]-AD$114) /ABS(AD$114)</f>
        <v>-0.24994091818376024</v>
      </c>
      <c r="AJ13" s="11">
        <f>(Opti_Medias__30_ALL_Data[[#This Row],[All: Robustness Index]]-AE$114) /ABS(AE$114)</f>
        <v>-0.56769293263299281</v>
      </c>
      <c r="AK13" s="11">
        <f>SUM(Opti_Medias__30_ALL_Data[[#This Row],[VAR TS Index]:[VAR Robustness Index]])</f>
        <v>-1.5609107485201239</v>
      </c>
      <c r="AL13" s="11">
        <f>Opti_Medias__30_ALL_Data[[#This Row],[SUMA]]-Opti_Medias__30_ALL_Data[[#This Row],[VAR Robustness Index]]</f>
        <v>-0.99321781588713109</v>
      </c>
    </row>
    <row r="14" spans="1:38" x14ac:dyDescent="0.25">
      <c r="A14" s="11"/>
      <c r="B14" s="17">
        <v>31</v>
      </c>
      <c r="C14" s="17">
        <v>11</v>
      </c>
      <c r="D14" s="17">
        <v>481</v>
      </c>
      <c r="E14" s="4">
        <v>260210</v>
      </c>
      <c r="F14" s="4">
        <v>2339250</v>
      </c>
      <c r="G14" s="4">
        <v>-2079040</v>
      </c>
      <c r="H14" s="17">
        <v>5277</v>
      </c>
      <c r="I14" s="5">
        <v>38.127724085654727</v>
      </c>
      <c r="J14" s="17">
        <v>2012</v>
      </c>
      <c r="K14" s="17">
        <v>3245</v>
      </c>
      <c r="L14" s="6">
        <v>18210</v>
      </c>
      <c r="M14" s="6">
        <v>-4670</v>
      </c>
      <c r="N14" s="6">
        <v>1162.6490478515625</v>
      </c>
      <c r="O14" s="6">
        <v>-640.6903076171875</v>
      </c>
      <c r="P14" s="5">
        <v>1.8146818112101759</v>
      </c>
      <c r="Q14" s="7">
        <v>49.310214136820164</v>
      </c>
      <c r="R14" s="17">
        <v>8</v>
      </c>
      <c r="S14" s="17">
        <v>13</v>
      </c>
      <c r="T14" s="17">
        <v>65</v>
      </c>
      <c r="U14" s="17">
        <v>24</v>
      </c>
      <c r="V14" s="6">
        <v>-45525</v>
      </c>
      <c r="W14" s="5">
        <v>1.125158727104818</v>
      </c>
      <c r="X14" s="17">
        <v>1</v>
      </c>
      <c r="Y14" s="6">
        <v>45525</v>
      </c>
      <c r="Z14" s="5">
        <v>571.57605711147721</v>
      </c>
      <c r="AA14" s="8">
        <v>11500.110269082921</v>
      </c>
      <c r="AB14" s="5">
        <v>1.1809664931879491</v>
      </c>
      <c r="AC14" s="5">
        <v>2.445558582642914</v>
      </c>
      <c r="AD14" s="9">
        <v>245931.52037795057</v>
      </c>
      <c r="AE14" s="5">
        <v>73.420919446251631</v>
      </c>
      <c r="AF14" s="11">
        <f>(Opti_Medias__30_ALL_Data[[#This Row],[All: TS Index]]-AA$114) /ABS(AA$114)</f>
        <v>-0.27630435516843688</v>
      </c>
      <c r="AG14" s="11">
        <f>(Opti_Medias__30_ALL_Data[[#This Row],[All: Expectancy Score]]-AB$114) /ABS(AB$114)</f>
        <v>-0.61810275155379069</v>
      </c>
      <c r="AH14" s="11"/>
      <c r="AI14" s="11">
        <f>(Opti_Medias__30_ALL_Data[[#This Row],[All: Perfect Profit Correlation]]-AD$114) /ABS(AD$114)</f>
        <v>-0.20211810650618095</v>
      </c>
      <c r="AJ14" s="11">
        <f>(Opti_Medias__30_ALL_Data[[#This Row],[All: Robustness Index]]-AE$114) /ABS(AE$114)</f>
        <v>-0.48690339889652778</v>
      </c>
      <c r="AK14" s="11">
        <f>SUM(Opti_Medias__30_ALL_Data[[#This Row],[VAR TS Index]:[VAR Robustness Index]])</f>
        <v>-1.5834286121249361</v>
      </c>
      <c r="AL14" s="11">
        <f>Opti_Medias__30_ALL_Data[[#This Row],[SUMA]]-Opti_Medias__30_ALL_Data[[#This Row],[VAR Robustness Index]]</f>
        <v>-1.0965252132284085</v>
      </c>
    </row>
    <row r="15" spans="1:38" x14ac:dyDescent="0.25">
      <c r="A15" s="11"/>
      <c r="B15" s="17">
        <v>36</v>
      </c>
      <c r="C15" s="17">
        <v>11</v>
      </c>
      <c r="D15" s="17">
        <v>486</v>
      </c>
      <c r="E15" s="10">
        <v>197660</v>
      </c>
      <c r="F15" s="10">
        <v>2314720</v>
      </c>
      <c r="G15" s="10">
        <v>-2117060</v>
      </c>
      <c r="H15" s="17">
        <v>5311</v>
      </c>
      <c r="I15" s="11">
        <v>35.266428167953308</v>
      </c>
      <c r="J15" s="17">
        <v>1873</v>
      </c>
      <c r="K15" s="17">
        <v>3407</v>
      </c>
      <c r="L15" s="12">
        <v>18560</v>
      </c>
      <c r="M15" s="12">
        <v>-5640</v>
      </c>
      <c r="N15" s="12">
        <v>1235.8355712890625</v>
      </c>
      <c r="O15" s="12">
        <v>-621.3853759765625</v>
      </c>
      <c r="P15" s="11">
        <v>1.988839163372387</v>
      </c>
      <c r="Q15" s="13">
        <v>37.217096591978908</v>
      </c>
      <c r="R15" s="17">
        <v>9</v>
      </c>
      <c r="S15" s="17">
        <v>15</v>
      </c>
      <c r="T15" s="17">
        <v>69</v>
      </c>
      <c r="U15" s="17">
        <v>23</v>
      </c>
      <c r="V15" s="12">
        <v>-69185</v>
      </c>
      <c r="W15" s="11">
        <v>1.093365327387982</v>
      </c>
      <c r="X15" s="17">
        <v>1</v>
      </c>
      <c r="Y15" s="12">
        <v>69185</v>
      </c>
      <c r="Z15" s="11">
        <v>285.69776685697769</v>
      </c>
      <c r="AA15" s="14">
        <v>5351.1191732311918</v>
      </c>
      <c r="AB15" s="11">
        <v>1.728541463406974</v>
      </c>
      <c r="AC15" s="11">
        <v>1.8044526054953971</v>
      </c>
      <c r="AD15" s="15">
        <v>177940.21511145803</v>
      </c>
      <c r="AE15" s="11">
        <v>131.17230201142601</v>
      </c>
      <c r="AF15" s="11">
        <f>(Opti_Medias__30_ALL_Data[[#This Row],[All: TS Index]]-AA$114) /ABS(AA$114)</f>
        <v>-0.66325699927824178</v>
      </c>
      <c r="AG15" s="11">
        <f>(Opti_Medias__30_ALL_Data[[#This Row],[All: Expectancy Score]]-AB$114) /ABS(AB$114)</f>
        <v>-0.44102967145296529</v>
      </c>
      <c r="AH15" s="11"/>
      <c r="AI15" s="11">
        <f>(Opti_Medias__30_ALL_Data[[#This Row],[All: Perfect Profit Correlation]]-AD$114) /ABS(AD$114)</f>
        <v>-0.42270402938330853</v>
      </c>
      <c r="AJ15" s="11">
        <f>(Opti_Medias__30_ALL_Data[[#This Row],[All: Robustness Index]]-AE$114) /ABS(AE$114)</f>
        <v>-8.3312183658346611E-2</v>
      </c>
      <c r="AK15" s="11">
        <f>SUM(Opti_Medias__30_ALL_Data[[#This Row],[VAR TS Index]:[VAR Robustness Index]])</f>
        <v>-1.6103028837728623</v>
      </c>
      <c r="AL15" s="11">
        <f>Opti_Medias__30_ALL_Data[[#This Row],[SUMA]]-Opti_Medias__30_ALL_Data[[#This Row],[VAR Robustness Index]]</f>
        <v>-1.5269907001145158</v>
      </c>
    </row>
    <row r="16" spans="1:38" x14ac:dyDescent="0.25">
      <c r="A16" s="11"/>
      <c r="B16" s="17">
        <v>6</v>
      </c>
      <c r="C16" s="17">
        <v>3</v>
      </c>
      <c r="D16" s="17">
        <v>96</v>
      </c>
      <c r="E16" s="10">
        <v>275180</v>
      </c>
      <c r="F16" s="10">
        <v>2486500</v>
      </c>
      <c r="G16" s="10">
        <v>-2211320</v>
      </c>
      <c r="H16" s="17">
        <v>5688</v>
      </c>
      <c r="I16" s="11">
        <v>45.710267229254569</v>
      </c>
      <c r="J16" s="17">
        <v>2600</v>
      </c>
      <c r="K16" s="17">
        <v>3049</v>
      </c>
      <c r="L16" s="12">
        <v>17590</v>
      </c>
      <c r="M16" s="12">
        <v>-6640</v>
      </c>
      <c r="N16" s="12">
        <v>956.34613037109375</v>
      </c>
      <c r="O16" s="12">
        <v>-725.2607421875</v>
      </c>
      <c r="P16" s="11">
        <v>1.3186238751688171</v>
      </c>
      <c r="Q16" s="13">
        <v>48.379043600562589</v>
      </c>
      <c r="R16" s="17">
        <v>9</v>
      </c>
      <c r="S16" s="17">
        <v>15</v>
      </c>
      <c r="T16" s="17">
        <v>44</v>
      </c>
      <c r="U16" s="17">
        <v>32</v>
      </c>
      <c r="V16" s="12">
        <v>-95755</v>
      </c>
      <c r="W16" s="11">
        <v>1.124441510048297</v>
      </c>
      <c r="X16" s="17">
        <v>1</v>
      </c>
      <c r="Y16" s="12">
        <v>95755</v>
      </c>
      <c r="Z16" s="11">
        <v>287.37924912537204</v>
      </c>
      <c r="AA16" s="14">
        <v>7471.8604772596727</v>
      </c>
      <c r="AB16" s="11">
        <v>2.2818095522851598</v>
      </c>
      <c r="AC16" s="11">
        <v>2.6646298984956509</v>
      </c>
      <c r="AD16" s="15">
        <v>250086.23602635416</v>
      </c>
      <c r="AE16" s="11">
        <v>52.789530231736094</v>
      </c>
      <c r="AF16" s="11">
        <f>(Opti_Medias__30_ALL_Data[[#This Row],[All: TS Index]]-AA$114) /ABS(AA$114)</f>
        <v>-0.52979990976963731</v>
      </c>
      <c r="AG16" s="11">
        <f>(Opti_Medias__30_ALL_Data[[#This Row],[All: Expectancy Score]]-AB$114) /ABS(AB$114)</f>
        <v>-0.26211556845813533</v>
      </c>
      <c r="AH16" s="11"/>
      <c r="AI16" s="11">
        <f>(Opti_Medias__30_ALL_Data[[#This Row],[All: Perfect Profit Correlation]]-AD$114) /ABS(AD$114)</f>
        <v>-0.18863885674030234</v>
      </c>
      <c r="AJ16" s="11">
        <f>(Opti_Medias__30_ALL_Data[[#This Row],[All: Robustness Index]]-AE$114) /ABS(AE$114)</f>
        <v>-0.63108431847436341</v>
      </c>
      <c r="AK16" s="11">
        <f>SUM(Opti_Medias__30_ALL_Data[[#This Row],[VAR TS Index]:[VAR Robustness Index]])</f>
        <v>-1.6116386534424385</v>
      </c>
      <c r="AL16" s="11">
        <f>Opti_Medias__30_ALL_Data[[#This Row],[SUMA]]-Opti_Medias__30_ALL_Data[[#This Row],[VAR Robustness Index]]</f>
        <v>-0.98055433496807509</v>
      </c>
    </row>
    <row r="17" spans="1:38" x14ac:dyDescent="0.25">
      <c r="A17" s="11"/>
      <c r="B17" s="17">
        <v>30</v>
      </c>
      <c r="C17" s="17">
        <v>11</v>
      </c>
      <c r="D17" s="17">
        <v>480</v>
      </c>
      <c r="E17" s="10">
        <v>248700</v>
      </c>
      <c r="F17" s="10">
        <v>2347810</v>
      </c>
      <c r="G17" s="10">
        <v>-2099110</v>
      </c>
      <c r="H17" s="17">
        <v>5225</v>
      </c>
      <c r="I17" s="11">
        <v>38.296650717703351</v>
      </c>
      <c r="J17" s="17">
        <v>2001</v>
      </c>
      <c r="K17" s="17">
        <v>3200</v>
      </c>
      <c r="L17" s="12">
        <v>17140</v>
      </c>
      <c r="M17" s="12">
        <v>-5410</v>
      </c>
      <c r="N17" s="12">
        <v>1173.318359375</v>
      </c>
      <c r="O17" s="12">
        <v>-655.97186279296875</v>
      </c>
      <c r="P17" s="11">
        <v>1.788671779882899</v>
      </c>
      <c r="Q17" s="13">
        <v>47.598086124401917</v>
      </c>
      <c r="R17" s="17">
        <v>7</v>
      </c>
      <c r="S17" s="17">
        <v>14</v>
      </c>
      <c r="T17" s="17">
        <v>65</v>
      </c>
      <c r="U17" s="17">
        <v>25</v>
      </c>
      <c r="V17" s="12">
        <v>-41715</v>
      </c>
      <c r="W17" s="11">
        <v>1.118478783865543</v>
      </c>
      <c r="X17" s="17">
        <v>1</v>
      </c>
      <c r="Y17" s="12">
        <v>41715</v>
      </c>
      <c r="Z17" s="11">
        <v>596.18842143113989</v>
      </c>
      <c r="AA17" s="14">
        <v>11929.73031283711</v>
      </c>
      <c r="AB17" s="11">
        <v>0.82855472222906001</v>
      </c>
      <c r="AC17" s="11">
        <v>2.333218650410736</v>
      </c>
      <c r="AD17" s="15">
        <v>237168.56885210803</v>
      </c>
      <c r="AE17" s="11">
        <v>85.26893145249845</v>
      </c>
      <c r="AF17" s="11">
        <f>(Opti_Medias__30_ALL_Data[[#This Row],[All: TS Index]]-AA$114) /ABS(AA$114)</f>
        <v>-0.24926860096066042</v>
      </c>
      <c r="AG17" s="11">
        <f>(Opti_Medias__30_ALL_Data[[#This Row],[All: Expectancy Score]]-AB$114) /ABS(AB$114)</f>
        <v>-0.7320645670884135</v>
      </c>
      <c r="AH17" s="11"/>
      <c r="AI17" s="11">
        <f>(Opti_Medias__30_ALL_Data[[#This Row],[All: Perfect Profit Correlation]]-AD$114) /ABS(AD$114)</f>
        <v>-0.23054797326457252</v>
      </c>
      <c r="AJ17" s="11">
        <f>(Opti_Medias__30_ALL_Data[[#This Row],[All: Robustness Index]]-AE$114) /ABS(AE$114)</f>
        <v>-0.40410445363558367</v>
      </c>
      <c r="AK17" s="11">
        <f>SUM(Opti_Medias__30_ALL_Data[[#This Row],[VAR TS Index]:[VAR Robustness Index]])</f>
        <v>-1.6159855949492301</v>
      </c>
      <c r="AL17" s="11">
        <f>Opti_Medias__30_ALL_Data[[#This Row],[SUMA]]-Opti_Medias__30_ALL_Data[[#This Row],[VAR Robustness Index]]</f>
        <v>-1.2118811413136465</v>
      </c>
    </row>
    <row r="18" spans="1:38" x14ac:dyDescent="0.25">
      <c r="A18" s="11"/>
      <c r="B18" s="17">
        <v>21</v>
      </c>
      <c r="C18" s="17">
        <v>11</v>
      </c>
      <c r="D18" s="17">
        <v>471</v>
      </c>
      <c r="E18" s="10">
        <v>236320</v>
      </c>
      <c r="F18" s="10">
        <v>2358390</v>
      </c>
      <c r="G18" s="10">
        <v>-2122070</v>
      </c>
      <c r="H18" s="17">
        <v>5267</v>
      </c>
      <c r="I18" s="11">
        <v>42.282134042149231</v>
      </c>
      <c r="J18" s="17">
        <v>2227</v>
      </c>
      <c r="K18" s="17">
        <v>3020</v>
      </c>
      <c r="L18" s="12">
        <v>16700</v>
      </c>
      <c r="M18" s="12">
        <v>-6220</v>
      </c>
      <c r="N18" s="12">
        <v>1058.9986572265625</v>
      </c>
      <c r="O18" s="12">
        <v>-702.67218017578125</v>
      </c>
      <c r="P18" s="11">
        <v>1.507102013006467</v>
      </c>
      <c r="Q18" s="13">
        <v>44.86804632618189</v>
      </c>
      <c r="R18" s="17">
        <v>9</v>
      </c>
      <c r="S18" s="17">
        <v>14</v>
      </c>
      <c r="T18" s="17">
        <v>58</v>
      </c>
      <c r="U18" s="17">
        <v>27</v>
      </c>
      <c r="V18" s="12">
        <v>-53715</v>
      </c>
      <c r="W18" s="11">
        <v>1.111362961636515</v>
      </c>
      <c r="X18" s="17">
        <v>1</v>
      </c>
      <c r="Y18" s="12">
        <v>53715</v>
      </c>
      <c r="Z18" s="11">
        <v>439.95159638834588</v>
      </c>
      <c r="AA18" s="14">
        <v>9797.7220515684639</v>
      </c>
      <c r="AB18" s="11">
        <v>0.75295699859956899</v>
      </c>
      <c r="AC18" s="11">
        <v>2.2495970510958019</v>
      </c>
      <c r="AD18" s="15">
        <v>223596.87971694791</v>
      </c>
      <c r="AE18" s="11">
        <v>111.38773267765994</v>
      </c>
      <c r="AF18" s="11">
        <f>(Opti_Medias__30_ALL_Data[[#This Row],[All: TS Index]]-AA$114) /ABS(AA$114)</f>
        <v>-0.38343471392159928</v>
      </c>
      <c r="AG18" s="11">
        <f>(Opti_Medias__30_ALL_Data[[#This Row],[All: Expectancy Score]]-AB$114) /ABS(AB$114)</f>
        <v>-0.75651112235431717</v>
      </c>
      <c r="AH18" s="11"/>
      <c r="AI18" s="11">
        <f>(Opti_Medias__30_ALL_Data[[#This Row],[All: Perfect Profit Correlation]]-AD$114) /ABS(AD$114)</f>
        <v>-0.27457894988940501</v>
      </c>
      <c r="AJ18" s="11">
        <f>(Opti_Medias__30_ALL_Data[[#This Row],[All: Robustness Index]]-AE$114) /ABS(AE$114)</f>
        <v>-0.2215751658712399</v>
      </c>
      <c r="AK18" s="11">
        <f>SUM(Opti_Medias__30_ALL_Data[[#This Row],[VAR TS Index]:[VAR Robustness Index]])</f>
        <v>-1.6360999520365613</v>
      </c>
      <c r="AL18" s="11">
        <f>Opti_Medias__30_ALL_Data[[#This Row],[SUMA]]-Opti_Medias__30_ALL_Data[[#This Row],[VAR Robustness Index]]</f>
        <v>-1.4145247861653214</v>
      </c>
    </row>
    <row r="19" spans="1:38" x14ac:dyDescent="0.25">
      <c r="A19" s="81" t="s">
        <v>67</v>
      </c>
      <c r="B19" s="89">
        <v>35</v>
      </c>
      <c r="C19" s="89">
        <v>1</v>
      </c>
      <c r="D19" s="89">
        <v>35</v>
      </c>
      <c r="E19" s="90">
        <v>233450</v>
      </c>
      <c r="F19" s="90">
        <v>2349460</v>
      </c>
      <c r="G19" s="90">
        <v>-2116010</v>
      </c>
      <c r="H19" s="89">
        <v>5622</v>
      </c>
      <c r="I19" s="81">
        <v>33.5823550337958</v>
      </c>
      <c r="J19" s="89">
        <v>1888</v>
      </c>
      <c r="K19" s="89">
        <v>3709</v>
      </c>
      <c r="L19" s="91">
        <v>18070</v>
      </c>
      <c r="M19" s="91">
        <v>-5370</v>
      </c>
      <c r="N19" s="91">
        <v>1244.4173583984375</v>
      </c>
      <c r="O19" s="91">
        <v>-570.50689697265625</v>
      </c>
      <c r="P19" s="81">
        <v>2.1812485791176699</v>
      </c>
      <c r="Q19" s="92">
        <v>41.524368552116684</v>
      </c>
      <c r="R19" s="89">
        <v>7</v>
      </c>
      <c r="S19" s="89">
        <v>17</v>
      </c>
      <c r="T19" s="89">
        <v>68</v>
      </c>
      <c r="U19" s="89">
        <v>22</v>
      </c>
      <c r="V19" s="91">
        <v>-39525</v>
      </c>
      <c r="W19" s="81">
        <v>1.1103255655691611</v>
      </c>
      <c r="X19" s="89">
        <v>1</v>
      </c>
      <c r="Y19" s="91">
        <v>39525</v>
      </c>
      <c r="Z19" s="81">
        <v>590.63883617963313</v>
      </c>
      <c r="AA19" s="93">
        <v>11151.261227071474</v>
      </c>
      <c r="AB19" s="81">
        <v>2.1664296247107631</v>
      </c>
      <c r="AC19" s="81">
        <v>2.1412342759543308</v>
      </c>
      <c r="AD19" s="94">
        <v>215905.32961301311</v>
      </c>
      <c r="AE19" s="81">
        <v>36.91756168196919</v>
      </c>
      <c r="AF19" s="11">
        <f>(Opti_Medias__30_ALL_Data[[#This Row],[All: TS Index]]-AA$114) /ABS(AA$114)</f>
        <v>-0.29825723444526137</v>
      </c>
      <c r="AG19" s="11">
        <f>(Opti_Medias__30_ALL_Data[[#This Row],[All: Expectancy Score]]-AB$114) /ABS(AB$114)</f>
        <v>-0.29942676832769199</v>
      </c>
      <c r="AH19" s="11"/>
      <c r="AI19" s="11">
        <f>(Opti_Medias__30_ALL_Data[[#This Row],[All: Perfect Profit Correlation]]-AD$114) /ABS(AD$114)</f>
        <v>-0.29953284173457695</v>
      </c>
      <c r="AJ19" s="11">
        <f>(Opti_Medias__30_ALL_Data[[#This Row],[All: Robustness Index]]-AE$114) /ABS(AE$114)</f>
        <v>-0.74200438290733994</v>
      </c>
      <c r="AK19" s="11">
        <f>SUM(Opti_Medias__30_ALL_Data[[#This Row],[VAR TS Index]:[VAR Robustness Index]])</f>
        <v>-1.6392212274148701</v>
      </c>
      <c r="AL19" s="11">
        <f>Opti_Medias__30_ALL_Data[[#This Row],[SUMA]]-Opti_Medias__30_ALL_Data[[#This Row],[VAR Robustness Index]]</f>
        <v>-0.89721684450753014</v>
      </c>
    </row>
    <row r="20" spans="1:38" x14ac:dyDescent="0.25">
      <c r="A20" s="81" t="s">
        <v>68</v>
      </c>
      <c r="B20" s="37">
        <v>5</v>
      </c>
      <c r="C20" s="37">
        <v>3</v>
      </c>
      <c r="D20" s="37">
        <v>95</v>
      </c>
      <c r="E20" s="38">
        <v>217880</v>
      </c>
      <c r="F20" s="38">
        <v>2514520</v>
      </c>
      <c r="G20" s="38">
        <v>-2296640</v>
      </c>
      <c r="H20" s="37">
        <v>6103</v>
      </c>
      <c r="I20" s="39">
        <v>45.305587416024906</v>
      </c>
      <c r="J20" s="37">
        <v>2765</v>
      </c>
      <c r="K20" s="37">
        <v>3280</v>
      </c>
      <c r="L20" s="40">
        <v>17700</v>
      </c>
      <c r="M20" s="40">
        <v>-6730</v>
      </c>
      <c r="N20" s="40">
        <v>909.41046142578125</v>
      </c>
      <c r="O20" s="40">
        <v>-700.19512939453125</v>
      </c>
      <c r="P20" s="39">
        <v>1.298795754566533</v>
      </c>
      <c r="Q20" s="41">
        <v>35.700475176142881</v>
      </c>
      <c r="R20" s="37">
        <v>10</v>
      </c>
      <c r="S20" s="37">
        <v>11</v>
      </c>
      <c r="T20" s="37">
        <v>41</v>
      </c>
      <c r="U20" s="37">
        <v>30</v>
      </c>
      <c r="V20" s="40">
        <v>-78885</v>
      </c>
      <c r="W20" s="39">
        <v>1.094869026055455</v>
      </c>
      <c r="X20" s="37">
        <v>1</v>
      </c>
      <c r="Y20" s="40">
        <v>78885</v>
      </c>
      <c r="Z20" s="39">
        <v>276.19953096279392</v>
      </c>
      <c r="AA20" s="42">
        <v>7636.9170311212529</v>
      </c>
      <c r="AB20" s="39">
        <v>3.0923671170526639</v>
      </c>
      <c r="AC20" s="39">
        <v>2.101612990725557</v>
      </c>
      <c r="AD20" s="43">
        <v>189436.82348030884</v>
      </c>
      <c r="AE20" s="39">
        <v>37.705560198785172</v>
      </c>
      <c r="AF20" s="11">
        <f>(Opti_Medias__30_ALL_Data[[#This Row],[All: TS Index]]-AA$114) /ABS(AA$114)</f>
        <v>-0.51941299117619866</v>
      </c>
      <c r="AG20" s="11">
        <f>(Opti_Medias__30_ALL_Data[[#This Row],[All: Expectancy Score]]-AB$114) /ABS(AB$114)</f>
        <v>0</v>
      </c>
      <c r="AH20" s="11"/>
      <c r="AI20" s="11">
        <f>(Opti_Medias__30_ALL_Data[[#This Row],[All: Perfect Profit Correlation]]-AD$114) /ABS(AD$114)</f>
        <v>-0.38540529012451613</v>
      </c>
      <c r="AJ20" s="11">
        <f>(Opti_Medias__30_ALL_Data[[#This Row],[All: Robustness Index]]-AE$114) /ABS(AE$114)</f>
        <v>-0.7364975142423561</v>
      </c>
      <c r="AK20" s="11">
        <f>SUM(Opti_Medias__30_ALL_Data[[#This Row],[VAR TS Index]:[VAR Robustness Index]])</f>
        <v>-1.6413157955430711</v>
      </c>
      <c r="AL20" s="11">
        <f>Opti_Medias__30_ALL_Data[[#This Row],[SUMA]]-Opti_Medias__30_ALL_Data[[#This Row],[VAR Robustness Index]]</f>
        <v>-0.90481828130071495</v>
      </c>
    </row>
    <row r="21" spans="1:38" x14ac:dyDescent="0.25">
      <c r="A21" s="11"/>
      <c r="B21" s="17">
        <v>37</v>
      </c>
      <c r="C21" s="17">
        <v>11</v>
      </c>
      <c r="D21" s="17">
        <v>487</v>
      </c>
      <c r="E21" s="10">
        <v>202460</v>
      </c>
      <c r="F21" s="10">
        <v>2316790</v>
      </c>
      <c r="G21" s="10">
        <v>-2114330</v>
      </c>
      <c r="H21" s="17">
        <v>5283</v>
      </c>
      <c r="I21" s="11">
        <v>35.074768124171875</v>
      </c>
      <c r="J21" s="17">
        <v>1853</v>
      </c>
      <c r="K21" s="17">
        <v>3402</v>
      </c>
      <c r="L21" s="12">
        <v>18310</v>
      </c>
      <c r="M21" s="12">
        <v>-4830</v>
      </c>
      <c r="N21" s="12">
        <v>1250.2913818359375</v>
      </c>
      <c r="O21" s="12">
        <v>-621.49615478515625</v>
      </c>
      <c r="P21" s="11">
        <v>2.01174435627546</v>
      </c>
      <c r="Q21" s="13">
        <v>38.322922581866365</v>
      </c>
      <c r="R21" s="17">
        <v>7</v>
      </c>
      <c r="S21" s="17">
        <v>15</v>
      </c>
      <c r="T21" s="17">
        <v>71</v>
      </c>
      <c r="U21" s="17">
        <v>23</v>
      </c>
      <c r="V21" s="12">
        <v>-46795</v>
      </c>
      <c r="W21" s="11">
        <v>1.095756102405963</v>
      </c>
      <c r="X21" s="17">
        <v>1</v>
      </c>
      <c r="Y21" s="12">
        <v>46795</v>
      </c>
      <c r="Z21" s="11">
        <v>432.65306122448982</v>
      </c>
      <c r="AA21" s="14">
        <v>8017.0612244897957</v>
      </c>
      <c r="AB21" s="11">
        <v>1.570728689452245</v>
      </c>
      <c r="AC21" s="11">
        <v>1.8488914751102521</v>
      </c>
      <c r="AD21" s="15">
        <v>188322.03206586599</v>
      </c>
      <c r="AE21" s="11">
        <v>91.703493886163329</v>
      </c>
      <c r="AF21" s="11">
        <f>(Opti_Medias__30_ALL_Data[[#This Row],[All: TS Index]]-AA$114) /ABS(AA$114)</f>
        <v>-0.49549072515337378</v>
      </c>
      <c r="AG21" s="11">
        <f>(Opti_Medias__30_ALL_Data[[#This Row],[All: Expectancy Score]]-AB$114) /ABS(AB$114)</f>
        <v>-0.49206267238111528</v>
      </c>
      <c r="AH21" s="11"/>
      <c r="AI21" s="11">
        <f>(Opti_Medias__30_ALL_Data[[#This Row],[All: Perfect Profit Correlation]]-AD$114) /ABS(AD$114)</f>
        <v>-0.38902203629531751</v>
      </c>
      <c r="AJ21" s="11">
        <f>(Opti_Medias__30_ALL_Data[[#This Row],[All: Robustness Index]]-AE$114) /ABS(AE$114)</f>
        <v>-0.35913699559770845</v>
      </c>
      <c r="AK21" s="11">
        <f>SUM(Opti_Medias__30_ALL_Data[[#This Row],[VAR TS Index]:[VAR Robustness Index]])</f>
        <v>-1.735712429427515</v>
      </c>
      <c r="AL21" s="11">
        <f>Opti_Medias__30_ALL_Data[[#This Row],[SUMA]]-Opti_Medias__30_ALL_Data[[#This Row],[VAR Robustness Index]]</f>
        <v>-1.3765754338298066</v>
      </c>
    </row>
    <row r="22" spans="1:38" x14ac:dyDescent="0.25">
      <c r="A22" s="11"/>
      <c r="B22" s="17">
        <v>18</v>
      </c>
      <c r="C22" s="17">
        <v>8</v>
      </c>
      <c r="D22" s="17">
        <v>333</v>
      </c>
      <c r="E22" s="10">
        <v>267480</v>
      </c>
      <c r="F22" s="10">
        <v>2348660</v>
      </c>
      <c r="G22" s="10">
        <v>-2081180</v>
      </c>
      <c r="H22" s="17">
        <v>5135</v>
      </c>
      <c r="I22" s="11">
        <v>35.014605647517037</v>
      </c>
      <c r="J22" s="17">
        <v>1798</v>
      </c>
      <c r="K22" s="17">
        <v>3319</v>
      </c>
      <c r="L22" s="12">
        <v>16840</v>
      </c>
      <c r="M22" s="12">
        <v>-5940</v>
      </c>
      <c r="N22" s="12">
        <v>1306.2625732421875</v>
      </c>
      <c r="O22" s="12">
        <v>-627.05029296875</v>
      </c>
      <c r="P22" s="11">
        <v>2.0831862896638289</v>
      </c>
      <c r="Q22" s="13">
        <v>52.08958130477118</v>
      </c>
      <c r="R22" s="17">
        <v>8</v>
      </c>
      <c r="S22" s="17">
        <v>15</v>
      </c>
      <c r="T22" s="17">
        <v>71</v>
      </c>
      <c r="U22" s="17">
        <v>25</v>
      </c>
      <c r="V22" s="12">
        <v>-37995</v>
      </c>
      <c r="W22" s="11">
        <v>1.128523241622541</v>
      </c>
      <c r="X22" s="17">
        <v>1</v>
      </c>
      <c r="Y22" s="12">
        <v>37995</v>
      </c>
      <c r="Z22" s="11">
        <v>703.98736675878411</v>
      </c>
      <c r="AA22" s="14">
        <v>12657.692854322937</v>
      </c>
      <c r="AB22" s="11">
        <v>0.99199475512678703</v>
      </c>
      <c r="AC22" s="11">
        <v>2.4821561965621211</v>
      </c>
      <c r="AD22" s="15">
        <v>249130.27375626247</v>
      </c>
      <c r="AE22" s="11">
        <v>46.730140633997074</v>
      </c>
      <c r="AF22" s="11">
        <f>(Opti_Medias__30_ALL_Data[[#This Row],[All: TS Index]]-AA$114) /ABS(AA$114)</f>
        <v>-0.20345831666363678</v>
      </c>
      <c r="AG22" s="11">
        <f>(Opti_Medias__30_ALL_Data[[#This Row],[All: Expectancy Score]]-AB$114) /ABS(AB$114)</f>
        <v>-0.67921184077514785</v>
      </c>
      <c r="AH22" s="11"/>
      <c r="AI22" s="11">
        <f>(Opti_Medias__30_ALL_Data[[#This Row],[All: Perfect Profit Correlation]]-AD$114) /ABS(AD$114)</f>
        <v>-0.19174030947396259</v>
      </c>
      <c r="AJ22" s="11">
        <f>(Opti_Medias__30_ALL_Data[[#This Row],[All: Robustness Index]]-AE$114) /ABS(AE$114)</f>
        <v>-0.67342990922438983</v>
      </c>
      <c r="AK22" s="11">
        <f>SUM(Opti_Medias__30_ALL_Data[[#This Row],[VAR TS Index]:[VAR Robustness Index]])</f>
        <v>-1.7478403761371371</v>
      </c>
      <c r="AL22" s="11">
        <f>Opti_Medias__30_ALL_Data[[#This Row],[SUMA]]-Opti_Medias__30_ALL_Data[[#This Row],[VAR Robustness Index]]</f>
        <v>-1.0744104669127472</v>
      </c>
    </row>
    <row r="23" spans="1:38" x14ac:dyDescent="0.25">
      <c r="A23" s="11"/>
      <c r="B23" s="17">
        <v>34</v>
      </c>
      <c r="C23" s="17">
        <v>1</v>
      </c>
      <c r="D23" s="17">
        <v>34</v>
      </c>
      <c r="E23" s="10">
        <v>220010</v>
      </c>
      <c r="F23" s="10">
        <v>2330090</v>
      </c>
      <c r="G23" s="10">
        <v>-2110080</v>
      </c>
      <c r="H23" s="17">
        <v>5484</v>
      </c>
      <c r="I23" s="11">
        <v>33.770970094821301</v>
      </c>
      <c r="J23" s="17">
        <v>1852</v>
      </c>
      <c r="K23" s="17">
        <v>3600</v>
      </c>
      <c r="L23" s="12">
        <v>17480</v>
      </c>
      <c r="M23" s="12">
        <v>-5370</v>
      </c>
      <c r="N23" s="12">
        <v>1258.14794921875</v>
      </c>
      <c r="O23" s="12">
        <v>-586.13336181640625</v>
      </c>
      <c r="P23" s="11">
        <v>2.1465216470869271</v>
      </c>
      <c r="Q23" s="13">
        <v>40.118526622902991</v>
      </c>
      <c r="R23" s="17">
        <v>8</v>
      </c>
      <c r="S23" s="17">
        <v>15</v>
      </c>
      <c r="T23" s="17">
        <v>69</v>
      </c>
      <c r="U23" s="17">
        <v>23</v>
      </c>
      <c r="V23" s="12">
        <v>-44115</v>
      </c>
      <c r="W23" s="11">
        <v>1.1042661889596601</v>
      </c>
      <c r="X23" s="17">
        <v>1</v>
      </c>
      <c r="Y23" s="12">
        <v>44115</v>
      </c>
      <c r="Z23" s="11">
        <v>498.71925648872264</v>
      </c>
      <c r="AA23" s="14">
        <v>9236.2806301711444</v>
      </c>
      <c r="AB23" s="11">
        <v>1.568959025000664</v>
      </c>
      <c r="AC23" s="11">
        <v>2.010337671350138</v>
      </c>
      <c r="AD23" s="15">
        <v>203062.11333583231</v>
      </c>
      <c r="AE23" s="11">
        <v>68.677664463737315</v>
      </c>
      <c r="AF23" s="11">
        <f>(Opti_Medias__30_ALL_Data[[#This Row],[All: TS Index]]-AA$114) /ABS(AA$114)</f>
        <v>-0.41876591527413065</v>
      </c>
      <c r="AG23" s="11">
        <f>(Opti_Medias__30_ALL_Data[[#This Row],[All: Expectancy Score]]-AB$114) /ABS(AB$114)</f>
        <v>-0.49263494093287369</v>
      </c>
      <c r="AH23" s="11"/>
      <c r="AI23" s="11">
        <f>(Opti_Medias__30_ALL_Data[[#This Row],[All: Perfect Profit Correlation]]-AD$114) /ABS(AD$114)</f>
        <v>-0.34120041531782225</v>
      </c>
      <c r="AJ23" s="11">
        <f>(Opti_Medias__30_ALL_Data[[#This Row],[All: Robustness Index]]-AE$114) /ABS(AE$114)</f>
        <v>-0.52005128138084955</v>
      </c>
      <c r="AK23" s="11">
        <f>SUM(Opti_Medias__30_ALL_Data[[#This Row],[VAR TS Index]:[VAR Robustness Index]])</f>
        <v>-1.7726525529056762</v>
      </c>
      <c r="AL23" s="11">
        <f>Opti_Medias__30_ALL_Data[[#This Row],[SUMA]]-Opti_Medias__30_ALL_Data[[#This Row],[VAR Robustness Index]]</f>
        <v>-1.2526012715248267</v>
      </c>
    </row>
    <row r="24" spans="1:38" x14ac:dyDescent="0.25">
      <c r="A24" s="81" t="s">
        <v>65</v>
      </c>
      <c r="B24" s="89">
        <v>5</v>
      </c>
      <c r="C24" s="89">
        <v>8</v>
      </c>
      <c r="D24" s="89">
        <v>320</v>
      </c>
      <c r="E24" s="90">
        <v>309150</v>
      </c>
      <c r="F24" s="90">
        <v>2572380</v>
      </c>
      <c r="G24" s="90">
        <v>-2263230</v>
      </c>
      <c r="H24" s="89">
        <v>5703</v>
      </c>
      <c r="I24" s="81">
        <v>38.821672803787479</v>
      </c>
      <c r="J24" s="89">
        <v>2214</v>
      </c>
      <c r="K24" s="89">
        <v>3457</v>
      </c>
      <c r="L24" s="91">
        <v>18050</v>
      </c>
      <c r="M24" s="91">
        <v>-6450</v>
      </c>
      <c r="N24" s="91">
        <v>1161.869873046875</v>
      </c>
      <c r="O24" s="91">
        <v>-654.68035888671875</v>
      </c>
      <c r="P24" s="81">
        <v>1.7747131974795001</v>
      </c>
      <c r="Q24" s="92">
        <v>54.208311415044712</v>
      </c>
      <c r="R24" s="89">
        <v>9</v>
      </c>
      <c r="S24" s="89">
        <v>17</v>
      </c>
      <c r="T24" s="89">
        <v>55</v>
      </c>
      <c r="U24" s="89">
        <v>25</v>
      </c>
      <c r="V24" s="91">
        <v>-55455</v>
      </c>
      <c r="W24" s="81">
        <v>1.136596810752774</v>
      </c>
      <c r="X24" s="89">
        <v>1</v>
      </c>
      <c r="Y24" s="91">
        <v>55455</v>
      </c>
      <c r="Z24" s="81">
        <v>557.47903705707336</v>
      </c>
      <c r="AA24" s="93">
        <v>12342.585880443603</v>
      </c>
      <c r="AB24" s="81">
        <v>1.398277667452527</v>
      </c>
      <c r="AC24" s="81">
        <v>2.9297310269051842</v>
      </c>
      <c r="AD24" s="94">
        <v>274617.358646765</v>
      </c>
      <c r="AE24" s="81">
        <v>14.843437274079976</v>
      </c>
      <c r="AF24" s="11">
        <f>(Opti_Medias__30_ALL_Data[[#This Row],[All: TS Index]]-AA$114) /ABS(AA$114)</f>
        <v>-0.22328782606108993</v>
      </c>
      <c r="AG24" s="11">
        <f>(Opti_Medias__30_ALL_Data[[#This Row],[All: Expectancy Score]]-AB$114) /ABS(AB$114)</f>
        <v>-0.54782934414810813</v>
      </c>
      <c r="AH24" s="11"/>
      <c r="AI24" s="11">
        <f>(Opti_Medias__30_ALL_Data[[#This Row],[All: Perfect Profit Correlation]]-AD$114) /ABS(AD$114)</f>
        <v>-0.10905191100913895</v>
      </c>
      <c r="AJ24" s="11">
        <f>(Opti_Medias__30_ALL_Data[[#This Row],[All: Robustness Index]]-AE$114) /ABS(AE$114)</f>
        <v>-0.89626774941713361</v>
      </c>
      <c r="AK24" s="11">
        <f>SUM(Opti_Medias__30_ALL_Data[[#This Row],[VAR TS Index]:[VAR Robustness Index]])</f>
        <v>-1.7764368306354705</v>
      </c>
      <c r="AL24" s="11">
        <f>Opti_Medias__30_ALL_Data[[#This Row],[SUMA]]-Opti_Medias__30_ALL_Data[[#This Row],[VAR Robustness Index]]</f>
        <v>-0.88016908121833692</v>
      </c>
    </row>
    <row r="25" spans="1:38" x14ac:dyDescent="0.25">
      <c r="A25" s="11"/>
      <c r="B25" s="17">
        <v>16</v>
      </c>
      <c r="C25" s="17">
        <v>8</v>
      </c>
      <c r="D25" s="17">
        <v>331</v>
      </c>
      <c r="E25" s="10">
        <v>257900</v>
      </c>
      <c r="F25" s="10">
        <v>2359560</v>
      </c>
      <c r="G25" s="10">
        <v>-2101660</v>
      </c>
      <c r="H25" s="17">
        <v>5197</v>
      </c>
      <c r="I25" s="11">
        <v>35.424283240330958</v>
      </c>
      <c r="J25" s="17">
        <v>1841</v>
      </c>
      <c r="K25" s="17">
        <v>3338</v>
      </c>
      <c r="L25" s="12">
        <v>16640</v>
      </c>
      <c r="M25" s="12">
        <v>-6600</v>
      </c>
      <c r="N25" s="12">
        <v>1281.6729736328125</v>
      </c>
      <c r="O25" s="12">
        <v>-629.61651611328125</v>
      </c>
      <c r="P25" s="11">
        <v>2.0356406492395962</v>
      </c>
      <c r="Q25" s="13">
        <v>49.624783528959014</v>
      </c>
      <c r="R25" s="17">
        <v>6</v>
      </c>
      <c r="S25" s="17">
        <v>17</v>
      </c>
      <c r="T25" s="17">
        <v>68</v>
      </c>
      <c r="U25" s="17">
        <v>25</v>
      </c>
      <c r="V25" s="12">
        <v>-37125</v>
      </c>
      <c r="W25" s="11">
        <v>1.1227125224822281</v>
      </c>
      <c r="X25" s="17">
        <v>1</v>
      </c>
      <c r="Y25" s="12">
        <v>37125</v>
      </c>
      <c r="Z25" s="11">
        <v>694.68013468013464</v>
      </c>
      <c r="AA25" s="14">
        <v>12789.061279461279</v>
      </c>
      <c r="AB25" s="11">
        <v>1.072343116223228</v>
      </c>
      <c r="AC25" s="11">
        <v>2.3928377992718848</v>
      </c>
      <c r="AD25" s="15">
        <v>238676.45731996105</v>
      </c>
      <c r="AE25" s="11">
        <v>42.201443009566944</v>
      </c>
      <c r="AF25" s="11">
        <f>(Opti_Medias__30_ALL_Data[[#This Row],[All: TS Index]]-AA$114) /ABS(AA$114)</f>
        <v>-0.19519137357209193</v>
      </c>
      <c r="AG25" s="11">
        <f>(Opti_Medias__30_ALL_Data[[#This Row],[All: Expectancy Score]]-AB$114) /ABS(AB$114)</f>
        <v>-0.65322903923345343</v>
      </c>
      <c r="AH25" s="11"/>
      <c r="AI25" s="11">
        <f>(Opti_Medias__30_ALL_Data[[#This Row],[All: Perfect Profit Correlation]]-AD$114) /ABS(AD$114)</f>
        <v>-0.22565589231431818</v>
      </c>
      <c r="AJ25" s="11">
        <f>(Opti_Medias__30_ALL_Data[[#This Row],[All: Robustness Index]]-AE$114) /ABS(AE$114)</f>
        <v>-0.70507837366811721</v>
      </c>
      <c r="AK25" s="11">
        <f>SUM(Opti_Medias__30_ALL_Data[[#This Row],[VAR TS Index]:[VAR Robustness Index]])</f>
        <v>-1.7791546787879808</v>
      </c>
      <c r="AL25" s="11">
        <f>Opti_Medias__30_ALL_Data[[#This Row],[SUMA]]-Opti_Medias__30_ALL_Data[[#This Row],[VAR Robustness Index]]</f>
        <v>-1.0740763051198636</v>
      </c>
    </row>
    <row r="26" spans="1:38" x14ac:dyDescent="0.25">
      <c r="A26" s="11"/>
      <c r="B26" s="17">
        <v>28</v>
      </c>
      <c r="C26" s="17">
        <v>11</v>
      </c>
      <c r="D26" s="17">
        <v>478</v>
      </c>
      <c r="E26" s="10">
        <v>196610</v>
      </c>
      <c r="F26" s="10">
        <v>2349570</v>
      </c>
      <c r="G26" s="10">
        <v>-2152960</v>
      </c>
      <c r="H26" s="17">
        <v>5313</v>
      </c>
      <c r="I26" s="11">
        <v>38.546960286090723</v>
      </c>
      <c r="J26" s="17">
        <v>2048</v>
      </c>
      <c r="K26" s="17">
        <v>3233</v>
      </c>
      <c r="L26" s="12">
        <v>17080</v>
      </c>
      <c r="M26" s="12">
        <v>-4670</v>
      </c>
      <c r="N26" s="12">
        <v>1147.2509765625</v>
      </c>
      <c r="O26" s="12">
        <v>-665.93255615234375</v>
      </c>
      <c r="P26" s="11">
        <v>1.7227735240804869</v>
      </c>
      <c r="Q26" s="13">
        <v>37.005458309806137</v>
      </c>
      <c r="R26" s="17">
        <v>8</v>
      </c>
      <c r="S26" s="17">
        <v>15</v>
      </c>
      <c r="T26" s="17">
        <v>63</v>
      </c>
      <c r="U26" s="17">
        <v>25</v>
      </c>
      <c r="V26" s="12">
        <v>-43475</v>
      </c>
      <c r="W26" s="11">
        <v>1.0913207862663501</v>
      </c>
      <c r="X26" s="17">
        <v>1</v>
      </c>
      <c r="Y26" s="12">
        <v>43475</v>
      </c>
      <c r="Z26" s="11">
        <v>452.23691776883265</v>
      </c>
      <c r="AA26" s="14">
        <v>9261.8120759056928</v>
      </c>
      <c r="AB26" s="11">
        <v>0.66841377917508604</v>
      </c>
      <c r="AC26" s="11">
        <v>1.8255592444206401</v>
      </c>
      <c r="AD26" s="15">
        <v>187181.07291789079</v>
      </c>
      <c r="AE26" s="11">
        <v>116.14392122833712</v>
      </c>
      <c r="AF26" s="11">
        <f>(Opti_Medias__30_ALL_Data[[#This Row],[All: TS Index]]-AA$114) /ABS(AA$114)</f>
        <v>-0.41715923536828486</v>
      </c>
      <c r="AG26" s="11">
        <f>(Opti_Medias__30_ALL_Data[[#This Row],[All: Expectancy Score]]-AB$114) /ABS(AB$114)</f>
        <v>-0.78385044405330784</v>
      </c>
      <c r="AH26" s="11"/>
      <c r="AI26" s="11">
        <f>(Opti_Medias__30_ALL_Data[[#This Row],[All: Perfect Profit Correlation]]-AD$114) /ABS(AD$114)</f>
        <v>-0.3927236791103032</v>
      </c>
      <c r="AJ26" s="11">
        <f>(Opti_Medias__30_ALL_Data[[#This Row],[All: Robustness Index]]-AE$114) /ABS(AE$114)</f>
        <v>-0.18833689811369414</v>
      </c>
      <c r="AK26" s="11">
        <f>SUM(Opti_Medias__30_ALL_Data[[#This Row],[VAR TS Index]:[VAR Robustness Index]])</f>
        <v>-1.7820702566455902</v>
      </c>
      <c r="AL26" s="11">
        <f>Opti_Medias__30_ALL_Data[[#This Row],[SUMA]]-Opti_Medias__30_ALL_Data[[#This Row],[VAR Robustness Index]]</f>
        <v>-1.593733358531896</v>
      </c>
    </row>
    <row r="27" spans="1:38" x14ac:dyDescent="0.25">
      <c r="A27" s="11"/>
      <c r="B27" s="17">
        <v>8</v>
      </c>
      <c r="C27" s="17">
        <v>3</v>
      </c>
      <c r="D27" s="17">
        <v>98</v>
      </c>
      <c r="E27" s="10">
        <v>262810</v>
      </c>
      <c r="F27" s="10">
        <v>2434490</v>
      </c>
      <c r="G27" s="10">
        <v>-2171680</v>
      </c>
      <c r="H27" s="17">
        <v>5232</v>
      </c>
      <c r="I27" s="11">
        <v>44.552752293577981</v>
      </c>
      <c r="J27" s="17">
        <v>2331</v>
      </c>
      <c r="K27" s="17">
        <v>2855</v>
      </c>
      <c r="L27" s="12">
        <v>16010</v>
      </c>
      <c r="M27" s="12">
        <v>-6560</v>
      </c>
      <c r="N27" s="12">
        <v>1044.397216796875</v>
      </c>
      <c r="O27" s="12">
        <v>-760.65850830078125</v>
      </c>
      <c r="P27" s="11">
        <v>1.3730172020686811</v>
      </c>
      <c r="Q27" s="13">
        <v>50.23126911314985</v>
      </c>
      <c r="R27" s="17">
        <v>8</v>
      </c>
      <c r="S27" s="17">
        <v>12</v>
      </c>
      <c r="T27" s="17">
        <v>49</v>
      </c>
      <c r="U27" s="17">
        <v>33</v>
      </c>
      <c r="V27" s="12">
        <v>-97555</v>
      </c>
      <c r="W27" s="11">
        <v>1.121016908568482</v>
      </c>
      <c r="X27" s="17">
        <v>1</v>
      </c>
      <c r="Y27" s="12">
        <v>97555</v>
      </c>
      <c r="Z27" s="11">
        <v>269.39675055097126</v>
      </c>
      <c r="AA27" s="14">
        <v>6279.6382553431395</v>
      </c>
      <c r="AB27" s="11">
        <v>2.5769138686710731</v>
      </c>
      <c r="AC27" s="11">
        <v>2.5302970741093249</v>
      </c>
      <c r="AD27" s="15">
        <v>232506.27015297898</v>
      </c>
      <c r="AE27" s="11">
        <v>32.13176106374447</v>
      </c>
      <c r="AF27" s="11">
        <f>(Opti_Medias__30_ALL_Data[[#This Row],[All: TS Index]]-AA$114) /ABS(AA$114)</f>
        <v>-0.60482580165103828</v>
      </c>
      <c r="AG27" s="11">
        <f>(Opti_Medias__30_ALL_Data[[#This Row],[All: Expectancy Score]]-AB$114) /ABS(AB$114)</f>
        <v>-0.16668565822575085</v>
      </c>
      <c r="AH27" s="11"/>
      <c r="AI27" s="11">
        <f>(Opti_Medias__30_ALL_Data[[#This Row],[All: Perfect Profit Correlation]]-AD$114) /ABS(AD$114)</f>
        <v>-0.24567398764604739</v>
      </c>
      <c r="AJ27" s="11">
        <f>(Opti_Medias__30_ALL_Data[[#This Row],[All: Robustness Index]]-AE$114) /ABS(AE$114)</f>
        <v>-0.77544959238292566</v>
      </c>
      <c r="AK27" s="11">
        <f>SUM(Opti_Medias__30_ALL_Data[[#This Row],[VAR TS Index]:[VAR Robustness Index]])</f>
        <v>-1.7926350399057622</v>
      </c>
      <c r="AL27" s="11">
        <f>Opti_Medias__30_ALL_Data[[#This Row],[SUMA]]-Opti_Medias__30_ALL_Data[[#This Row],[VAR Robustness Index]]</f>
        <v>-1.0171854475228366</v>
      </c>
    </row>
    <row r="28" spans="1:38" x14ac:dyDescent="0.25">
      <c r="A28" s="11"/>
      <c r="B28" s="17">
        <v>25</v>
      </c>
      <c r="C28" s="17">
        <v>8</v>
      </c>
      <c r="D28" s="17">
        <v>340</v>
      </c>
      <c r="E28" s="10">
        <v>233160</v>
      </c>
      <c r="F28" s="10">
        <v>2273020</v>
      </c>
      <c r="G28" s="10">
        <v>-2039860</v>
      </c>
      <c r="H28" s="17">
        <v>5037</v>
      </c>
      <c r="I28" s="11">
        <v>34.167162993845544</v>
      </c>
      <c r="J28" s="17">
        <v>1721</v>
      </c>
      <c r="K28" s="17">
        <v>3300</v>
      </c>
      <c r="L28" s="12">
        <v>17090</v>
      </c>
      <c r="M28" s="12">
        <v>-5240</v>
      </c>
      <c r="N28" s="12">
        <v>1320.75537109375</v>
      </c>
      <c r="O28" s="12">
        <v>-618.139404296875</v>
      </c>
      <c r="P28" s="11">
        <v>2.136662639386484</v>
      </c>
      <c r="Q28" s="13">
        <v>46.289458010720665</v>
      </c>
      <c r="R28" s="17">
        <v>11</v>
      </c>
      <c r="S28" s="17">
        <v>12</v>
      </c>
      <c r="T28" s="17">
        <v>75</v>
      </c>
      <c r="U28" s="17">
        <v>24</v>
      </c>
      <c r="V28" s="12">
        <v>-36265</v>
      </c>
      <c r="W28" s="11">
        <v>1.1143019618993459</v>
      </c>
      <c r="X28" s="17">
        <v>1</v>
      </c>
      <c r="Y28" s="12">
        <v>36265</v>
      </c>
      <c r="Z28" s="11">
        <v>642.93395836205707</v>
      </c>
      <c r="AA28" s="14">
        <v>11064.893423411002</v>
      </c>
      <c r="AB28" s="11">
        <v>1.3839017657893291</v>
      </c>
      <c r="AC28" s="11">
        <v>2.138779511790073</v>
      </c>
      <c r="AD28" s="15">
        <v>212386.79526016748</v>
      </c>
      <c r="AE28" s="11">
        <v>50.865254873449793</v>
      </c>
      <c r="AF28" s="11">
        <f>(Opti_Medias__30_ALL_Data[[#This Row],[All: TS Index]]-AA$114) /ABS(AA$114)</f>
        <v>-0.30369231305757588</v>
      </c>
      <c r="AG28" s="11">
        <f>(Opti_Medias__30_ALL_Data[[#This Row],[All: Expectancy Score]]-AB$114) /ABS(AB$114)</f>
        <v>-0.55247817823508405</v>
      </c>
      <c r="AH28" s="11"/>
      <c r="AI28" s="11">
        <f>(Opti_Medias__30_ALL_Data[[#This Row],[All: Perfect Profit Correlation]]-AD$114) /ABS(AD$114)</f>
        <v>-0.31094811232476854</v>
      </c>
      <c r="AJ28" s="11">
        <f>(Opti_Medias__30_ALL_Data[[#This Row],[All: Robustness Index]]-AE$114) /ABS(AE$114)</f>
        <v>-0.6445319728128065</v>
      </c>
      <c r="AK28" s="11">
        <f>SUM(Opti_Medias__30_ALL_Data[[#This Row],[VAR TS Index]:[VAR Robustness Index]])</f>
        <v>-1.8116505764302351</v>
      </c>
      <c r="AL28" s="11">
        <f>Opti_Medias__30_ALL_Data[[#This Row],[SUMA]]-Opti_Medias__30_ALL_Data[[#This Row],[VAR Robustness Index]]</f>
        <v>-1.1671186036174286</v>
      </c>
    </row>
    <row r="29" spans="1:38" x14ac:dyDescent="0.25">
      <c r="A29" s="11"/>
      <c r="B29" s="17">
        <v>32</v>
      </c>
      <c r="C29" s="17">
        <v>11</v>
      </c>
      <c r="D29" s="17">
        <v>482</v>
      </c>
      <c r="E29" s="10">
        <v>237460</v>
      </c>
      <c r="F29" s="10">
        <v>2326120</v>
      </c>
      <c r="G29" s="10">
        <v>-2088660</v>
      </c>
      <c r="H29" s="17">
        <v>5265</v>
      </c>
      <c r="I29" s="11">
        <v>37.264957264957268</v>
      </c>
      <c r="J29" s="17">
        <v>1962</v>
      </c>
      <c r="K29" s="17">
        <v>3271</v>
      </c>
      <c r="L29" s="12">
        <v>18440</v>
      </c>
      <c r="M29" s="12">
        <v>-5240</v>
      </c>
      <c r="N29" s="12">
        <v>1185.586181640625</v>
      </c>
      <c r="O29" s="12">
        <v>-638.5386962890625</v>
      </c>
      <c r="P29" s="11">
        <v>1.8567178285839041</v>
      </c>
      <c r="Q29" s="13">
        <v>45.10161443494777</v>
      </c>
      <c r="R29" s="17">
        <v>8</v>
      </c>
      <c r="S29" s="17">
        <v>13</v>
      </c>
      <c r="T29" s="17">
        <v>65</v>
      </c>
      <c r="U29" s="17">
        <v>25</v>
      </c>
      <c r="V29" s="12">
        <v>-46665</v>
      </c>
      <c r="W29" s="11">
        <v>1.1136901171085769</v>
      </c>
      <c r="X29" s="17">
        <v>1</v>
      </c>
      <c r="Y29" s="12">
        <v>46665</v>
      </c>
      <c r="Z29" s="11">
        <v>508.86103075109827</v>
      </c>
      <c r="AA29" s="14">
        <v>9983.8534233365481</v>
      </c>
      <c r="AB29" s="11">
        <v>0.18698835644790701</v>
      </c>
      <c r="AC29" s="11">
        <v>2.2146481464625589</v>
      </c>
      <c r="AD29" s="15">
        <v>221911.91633360536</v>
      </c>
      <c r="AE29" s="11">
        <v>110.30088437767425</v>
      </c>
      <c r="AF29" s="11">
        <f>(Opti_Medias__30_ALL_Data[[#This Row],[All: TS Index]]-AA$114) /ABS(AA$114)</f>
        <v>-0.37172156857226962</v>
      </c>
      <c r="AG29" s="11">
        <f>(Opti_Medias__30_ALL_Data[[#This Row],[All: Expectancy Score]]-AB$114) /ABS(AB$114)</f>
        <v>-0.93953229051726372</v>
      </c>
      <c r="AH29" s="11"/>
      <c r="AI29" s="11">
        <f>(Opti_Medias__30_ALL_Data[[#This Row],[All: Perfect Profit Correlation]]-AD$114) /ABS(AD$114)</f>
        <v>-0.28004551949668027</v>
      </c>
      <c r="AJ29" s="11">
        <f>(Opti_Medias__30_ALL_Data[[#This Row],[All: Robustness Index]]-AE$114) /ABS(AE$114)</f>
        <v>-0.22917052388151354</v>
      </c>
      <c r="AK29" s="11">
        <f>SUM(Opti_Medias__30_ALL_Data[[#This Row],[VAR TS Index]:[VAR Robustness Index]])</f>
        <v>-1.8204699024677271</v>
      </c>
      <c r="AL29" s="11">
        <f>Opti_Medias__30_ALL_Data[[#This Row],[SUMA]]-Opti_Medias__30_ALL_Data[[#This Row],[VAR Robustness Index]]</f>
        <v>-1.5912993785862135</v>
      </c>
    </row>
    <row r="30" spans="1:38" x14ac:dyDescent="0.25">
      <c r="A30" s="11"/>
      <c r="B30" s="17">
        <v>20</v>
      </c>
      <c r="C30" s="17">
        <v>8</v>
      </c>
      <c r="D30" s="17">
        <v>335</v>
      </c>
      <c r="E30" s="10">
        <v>256100</v>
      </c>
      <c r="F30" s="10">
        <v>2317370</v>
      </c>
      <c r="G30" s="10">
        <v>-2061270</v>
      </c>
      <c r="H30" s="17">
        <v>5087</v>
      </c>
      <c r="I30" s="11">
        <v>34.61765284057401</v>
      </c>
      <c r="J30" s="17">
        <v>1761</v>
      </c>
      <c r="K30" s="17">
        <v>3302</v>
      </c>
      <c r="L30" s="12">
        <v>16840</v>
      </c>
      <c r="M30" s="12">
        <v>-6210</v>
      </c>
      <c r="N30" s="12">
        <v>1315.9398193359375</v>
      </c>
      <c r="O30" s="12">
        <v>-624.24896240234375</v>
      </c>
      <c r="P30" s="11">
        <v>2.1080368548338599</v>
      </c>
      <c r="Q30" s="13">
        <v>50.344014153725183</v>
      </c>
      <c r="R30" s="17">
        <v>7</v>
      </c>
      <c r="S30" s="17">
        <v>15</v>
      </c>
      <c r="T30" s="17">
        <v>72</v>
      </c>
      <c r="U30" s="17">
        <v>25</v>
      </c>
      <c r="V30" s="12">
        <v>-38615</v>
      </c>
      <c r="W30" s="11">
        <v>1.1242437914489609</v>
      </c>
      <c r="X30" s="17">
        <v>1</v>
      </c>
      <c r="Y30" s="12">
        <v>38615</v>
      </c>
      <c r="Z30" s="11">
        <v>663.21377702965174</v>
      </c>
      <c r="AA30" s="14">
        <v>11679.194613492165</v>
      </c>
      <c r="AB30" s="11">
        <v>0.919477832308634</v>
      </c>
      <c r="AC30" s="11">
        <v>2.3674878252234079</v>
      </c>
      <c r="AD30" s="15">
        <v>237042.46819114065</v>
      </c>
      <c r="AE30" s="11">
        <v>52.776119554542888</v>
      </c>
      <c r="AF30" s="11">
        <f>(Opti_Medias__30_ALL_Data[[#This Row],[All: TS Index]]-AA$114) /ABS(AA$114)</f>
        <v>-0.265034675393721</v>
      </c>
      <c r="AG30" s="11">
        <f>(Opti_Medias__30_ALL_Data[[#This Row],[All: Expectancy Score]]-AB$114) /ABS(AB$114)</f>
        <v>-0.70266213631679386</v>
      </c>
      <c r="AH30" s="11"/>
      <c r="AI30" s="11">
        <f>(Opti_Medias__30_ALL_Data[[#This Row],[All: Perfect Profit Correlation]]-AD$114) /ABS(AD$114)</f>
        <v>-0.23095708484973596</v>
      </c>
      <c r="AJ30" s="11">
        <f>(Opti_Medias__30_ALL_Data[[#This Row],[All: Robustness Index]]-AE$114) /ABS(AE$114)</f>
        <v>-0.6311780379883416</v>
      </c>
      <c r="AK30" s="11">
        <f>SUM(Opti_Medias__30_ALL_Data[[#This Row],[VAR TS Index]:[VAR Robustness Index]])</f>
        <v>-1.8298319345485925</v>
      </c>
      <c r="AL30" s="11">
        <f>Opti_Medias__30_ALL_Data[[#This Row],[SUMA]]-Opti_Medias__30_ALL_Data[[#This Row],[VAR Robustness Index]]</f>
        <v>-1.1986538965602509</v>
      </c>
    </row>
    <row r="31" spans="1:38" x14ac:dyDescent="0.25">
      <c r="A31" s="11"/>
      <c r="B31" s="17">
        <v>36</v>
      </c>
      <c r="C31" s="17">
        <v>5</v>
      </c>
      <c r="D31" s="17">
        <v>216</v>
      </c>
      <c r="E31" s="10">
        <v>215510</v>
      </c>
      <c r="F31" s="10">
        <v>2183820</v>
      </c>
      <c r="G31" s="10">
        <v>-1968310</v>
      </c>
      <c r="H31" s="17">
        <v>5398</v>
      </c>
      <c r="I31" s="11">
        <v>30.752130418673584</v>
      </c>
      <c r="J31" s="17">
        <v>1660</v>
      </c>
      <c r="K31" s="17">
        <v>3707</v>
      </c>
      <c r="L31" s="12">
        <v>17360</v>
      </c>
      <c r="M31" s="12">
        <v>-4450</v>
      </c>
      <c r="N31" s="12">
        <v>1315.55419921875</v>
      </c>
      <c r="O31" s="12">
        <v>-530.97113037109375</v>
      </c>
      <c r="P31" s="11">
        <v>2.4776379052836899</v>
      </c>
      <c r="Q31" s="13">
        <v>39.924045942941831</v>
      </c>
      <c r="R31" s="17">
        <v>7</v>
      </c>
      <c r="S31" s="17">
        <v>21</v>
      </c>
      <c r="T31" s="17">
        <v>80</v>
      </c>
      <c r="U31" s="17">
        <v>21</v>
      </c>
      <c r="V31" s="12">
        <v>-50285</v>
      </c>
      <c r="W31" s="11">
        <v>1.109489866941691</v>
      </c>
      <c r="X31" s="17">
        <v>1</v>
      </c>
      <c r="Y31" s="12">
        <v>50285</v>
      </c>
      <c r="Z31" s="11">
        <v>428.57711047031916</v>
      </c>
      <c r="AA31" s="14">
        <v>7114.3800338072988</v>
      </c>
      <c r="AB31" s="11">
        <v>1.3216264164031319</v>
      </c>
      <c r="AC31" s="11">
        <v>1.94238496919849</v>
      </c>
      <c r="AD31" s="15">
        <v>200023.78306286968</v>
      </c>
      <c r="AE31" s="11">
        <v>88.310898062181082</v>
      </c>
      <c r="AF31" s="11">
        <f>(Opti_Medias__30_ALL_Data[[#This Row],[All: TS Index]]-AA$114) /ABS(AA$114)</f>
        <v>-0.55229595841487955</v>
      </c>
      <c r="AG31" s="11">
        <f>(Opti_Medias__30_ALL_Data[[#This Row],[All: Expectancy Score]]-AB$114) /ABS(AB$114)</f>
        <v>-0.57261658581379093</v>
      </c>
      <c r="AH31" s="11"/>
      <c r="AI31" s="11">
        <f>(Opti_Medias__30_ALL_Data[[#This Row],[All: Perfect Profit Correlation]]-AD$114) /ABS(AD$114)</f>
        <v>-0.35105774758464769</v>
      </c>
      <c r="AJ31" s="11">
        <f>(Opti_Medias__30_ALL_Data[[#This Row],[All: Robustness Index]]-AE$114) /ABS(AE$114)</f>
        <v>-0.38284589762906263</v>
      </c>
      <c r="AK31" s="11">
        <f>SUM(Opti_Medias__30_ALL_Data[[#This Row],[VAR TS Index]:[VAR Robustness Index]])</f>
        <v>-1.8588161894423809</v>
      </c>
      <c r="AL31" s="11">
        <f>Opti_Medias__30_ALL_Data[[#This Row],[SUMA]]-Opti_Medias__30_ALL_Data[[#This Row],[VAR Robustness Index]]</f>
        <v>-1.4759702918133182</v>
      </c>
    </row>
    <row r="32" spans="1:38" x14ac:dyDescent="0.25">
      <c r="A32" s="11"/>
      <c r="B32" s="17">
        <v>1</v>
      </c>
      <c r="C32" s="17">
        <v>8</v>
      </c>
      <c r="D32" s="17">
        <v>316</v>
      </c>
      <c r="E32" s="10">
        <v>327340</v>
      </c>
      <c r="F32" s="10">
        <v>2625440</v>
      </c>
      <c r="G32" s="10">
        <v>-2298100</v>
      </c>
      <c r="H32" s="17">
        <v>5699</v>
      </c>
      <c r="I32" s="11">
        <v>41.410773819968412</v>
      </c>
      <c r="J32" s="17">
        <v>2360</v>
      </c>
      <c r="K32" s="17">
        <v>3312</v>
      </c>
      <c r="L32" s="12">
        <v>18350</v>
      </c>
      <c r="M32" s="12">
        <v>-7200</v>
      </c>
      <c r="N32" s="12">
        <v>1112.474609375</v>
      </c>
      <c r="O32" s="12">
        <v>-693.87078857421875</v>
      </c>
      <c r="P32" s="11">
        <v>1.6032878566064701</v>
      </c>
      <c r="Q32" s="13">
        <v>57.43814704334094</v>
      </c>
      <c r="R32" s="17">
        <v>8</v>
      </c>
      <c r="S32" s="17">
        <v>11</v>
      </c>
      <c r="T32" s="17">
        <v>52</v>
      </c>
      <c r="U32" s="17">
        <v>26</v>
      </c>
      <c r="V32" s="12">
        <v>-60485</v>
      </c>
      <c r="W32" s="11">
        <v>1.1424394064662109</v>
      </c>
      <c r="X32" s="17">
        <v>1</v>
      </c>
      <c r="Y32" s="12">
        <v>60485</v>
      </c>
      <c r="Z32" s="11">
        <v>541.19203108208649</v>
      </c>
      <c r="AA32" s="14">
        <v>12772.131933537241</v>
      </c>
      <c r="AB32" s="11">
        <v>0.636459599771935</v>
      </c>
      <c r="AC32" s="11">
        <v>3.1322842077586568</v>
      </c>
      <c r="AD32" s="15">
        <v>303018.32841719349</v>
      </c>
      <c r="AE32" s="11">
        <v>21.171421282582116</v>
      </c>
      <c r="AF32" s="11">
        <f>(Opti_Medias__30_ALL_Data[[#This Row],[All: TS Index]]-AA$114) /ABS(AA$114)</f>
        <v>-0.19625672804508432</v>
      </c>
      <c r="AG32" s="11">
        <f>(Opti_Medias__30_ALL_Data[[#This Row],[All: Expectancy Score]]-AB$114) /ABS(AB$114)</f>
        <v>-0.79418368658034855</v>
      </c>
      <c r="AH32" s="11"/>
      <c r="AI32" s="11">
        <f>(Opti_Medias__30_ALL_Data[[#This Row],[All: Perfect Profit Correlation]]-AD$114) /ABS(AD$114)</f>
        <v>-1.6909921634759118E-2</v>
      </c>
      <c r="AJ32" s="11">
        <f>(Opti_Medias__30_ALL_Data[[#This Row],[All: Robustness Index]]-AE$114) /ABS(AE$114)</f>
        <v>-0.85204510672772316</v>
      </c>
      <c r="AK32" s="11">
        <f>SUM(Opti_Medias__30_ALL_Data[[#This Row],[VAR TS Index]:[VAR Robustness Index]])</f>
        <v>-1.8593954429879149</v>
      </c>
      <c r="AL32" s="11">
        <f>Opti_Medias__30_ALL_Data[[#This Row],[SUMA]]-Opti_Medias__30_ALL_Data[[#This Row],[VAR Robustness Index]]</f>
        <v>-1.0073503362601919</v>
      </c>
    </row>
    <row r="33" spans="1:38" x14ac:dyDescent="0.25">
      <c r="A33" s="11"/>
      <c r="B33" s="17">
        <v>14</v>
      </c>
      <c r="C33" s="17">
        <v>8</v>
      </c>
      <c r="D33" s="17">
        <v>329</v>
      </c>
      <c r="E33" s="10">
        <v>232300</v>
      </c>
      <c r="F33" s="10">
        <v>2384050</v>
      </c>
      <c r="G33" s="10">
        <v>-2151750</v>
      </c>
      <c r="H33" s="17">
        <v>5309</v>
      </c>
      <c r="I33" s="11">
        <v>36.070823130533057</v>
      </c>
      <c r="J33" s="17">
        <v>1915</v>
      </c>
      <c r="K33" s="17">
        <v>3374</v>
      </c>
      <c r="L33" s="12">
        <v>17820</v>
      </c>
      <c r="M33" s="12">
        <v>-6600</v>
      </c>
      <c r="N33" s="12">
        <v>1244.9346923828125</v>
      </c>
      <c r="O33" s="12">
        <v>-637.7445068359375</v>
      </c>
      <c r="P33" s="11">
        <v>1.9520900282769149</v>
      </c>
      <c r="Q33" s="13">
        <v>43.75588623092861</v>
      </c>
      <c r="R33" s="17">
        <v>7</v>
      </c>
      <c r="S33" s="17">
        <v>21</v>
      </c>
      <c r="T33" s="17">
        <v>66</v>
      </c>
      <c r="U33" s="17">
        <v>25</v>
      </c>
      <c r="V33" s="12">
        <v>-41945</v>
      </c>
      <c r="W33" s="11">
        <v>1.107958638317649</v>
      </c>
      <c r="X33" s="17">
        <v>1</v>
      </c>
      <c r="Y33" s="12">
        <v>41945</v>
      </c>
      <c r="Z33" s="11">
        <v>553.82047919895103</v>
      </c>
      <c r="AA33" s="14">
        <v>10605.662176659911</v>
      </c>
      <c r="AB33" s="11">
        <v>1.523983258694074</v>
      </c>
      <c r="AC33" s="11">
        <v>2.1486488794913701</v>
      </c>
      <c r="AD33" s="15">
        <v>214559.82310484783</v>
      </c>
      <c r="AE33" s="11">
        <v>38.349489550203067</v>
      </c>
      <c r="AF33" s="11">
        <f>(Opti_Medias__30_ALL_Data[[#This Row],[All: TS Index]]-AA$114) /ABS(AA$114)</f>
        <v>-0.33259148406272804</v>
      </c>
      <c r="AG33" s="11">
        <f>(Opti_Medias__30_ALL_Data[[#This Row],[All: Expectancy Score]]-AB$114) /ABS(AB$114)</f>
        <v>-0.50717906347853581</v>
      </c>
      <c r="AH33" s="11"/>
      <c r="AI33" s="11">
        <f>(Opti_Medias__30_ALL_Data[[#This Row],[All: Perfect Profit Correlation]]-AD$114) /ABS(AD$114)</f>
        <v>-0.30389810275843149</v>
      </c>
      <c r="AJ33" s="11">
        <f>(Opti_Medias__30_ALL_Data[[#This Row],[All: Robustness Index]]-AE$114) /ABS(AE$114)</f>
        <v>-0.73199746215835648</v>
      </c>
      <c r="AK33" s="11">
        <f>SUM(Opti_Medias__30_ALL_Data[[#This Row],[VAR TS Index]:[VAR Robustness Index]])</f>
        <v>-1.8756661124580518</v>
      </c>
      <c r="AL33" s="11">
        <f>Opti_Medias__30_ALL_Data[[#This Row],[SUMA]]-Opti_Medias__30_ALL_Data[[#This Row],[VAR Robustness Index]]</f>
        <v>-1.1436686502996953</v>
      </c>
    </row>
    <row r="34" spans="1:38" x14ac:dyDescent="0.25">
      <c r="A34" s="11"/>
      <c r="B34" s="17">
        <v>29</v>
      </c>
      <c r="C34" s="17">
        <v>11</v>
      </c>
      <c r="D34" s="17">
        <v>479</v>
      </c>
      <c r="E34" s="10">
        <v>211850</v>
      </c>
      <c r="F34" s="10">
        <v>2353790</v>
      </c>
      <c r="G34" s="10">
        <v>-2141940</v>
      </c>
      <c r="H34" s="17">
        <v>5281</v>
      </c>
      <c r="I34" s="11">
        <v>38.572240106040525</v>
      </c>
      <c r="J34" s="17">
        <v>2037</v>
      </c>
      <c r="K34" s="17">
        <v>3219</v>
      </c>
      <c r="L34" s="12">
        <v>16920</v>
      </c>
      <c r="M34" s="12">
        <v>-5410</v>
      </c>
      <c r="N34" s="12">
        <v>1155.5179443359375</v>
      </c>
      <c r="O34" s="12">
        <v>-665.4053955078125</v>
      </c>
      <c r="P34" s="11">
        <v>1.7365623304783839</v>
      </c>
      <c r="Q34" s="13">
        <v>40.115508426434388</v>
      </c>
      <c r="R34" s="17">
        <v>8</v>
      </c>
      <c r="S34" s="17">
        <v>13</v>
      </c>
      <c r="T34" s="17">
        <v>63</v>
      </c>
      <c r="U34" s="17">
        <v>25</v>
      </c>
      <c r="V34" s="12">
        <v>-41945</v>
      </c>
      <c r="W34" s="11">
        <v>1.098905664957935</v>
      </c>
      <c r="X34" s="17">
        <v>1</v>
      </c>
      <c r="Y34" s="12">
        <v>41945</v>
      </c>
      <c r="Z34" s="11">
        <v>505.06615806413163</v>
      </c>
      <c r="AA34" s="14">
        <v>10288.19763976636</v>
      </c>
      <c r="AB34" s="11">
        <v>1.427288886874188</v>
      </c>
      <c r="AC34" s="11">
        <v>1.9745044751672589</v>
      </c>
      <c r="AD34" s="15">
        <v>199076.50008381941</v>
      </c>
      <c r="AE34" s="11">
        <v>50.675799809357869</v>
      </c>
      <c r="AF34" s="11">
        <f>(Opti_Medias__30_ALL_Data[[#This Row],[All: TS Index]]-AA$114) /ABS(AA$114)</f>
        <v>-0.35256935361029135</v>
      </c>
      <c r="AG34" s="11">
        <f>(Opti_Medias__30_ALL_Data[[#This Row],[All: Expectancy Score]]-AB$114) /ABS(AB$114)</f>
        <v>-0.53844778680917504</v>
      </c>
      <c r="AH34" s="11"/>
      <c r="AI34" s="11">
        <f>(Opti_Medias__30_ALL_Data[[#This Row],[All: Perfect Profit Correlation]]-AD$114) /ABS(AD$114)</f>
        <v>-0.35413104187338934</v>
      </c>
      <c r="AJ34" s="11">
        <f>(Opti_Medias__30_ALL_Data[[#This Row],[All: Robustness Index]]-AE$114) /ABS(AE$114)</f>
        <v>-0.64585596535036349</v>
      </c>
      <c r="AK34" s="11">
        <f>SUM(Opti_Medias__30_ALL_Data[[#This Row],[VAR TS Index]:[VAR Robustness Index]])</f>
        <v>-1.8910041476432193</v>
      </c>
      <c r="AL34" s="11">
        <f>Opti_Medias__30_ALL_Data[[#This Row],[SUMA]]-Opti_Medias__30_ALL_Data[[#This Row],[VAR Robustness Index]]</f>
        <v>-1.2451481822928558</v>
      </c>
    </row>
    <row r="35" spans="1:38" x14ac:dyDescent="0.25">
      <c r="A35" s="11"/>
      <c r="B35" s="17">
        <v>35</v>
      </c>
      <c r="C35" s="17">
        <v>8</v>
      </c>
      <c r="D35" s="17">
        <v>350</v>
      </c>
      <c r="E35" s="10">
        <v>186790</v>
      </c>
      <c r="F35" s="10">
        <v>2377400</v>
      </c>
      <c r="G35" s="10">
        <v>-2190610</v>
      </c>
      <c r="H35" s="17">
        <v>5787</v>
      </c>
      <c r="I35" s="11">
        <v>30.914117850354241</v>
      </c>
      <c r="J35" s="17">
        <v>1789</v>
      </c>
      <c r="K35" s="17">
        <v>3969</v>
      </c>
      <c r="L35" s="12">
        <v>18070</v>
      </c>
      <c r="M35" s="12">
        <v>-4300</v>
      </c>
      <c r="N35" s="12">
        <v>1328.8988037109375</v>
      </c>
      <c r="O35" s="12">
        <v>-551.929931640625</v>
      </c>
      <c r="P35" s="11">
        <v>2.4077309954195698</v>
      </c>
      <c r="Q35" s="13">
        <v>32.277518576118887</v>
      </c>
      <c r="R35" s="17">
        <v>7</v>
      </c>
      <c r="S35" s="17">
        <v>20</v>
      </c>
      <c r="T35" s="17">
        <v>73</v>
      </c>
      <c r="U35" s="17">
        <v>20</v>
      </c>
      <c r="V35" s="12">
        <v>-39605</v>
      </c>
      <c r="W35" s="11">
        <v>1.0852684868598239</v>
      </c>
      <c r="X35" s="17">
        <v>1</v>
      </c>
      <c r="Y35" s="12">
        <v>39605</v>
      </c>
      <c r="Z35" s="11">
        <v>471.63236965029665</v>
      </c>
      <c r="AA35" s="14">
        <v>8437.5030930438079</v>
      </c>
      <c r="AB35" s="11">
        <v>1.8300760951803789</v>
      </c>
      <c r="AC35" s="11">
        <v>1.653537224665619</v>
      </c>
      <c r="AD35" s="15">
        <v>172550.31605193348</v>
      </c>
      <c r="AE35" s="11">
        <v>59.69111942556502</v>
      </c>
      <c r="AF35" s="11">
        <f>(Opti_Medias__30_ALL_Data[[#This Row],[All: TS Index]]-AA$114) /ABS(AA$114)</f>
        <v>-0.46903254848741671</v>
      </c>
      <c r="AG35" s="11">
        <f>(Opti_Medias__30_ALL_Data[[#This Row],[All: Expectancy Score]]-AB$114) /ABS(AB$114)</f>
        <v>-0.40819572000732401</v>
      </c>
      <c r="AH35" s="11"/>
      <c r="AI35" s="11">
        <f>(Opti_Medias__30_ALL_Data[[#This Row],[All: Perfect Profit Correlation]]-AD$114) /ABS(AD$114)</f>
        <v>-0.44019061614024374</v>
      </c>
      <c r="AJ35" s="11">
        <f>(Opti_Medias__30_ALL_Data[[#This Row],[All: Robustness Index]]-AE$114) /ABS(AE$114)</f>
        <v>-0.58285307887297944</v>
      </c>
      <c r="AK35" s="11">
        <f>SUM(Opti_Medias__30_ALL_Data[[#This Row],[VAR TS Index]:[VAR Robustness Index]])</f>
        <v>-1.9002719635079641</v>
      </c>
      <c r="AL35" s="11">
        <f>Opti_Medias__30_ALL_Data[[#This Row],[SUMA]]-Opti_Medias__30_ALL_Data[[#This Row],[VAR Robustness Index]]</f>
        <v>-1.3174188846349848</v>
      </c>
    </row>
    <row r="36" spans="1:38" x14ac:dyDescent="0.25">
      <c r="A36" s="11"/>
      <c r="B36" s="17">
        <v>28</v>
      </c>
      <c r="C36" s="17">
        <v>1</v>
      </c>
      <c r="D36" s="17">
        <v>28</v>
      </c>
      <c r="E36" s="10">
        <v>200810</v>
      </c>
      <c r="F36" s="10">
        <v>2238800</v>
      </c>
      <c r="G36" s="10">
        <v>-2037990</v>
      </c>
      <c r="H36" s="17">
        <v>5038</v>
      </c>
      <c r="I36" s="11">
        <v>35.37117903930131</v>
      </c>
      <c r="J36" s="17">
        <v>1782</v>
      </c>
      <c r="K36" s="17">
        <v>3232</v>
      </c>
      <c r="L36" s="12">
        <v>17290</v>
      </c>
      <c r="M36" s="12">
        <v>-5820</v>
      </c>
      <c r="N36" s="12">
        <v>1256.3411865234375</v>
      </c>
      <c r="O36" s="12">
        <v>-630.56622314453125</v>
      </c>
      <c r="P36" s="11">
        <v>1.9924016549098811</v>
      </c>
      <c r="Q36" s="13">
        <v>39.859071059944419</v>
      </c>
      <c r="R36" s="17">
        <v>7</v>
      </c>
      <c r="S36" s="17">
        <v>15</v>
      </c>
      <c r="T36" s="17">
        <v>70</v>
      </c>
      <c r="U36" s="17">
        <v>26</v>
      </c>
      <c r="V36" s="12">
        <v>-61675</v>
      </c>
      <c r="W36" s="11">
        <v>1.098533358848669</v>
      </c>
      <c r="X36" s="17">
        <v>1</v>
      </c>
      <c r="Y36" s="12">
        <v>61675</v>
      </c>
      <c r="Z36" s="11">
        <v>325.59383867044994</v>
      </c>
      <c r="AA36" s="14">
        <v>5802.0822051074183</v>
      </c>
      <c r="AB36" s="11">
        <v>0.73037263337626301</v>
      </c>
      <c r="AC36" s="11">
        <v>1.8362325636273999</v>
      </c>
      <c r="AD36" s="15">
        <v>186408.11391314765</v>
      </c>
      <c r="AE36" s="11">
        <v>127.84679368070432</v>
      </c>
      <c r="AF36" s="11">
        <f>(Opti_Medias__30_ALL_Data[[#This Row],[All: TS Index]]-AA$114) /ABS(AA$114)</f>
        <v>-0.63487814250968955</v>
      </c>
      <c r="AG36" s="11">
        <f>(Opti_Medias__30_ALL_Data[[#This Row],[All: Expectancy Score]]-AB$114) /ABS(AB$114)</f>
        <v>-0.7638143836969844</v>
      </c>
      <c r="AH36" s="11"/>
      <c r="AI36" s="11">
        <f>(Opti_Medias__30_ALL_Data[[#This Row],[All: Perfect Profit Correlation]]-AD$114) /ABS(AD$114)</f>
        <v>-0.39523140969054665</v>
      </c>
      <c r="AJ36" s="11">
        <f>(Opti_Medias__30_ALL_Data[[#This Row],[All: Robustness Index]]-AE$114) /ABS(AE$114)</f>
        <v>-0.10655224976353474</v>
      </c>
      <c r="AK36" s="11">
        <f>SUM(Opti_Medias__30_ALL_Data[[#This Row],[VAR TS Index]:[VAR Robustness Index]])</f>
        <v>-1.9004761856607553</v>
      </c>
      <c r="AL36" s="11">
        <f>Opti_Medias__30_ALL_Data[[#This Row],[SUMA]]-Opti_Medias__30_ALL_Data[[#This Row],[VAR Robustness Index]]</f>
        <v>-1.7939239358972205</v>
      </c>
    </row>
    <row r="37" spans="1:38" x14ac:dyDescent="0.25">
      <c r="A37" s="81" t="s">
        <v>66</v>
      </c>
      <c r="B37" s="89">
        <v>6</v>
      </c>
      <c r="C37" s="89">
        <v>8</v>
      </c>
      <c r="D37" s="89">
        <v>321</v>
      </c>
      <c r="E37" s="90">
        <v>283620</v>
      </c>
      <c r="F37" s="90">
        <v>2547320</v>
      </c>
      <c r="G37" s="90">
        <v>-2263700</v>
      </c>
      <c r="H37" s="89">
        <v>5693</v>
      </c>
      <c r="I37" s="81">
        <v>38.889864746179519</v>
      </c>
      <c r="J37" s="89">
        <v>2214</v>
      </c>
      <c r="K37" s="89">
        <v>3456</v>
      </c>
      <c r="L37" s="91">
        <v>17740</v>
      </c>
      <c r="M37" s="91">
        <v>-6950</v>
      </c>
      <c r="N37" s="91">
        <v>1150.551025390625</v>
      </c>
      <c r="O37" s="91">
        <v>-655.00579833984375</v>
      </c>
      <c r="P37" s="81">
        <v>1.756550901239003</v>
      </c>
      <c r="Q37" s="92">
        <v>49.819076058317229</v>
      </c>
      <c r="R37" s="89">
        <v>8</v>
      </c>
      <c r="S37" s="89">
        <v>17</v>
      </c>
      <c r="T37" s="89">
        <v>56</v>
      </c>
      <c r="U37" s="89">
        <v>25</v>
      </c>
      <c r="V37" s="91">
        <v>-57875</v>
      </c>
      <c r="W37" s="81">
        <v>1.125290453682025</v>
      </c>
      <c r="X37" s="89">
        <v>1</v>
      </c>
      <c r="Y37" s="91">
        <v>57875</v>
      </c>
      <c r="Z37" s="81">
        <v>490.05615550755937</v>
      </c>
      <c r="AA37" s="93">
        <v>10849.843282937365</v>
      </c>
      <c r="AB37" s="81">
        <v>1.9291312063293671</v>
      </c>
      <c r="AC37" s="81">
        <v>2.6798925520611001</v>
      </c>
      <c r="AD37" s="94">
        <v>245655.90959232088</v>
      </c>
      <c r="AE37" s="81">
        <v>-2.1599956450971058</v>
      </c>
      <c r="AF37" s="11">
        <f>(Opti_Medias__30_ALL_Data[[#This Row],[All: TS Index]]-AA$114) /ABS(AA$114)</f>
        <v>-0.3172253006933195</v>
      </c>
      <c r="AG37" s="11">
        <f>(Opti_Medias__30_ALL_Data[[#This Row],[All: Expectancy Score]]-AB$114) /ABS(AB$114)</f>
        <v>-0.37616358818094575</v>
      </c>
      <c r="AH37" s="11"/>
      <c r="AI37" s="11">
        <f>(Opti_Medias__30_ALL_Data[[#This Row],[All: Perfect Profit Correlation]]-AD$114) /ABS(AD$114)</f>
        <v>-0.20301227759562726</v>
      </c>
      <c r="AJ37" s="11">
        <f>(Opti_Medias__30_ALL_Data[[#This Row],[All: Robustness Index]]-AE$114) /ABS(AE$114)</f>
        <v>-1.0150949679227179</v>
      </c>
      <c r="AK37" s="11">
        <f>SUM(Opti_Medias__30_ALL_Data[[#This Row],[VAR TS Index]:[VAR Robustness Index]])</f>
        <v>-1.9114961343926105</v>
      </c>
      <c r="AL37" s="11">
        <f>Opti_Medias__30_ALL_Data[[#This Row],[SUMA]]-Opti_Medias__30_ALL_Data[[#This Row],[VAR Robustness Index]]</f>
        <v>-0.89640116646989254</v>
      </c>
    </row>
    <row r="38" spans="1:38" x14ac:dyDescent="0.25">
      <c r="A38" s="11"/>
      <c r="B38" s="17">
        <v>15</v>
      </c>
      <c r="C38" s="17">
        <v>8</v>
      </c>
      <c r="D38" s="17">
        <v>330</v>
      </c>
      <c r="E38" s="10">
        <v>243920</v>
      </c>
      <c r="F38" s="10">
        <v>2361620</v>
      </c>
      <c r="G38" s="10">
        <v>-2117700</v>
      </c>
      <c r="H38" s="17">
        <v>5227</v>
      </c>
      <c r="I38" s="11">
        <v>35.699253874115172</v>
      </c>
      <c r="J38" s="17">
        <v>1866</v>
      </c>
      <c r="K38" s="17">
        <v>3336</v>
      </c>
      <c r="L38" s="12">
        <v>16640</v>
      </c>
      <c r="M38" s="12">
        <v>-6600</v>
      </c>
      <c r="N38" s="12">
        <v>1265.6055908203125</v>
      </c>
      <c r="O38" s="12">
        <v>-634.80218505859375</v>
      </c>
      <c r="P38" s="11">
        <v>1.993700747428105</v>
      </c>
      <c r="Q38" s="13">
        <v>46.665391237803711</v>
      </c>
      <c r="R38" s="17">
        <v>7</v>
      </c>
      <c r="S38" s="17">
        <v>21</v>
      </c>
      <c r="T38" s="17">
        <v>67</v>
      </c>
      <c r="U38" s="17">
        <v>25</v>
      </c>
      <c r="V38" s="12">
        <v>-41525</v>
      </c>
      <c r="W38" s="11">
        <v>1.1151815649053221</v>
      </c>
      <c r="X38" s="17">
        <v>1</v>
      </c>
      <c r="Y38" s="12">
        <v>41525</v>
      </c>
      <c r="Z38" s="11">
        <v>587.40517760385308</v>
      </c>
      <c r="AA38" s="14">
        <v>10960.980614087899</v>
      </c>
      <c r="AB38" s="11">
        <v>1.2379186606401651</v>
      </c>
      <c r="AC38" s="11">
        <v>2.2591433180552092</v>
      </c>
      <c r="AD38" s="15">
        <v>221280.11688367967</v>
      </c>
      <c r="AE38" s="11">
        <v>35.107240347511102</v>
      </c>
      <c r="AF38" s="11">
        <f>(Opti_Medias__30_ALL_Data[[#This Row],[All: TS Index]]-AA$114) /ABS(AA$114)</f>
        <v>-0.31023148927326094</v>
      </c>
      <c r="AG38" s="11">
        <f>(Opti_Medias__30_ALL_Data[[#This Row],[All: Expectancy Score]]-AB$114) /ABS(AB$114)</f>
        <v>-0.59968573788870649</v>
      </c>
      <c r="AH38" s="11"/>
      <c r="AI38" s="11">
        <f>(Opti_Medias__30_ALL_Data[[#This Row],[All: Perfect Profit Correlation]]-AD$114) /ABS(AD$114)</f>
        <v>-0.2820952825390115</v>
      </c>
      <c r="AJ38" s="11">
        <f>(Opti_Medias__30_ALL_Data[[#This Row],[All: Robustness Index]]-AE$114) /ABS(AE$114)</f>
        <v>-0.75465567807799683</v>
      </c>
      <c r="AK38" s="11">
        <f>SUM(Opti_Medias__30_ALL_Data[[#This Row],[VAR TS Index]:[VAR Robustness Index]])</f>
        <v>-1.9466681877789758</v>
      </c>
      <c r="AL38" s="11">
        <f>Opti_Medias__30_ALL_Data[[#This Row],[SUMA]]-Opti_Medias__30_ALL_Data[[#This Row],[VAR Robustness Index]]</f>
        <v>-1.1920125097009788</v>
      </c>
    </row>
    <row r="39" spans="1:38" x14ac:dyDescent="0.25">
      <c r="A39" s="11"/>
      <c r="B39" s="17">
        <v>24</v>
      </c>
      <c r="C39" s="17">
        <v>8</v>
      </c>
      <c r="D39" s="17">
        <v>339</v>
      </c>
      <c r="E39" s="10">
        <v>220320</v>
      </c>
      <c r="F39" s="10">
        <v>2271130</v>
      </c>
      <c r="G39" s="10">
        <v>-2050810</v>
      </c>
      <c r="H39" s="17">
        <v>5047</v>
      </c>
      <c r="I39" s="11">
        <v>34.21834753318803</v>
      </c>
      <c r="J39" s="17">
        <v>1727</v>
      </c>
      <c r="K39" s="17">
        <v>3303</v>
      </c>
      <c r="L39" s="12">
        <v>17090</v>
      </c>
      <c r="M39" s="12">
        <v>-5240</v>
      </c>
      <c r="N39" s="12">
        <v>1315.0723876953125</v>
      </c>
      <c r="O39" s="12">
        <v>-620.89312744140625</v>
      </c>
      <c r="P39" s="11">
        <v>2.118033409573238</v>
      </c>
      <c r="Q39" s="13">
        <v>43.653655637012086</v>
      </c>
      <c r="R39" s="17">
        <v>11</v>
      </c>
      <c r="S39" s="17">
        <v>12</v>
      </c>
      <c r="T39" s="17">
        <v>74</v>
      </c>
      <c r="U39" s="17">
        <v>24</v>
      </c>
      <c r="V39" s="12">
        <v>-41105</v>
      </c>
      <c r="W39" s="11">
        <v>1.107430722495014</v>
      </c>
      <c r="X39" s="17">
        <v>1</v>
      </c>
      <c r="Y39" s="12">
        <v>41105</v>
      </c>
      <c r="Z39" s="11">
        <v>535.99318817662083</v>
      </c>
      <c r="AA39" s="14">
        <v>9256.602359810242</v>
      </c>
      <c r="AB39" s="11">
        <v>1.268133988729647</v>
      </c>
      <c r="AC39" s="11">
        <v>2.013530914257772</v>
      </c>
      <c r="AD39" s="15">
        <v>200122.69380531038</v>
      </c>
      <c r="AE39" s="11">
        <v>58.642266925346412</v>
      </c>
      <c r="AF39" s="11">
        <f>(Opti_Medias__30_ALL_Data[[#This Row],[All: TS Index]]-AA$114) /ABS(AA$114)</f>
        <v>-0.41748707995071666</v>
      </c>
      <c r="AG39" s="11">
        <f>(Opti_Medias__30_ALL_Data[[#This Row],[All: Expectancy Score]]-AB$114) /ABS(AB$114)</f>
        <v>-0.58991479965732341</v>
      </c>
      <c r="AH39" s="11"/>
      <c r="AI39" s="11">
        <f>(Opti_Medias__30_ALL_Data[[#This Row],[All: Perfect Profit Correlation]]-AD$114) /ABS(AD$114)</f>
        <v>-0.35073684894447266</v>
      </c>
      <c r="AJ39" s="11">
        <f>(Opti_Medias__30_ALL_Data[[#This Row],[All: Robustness Index]]-AE$114) /ABS(AE$114)</f>
        <v>-0.59018290607999258</v>
      </c>
      <c r="AK39" s="11">
        <f>SUM(Opti_Medias__30_ALL_Data[[#This Row],[VAR TS Index]:[VAR Robustness Index]])</f>
        <v>-1.9483216346325052</v>
      </c>
      <c r="AL39" s="11">
        <f>Opti_Medias__30_ALL_Data[[#This Row],[SUMA]]-Opti_Medias__30_ALL_Data[[#This Row],[VAR Robustness Index]]</f>
        <v>-1.3581387285525126</v>
      </c>
    </row>
    <row r="40" spans="1:38" x14ac:dyDescent="0.25">
      <c r="A40" s="11"/>
      <c r="B40" s="17">
        <v>33</v>
      </c>
      <c r="C40" s="17">
        <v>8</v>
      </c>
      <c r="D40" s="17">
        <v>348</v>
      </c>
      <c r="E40" s="10">
        <v>207650</v>
      </c>
      <c r="F40" s="10">
        <v>2342020</v>
      </c>
      <c r="G40" s="10">
        <v>-2134370</v>
      </c>
      <c r="H40" s="17">
        <v>5499</v>
      </c>
      <c r="I40" s="11">
        <v>32.005819239861793</v>
      </c>
      <c r="J40" s="17">
        <v>1760</v>
      </c>
      <c r="K40" s="17">
        <v>3720</v>
      </c>
      <c r="L40" s="12">
        <v>16890</v>
      </c>
      <c r="M40" s="12">
        <v>-4300</v>
      </c>
      <c r="N40" s="12">
        <v>1330.6932373046875</v>
      </c>
      <c r="O40" s="12">
        <v>-573.75537109375</v>
      </c>
      <c r="P40" s="11">
        <v>2.3192693338416799</v>
      </c>
      <c r="Q40" s="13">
        <v>37.761411165666487</v>
      </c>
      <c r="R40" s="17">
        <v>11</v>
      </c>
      <c r="S40" s="17">
        <v>18</v>
      </c>
      <c r="T40" s="17">
        <v>74</v>
      </c>
      <c r="U40" s="17">
        <v>21</v>
      </c>
      <c r="V40" s="12">
        <v>-33645</v>
      </c>
      <c r="W40" s="11">
        <v>1.0972886612911541</v>
      </c>
      <c r="X40" s="17">
        <v>1</v>
      </c>
      <c r="Y40" s="12">
        <v>33645</v>
      </c>
      <c r="Z40" s="11">
        <v>617.17937286372421</v>
      </c>
      <c r="AA40" s="14">
        <v>10862.356962401545</v>
      </c>
      <c r="AB40" s="11">
        <v>0.56555337849438503</v>
      </c>
      <c r="AC40" s="11">
        <v>1.868186633964307</v>
      </c>
      <c r="AD40" s="15">
        <v>193945.37127365178</v>
      </c>
      <c r="AE40" s="11">
        <v>78.896576077939045</v>
      </c>
      <c r="AF40" s="11">
        <f>(Opti_Medias__30_ALL_Data[[#This Row],[All: TS Index]]-AA$114) /ABS(AA$114)</f>
        <v>-0.31643782169380136</v>
      </c>
      <c r="AG40" s="11">
        <f>(Opti_Medias__30_ALL_Data[[#This Row],[All: Expectancy Score]]-AB$114) /ABS(AB$114)</f>
        <v>-0.81711311849887536</v>
      </c>
      <c r="AH40" s="11"/>
      <c r="AI40" s="11">
        <f>(Opti_Medias__30_ALL_Data[[#This Row],[All: Perfect Profit Correlation]]-AD$114) /ABS(AD$114)</f>
        <v>-0.37077809372150328</v>
      </c>
      <c r="AJ40" s="11">
        <f>(Opti_Medias__30_ALL_Data[[#This Row],[All: Robustness Index]]-AE$114) /ABS(AE$114)</f>
        <v>-0.4486371822961589</v>
      </c>
      <c r="AK40" s="11">
        <f>SUM(Opti_Medias__30_ALL_Data[[#This Row],[VAR TS Index]:[VAR Robustness Index]])</f>
        <v>-1.9529662162103389</v>
      </c>
      <c r="AL40" s="11">
        <f>Opti_Medias__30_ALL_Data[[#This Row],[SUMA]]-Opti_Medias__30_ALL_Data[[#This Row],[VAR Robustness Index]]</f>
        <v>-1.5043290339141802</v>
      </c>
    </row>
    <row r="41" spans="1:38" x14ac:dyDescent="0.25">
      <c r="A41" s="11"/>
      <c r="B41" s="17">
        <v>33</v>
      </c>
      <c r="C41" s="17">
        <v>1</v>
      </c>
      <c r="D41" s="17">
        <v>33</v>
      </c>
      <c r="E41" s="10">
        <v>231690</v>
      </c>
      <c r="F41" s="10">
        <v>2300560</v>
      </c>
      <c r="G41" s="10">
        <v>-2068870</v>
      </c>
      <c r="H41" s="17">
        <v>5326</v>
      </c>
      <c r="I41" s="11">
        <v>33.871573413443485</v>
      </c>
      <c r="J41" s="17">
        <v>1804</v>
      </c>
      <c r="K41" s="17">
        <v>3491</v>
      </c>
      <c r="L41" s="12">
        <v>17190</v>
      </c>
      <c r="M41" s="12">
        <v>-5700</v>
      </c>
      <c r="N41" s="12">
        <v>1275.2550048828125</v>
      </c>
      <c r="O41" s="12">
        <v>-592.629638671875</v>
      </c>
      <c r="P41" s="11">
        <v>2.1518582967614468</v>
      </c>
      <c r="Q41" s="13">
        <v>43.50168982350732</v>
      </c>
      <c r="R41" s="17">
        <v>7</v>
      </c>
      <c r="S41" s="17">
        <v>14</v>
      </c>
      <c r="T41" s="17">
        <v>70</v>
      </c>
      <c r="U41" s="17">
        <v>24</v>
      </c>
      <c r="V41" s="12">
        <v>-52485</v>
      </c>
      <c r="W41" s="11">
        <v>1.111988670143605</v>
      </c>
      <c r="X41" s="17">
        <v>1</v>
      </c>
      <c r="Y41" s="12">
        <v>52485</v>
      </c>
      <c r="Z41" s="11">
        <v>441.44041154615604</v>
      </c>
      <c r="AA41" s="14">
        <v>7963.5850242926554</v>
      </c>
      <c r="AB41" s="11">
        <v>0.72313747554553298</v>
      </c>
      <c r="AC41" s="11">
        <v>2.1254076459363431</v>
      </c>
      <c r="AD41" s="15">
        <v>214611.96717925285</v>
      </c>
      <c r="AE41" s="11">
        <v>86.972417557038142</v>
      </c>
      <c r="AF41" s="11">
        <f>(Opti_Medias__30_ALL_Data[[#This Row],[All: TS Index]]-AA$114) /ABS(AA$114)</f>
        <v>-0.49885595316243508</v>
      </c>
      <c r="AG41" s="11">
        <f>(Opti_Medias__30_ALL_Data[[#This Row],[All: Expectancy Score]]-AB$114) /ABS(AB$114)</f>
        <v>-0.76615406639210559</v>
      </c>
      <c r="AH41" s="11"/>
      <c r="AI41" s="11">
        <f>(Opti_Medias__30_ALL_Data[[#This Row],[All: Perfect Profit Correlation]]-AD$114) /ABS(AD$114)</f>
        <v>-0.30372893041014193</v>
      </c>
      <c r="AJ41" s="11">
        <f>(Opti_Medias__30_ALL_Data[[#This Row],[All: Robustness Index]]-AE$114) /ABS(AE$114)</f>
        <v>-0.39219976847420857</v>
      </c>
      <c r="AK41" s="11">
        <f>SUM(Opti_Medias__30_ALL_Data[[#This Row],[VAR TS Index]:[VAR Robustness Index]])</f>
        <v>-1.9609387184388911</v>
      </c>
      <c r="AL41" s="11">
        <f>Opti_Medias__30_ALL_Data[[#This Row],[SUMA]]-Opti_Medias__30_ALL_Data[[#This Row],[VAR Robustness Index]]</f>
        <v>-1.5687389499646827</v>
      </c>
    </row>
    <row r="42" spans="1:38" x14ac:dyDescent="0.25">
      <c r="A42" s="11"/>
      <c r="B42" s="17">
        <v>11</v>
      </c>
      <c r="C42" s="17">
        <v>3</v>
      </c>
      <c r="D42" s="17">
        <v>101</v>
      </c>
      <c r="E42" s="10">
        <v>256490</v>
      </c>
      <c r="F42" s="10">
        <v>2344540</v>
      </c>
      <c r="G42" s="10">
        <v>-2088050</v>
      </c>
      <c r="H42" s="17">
        <v>4755</v>
      </c>
      <c r="I42" s="11">
        <v>44.395373291272342</v>
      </c>
      <c r="J42" s="17">
        <v>2111</v>
      </c>
      <c r="K42" s="17">
        <v>2613</v>
      </c>
      <c r="L42" s="12">
        <v>18390</v>
      </c>
      <c r="M42" s="12">
        <v>-7000</v>
      </c>
      <c r="N42" s="12">
        <v>1110.6300048828125</v>
      </c>
      <c r="O42" s="12">
        <v>-799.10064697265625</v>
      </c>
      <c r="P42" s="11">
        <v>1.3898499633185959</v>
      </c>
      <c r="Q42" s="13">
        <v>53.941114616193481</v>
      </c>
      <c r="R42" s="17">
        <v>8</v>
      </c>
      <c r="S42" s="17">
        <v>12</v>
      </c>
      <c r="T42" s="17">
        <v>55</v>
      </c>
      <c r="U42" s="17">
        <v>35</v>
      </c>
      <c r="V42" s="12">
        <v>-74935</v>
      </c>
      <c r="W42" s="11">
        <v>1.1228370968128161</v>
      </c>
      <c r="X42" s="17">
        <v>1</v>
      </c>
      <c r="Y42" s="12">
        <v>74935</v>
      </c>
      <c r="Z42" s="11">
        <v>342.28331220391004</v>
      </c>
      <c r="AA42" s="14">
        <v>7225.6007206245413</v>
      </c>
      <c r="AB42" s="11">
        <v>2.5486507771174969</v>
      </c>
      <c r="AC42" s="11">
        <v>2.4630945133924809</v>
      </c>
      <c r="AD42" s="15">
        <v>217610.58139592793</v>
      </c>
      <c r="AE42" s="11">
        <v>7.638212455606805</v>
      </c>
      <c r="AF42" s="11">
        <f>(Opti_Medias__30_ALL_Data[[#This Row],[All: TS Index]]-AA$114) /ABS(AA$114)</f>
        <v>-0.54529690146833842</v>
      </c>
      <c r="AG42" s="11">
        <f>(Opti_Medias__30_ALL_Data[[#This Row],[All: Expectancy Score]]-AB$114) /ABS(AB$114)</f>
        <v>-0.17582528831615027</v>
      </c>
      <c r="AH42" s="11"/>
      <c r="AI42" s="11">
        <f>(Opti_Medias__30_ALL_Data[[#This Row],[All: Perfect Profit Correlation]]-AD$114) /ABS(AD$114)</f>
        <v>-0.29400044995598418</v>
      </c>
      <c r="AJ42" s="11">
        <f>(Opti_Medias__30_ALL_Data[[#This Row],[All: Robustness Index]]-AE$114) /ABS(AE$114)</f>
        <v>-0.94662092385880436</v>
      </c>
      <c r="AK42" s="11">
        <f>SUM(Opti_Medias__30_ALL_Data[[#This Row],[VAR TS Index]:[VAR Robustness Index]])</f>
        <v>-1.9617435635992773</v>
      </c>
      <c r="AL42" s="11">
        <f>Opti_Medias__30_ALL_Data[[#This Row],[SUMA]]-Opti_Medias__30_ALL_Data[[#This Row],[VAR Robustness Index]]</f>
        <v>-1.0151226397404729</v>
      </c>
    </row>
    <row r="43" spans="1:38" x14ac:dyDescent="0.25">
      <c r="A43" s="11"/>
      <c r="B43" s="17">
        <v>9</v>
      </c>
      <c r="C43" s="17">
        <v>8</v>
      </c>
      <c r="D43" s="17">
        <v>324</v>
      </c>
      <c r="E43" s="10">
        <v>268920</v>
      </c>
      <c r="F43" s="10">
        <v>2486910</v>
      </c>
      <c r="G43" s="10">
        <v>-2217990</v>
      </c>
      <c r="H43" s="17">
        <v>5611</v>
      </c>
      <c r="I43" s="11">
        <v>37.24826234182855</v>
      </c>
      <c r="J43" s="17">
        <v>2090</v>
      </c>
      <c r="K43" s="17">
        <v>3500</v>
      </c>
      <c r="L43" s="12">
        <v>18310</v>
      </c>
      <c r="M43" s="12">
        <v>-6980</v>
      </c>
      <c r="N43" s="12">
        <v>1189.9090576171875</v>
      </c>
      <c r="O43" s="12">
        <v>-633.71142578125</v>
      </c>
      <c r="P43" s="11">
        <v>1.877682820931069</v>
      </c>
      <c r="Q43" s="13">
        <v>47.927285688825521</v>
      </c>
      <c r="R43" s="17">
        <v>7</v>
      </c>
      <c r="S43" s="17">
        <v>15</v>
      </c>
      <c r="T43" s="17">
        <v>59</v>
      </c>
      <c r="U43" s="17">
        <v>24</v>
      </c>
      <c r="V43" s="12">
        <v>-57375</v>
      </c>
      <c r="W43" s="11">
        <v>1.1212449109328719</v>
      </c>
      <c r="X43" s="17">
        <v>1</v>
      </c>
      <c r="Y43" s="12">
        <v>57375</v>
      </c>
      <c r="Z43" s="11">
        <v>468.70588235294116</v>
      </c>
      <c r="AA43" s="14">
        <v>9795.9529411764706</v>
      </c>
      <c r="AB43" s="11">
        <v>1.1089195696852381</v>
      </c>
      <c r="AC43" s="11">
        <v>2.5201237357082591</v>
      </c>
      <c r="AD43" s="15">
        <v>245400.42503776235</v>
      </c>
      <c r="AE43" s="11">
        <v>35.176720999570051</v>
      </c>
      <c r="AF43" s="11">
        <f>(Opti_Medias__30_ALL_Data[[#This Row],[All: TS Index]]-AA$114) /ABS(AA$114)</f>
        <v>-0.38354604307027307</v>
      </c>
      <c r="AG43" s="11">
        <f>(Opti_Medias__30_ALL_Data[[#This Row],[All: Expectancy Score]]-AB$114) /ABS(AB$114)</f>
        <v>-0.64140106018778598</v>
      </c>
      <c r="AH43" s="11"/>
      <c r="AI43" s="11">
        <f>(Opti_Medias__30_ALL_Data[[#This Row],[All: Perfect Profit Correlation]]-AD$114) /ABS(AD$114)</f>
        <v>-0.20384115264115338</v>
      </c>
      <c r="AJ43" s="11">
        <f>(Opti_Medias__30_ALL_Data[[#This Row],[All: Robustness Index]]-AE$114) /ABS(AE$114)</f>
        <v>-0.7541701177406599</v>
      </c>
      <c r="AK43" s="11">
        <f>SUM(Opti_Medias__30_ALL_Data[[#This Row],[VAR TS Index]:[VAR Robustness Index]])</f>
        <v>-1.9829583736398724</v>
      </c>
      <c r="AL43" s="11">
        <f>Opti_Medias__30_ALL_Data[[#This Row],[SUMA]]-Opti_Medias__30_ALL_Data[[#This Row],[VAR Robustness Index]]</f>
        <v>-1.2287882558992125</v>
      </c>
    </row>
    <row r="44" spans="1:38" x14ac:dyDescent="0.25">
      <c r="A44" s="11"/>
      <c r="B44" s="17">
        <v>33</v>
      </c>
      <c r="C44" s="17">
        <v>11</v>
      </c>
      <c r="D44" s="17">
        <v>483</v>
      </c>
      <c r="E44" s="10">
        <v>247710</v>
      </c>
      <c r="F44" s="10">
        <v>2334720</v>
      </c>
      <c r="G44" s="10">
        <v>-2087010</v>
      </c>
      <c r="H44" s="17">
        <v>5257</v>
      </c>
      <c r="I44" s="11">
        <v>36.636865132204683</v>
      </c>
      <c r="J44" s="17">
        <v>1926</v>
      </c>
      <c r="K44" s="17">
        <v>3304</v>
      </c>
      <c r="L44" s="12">
        <v>18440</v>
      </c>
      <c r="M44" s="12">
        <v>-5240</v>
      </c>
      <c r="N44" s="12">
        <v>1212.2117919921875</v>
      </c>
      <c r="O44" s="12">
        <v>-631.66162109375</v>
      </c>
      <c r="P44" s="11">
        <v>1.9190841290835261</v>
      </c>
      <c r="Q44" s="13">
        <v>47.120030435609664</v>
      </c>
      <c r="R44" s="17">
        <v>7</v>
      </c>
      <c r="S44" s="17">
        <v>15</v>
      </c>
      <c r="T44" s="17">
        <v>67</v>
      </c>
      <c r="U44" s="17">
        <v>24</v>
      </c>
      <c r="V44" s="12">
        <v>-64745</v>
      </c>
      <c r="W44" s="11">
        <v>1.1186913335345781</v>
      </c>
      <c r="X44" s="17">
        <v>1</v>
      </c>
      <c r="Y44" s="12">
        <v>64745</v>
      </c>
      <c r="Z44" s="11">
        <v>382.59325044404972</v>
      </c>
      <c r="AA44" s="14">
        <v>7368.7460035523982</v>
      </c>
      <c r="AB44" s="11">
        <v>0.43170962695779602</v>
      </c>
      <c r="AC44" s="11">
        <v>2.3081879139583421</v>
      </c>
      <c r="AD44" s="15">
        <v>224510.36149770676</v>
      </c>
      <c r="AE44" s="11">
        <v>95.034086250169864</v>
      </c>
      <c r="AF44" s="11">
        <f>(Opti_Medias__30_ALL_Data[[#This Row],[All: TS Index]]-AA$114) /ABS(AA$114)</f>
        <v>-0.53628884716197456</v>
      </c>
      <c r="AG44" s="11">
        <f>(Opti_Medias__30_ALL_Data[[#This Row],[All: Expectancy Score]]-AB$114) /ABS(AB$114)</f>
        <v>-0.86039509197431296</v>
      </c>
      <c r="AH44" s="11"/>
      <c r="AI44" s="11">
        <f>(Opti_Medias__30_ALL_Data[[#This Row],[All: Perfect Profit Correlation]]-AD$114) /ABS(AD$114)</f>
        <v>-0.27161531768892955</v>
      </c>
      <c r="AJ44" s="11">
        <f>(Opti_Medias__30_ALL_Data[[#This Row],[All: Robustness Index]]-AE$114) /ABS(AE$114)</f>
        <v>-0.33586140010637228</v>
      </c>
      <c r="AK44" s="11">
        <f>SUM(Opti_Medias__30_ALL_Data[[#This Row],[VAR TS Index]:[VAR Robustness Index]])</f>
        <v>-2.0041606569315893</v>
      </c>
      <c r="AL44" s="11">
        <f>Opti_Medias__30_ALL_Data[[#This Row],[SUMA]]-Opti_Medias__30_ALL_Data[[#This Row],[VAR Robustness Index]]</f>
        <v>-1.6682992568252171</v>
      </c>
    </row>
    <row r="45" spans="1:38" x14ac:dyDescent="0.25">
      <c r="A45" s="11"/>
      <c r="B45" s="17">
        <v>29</v>
      </c>
      <c r="C45" s="17">
        <v>1</v>
      </c>
      <c r="D45" s="17">
        <v>29</v>
      </c>
      <c r="E45" s="10">
        <v>175070</v>
      </c>
      <c r="F45" s="10">
        <v>2237050</v>
      </c>
      <c r="G45" s="10">
        <v>-2061980</v>
      </c>
      <c r="H45" s="17">
        <v>5072</v>
      </c>
      <c r="I45" s="11">
        <v>35.410094637223978</v>
      </c>
      <c r="J45" s="17">
        <v>1796</v>
      </c>
      <c r="K45" s="17">
        <v>3244</v>
      </c>
      <c r="L45" s="12">
        <v>17550</v>
      </c>
      <c r="M45" s="12">
        <v>-5020</v>
      </c>
      <c r="N45" s="12">
        <v>1245.573486328125</v>
      </c>
      <c r="O45" s="12">
        <v>-635.62884521484375</v>
      </c>
      <c r="P45" s="11">
        <v>1.9595924503821389</v>
      </c>
      <c r="Q45" s="13">
        <v>34.516955835962143</v>
      </c>
      <c r="R45" s="17">
        <v>9</v>
      </c>
      <c r="S45" s="17">
        <v>13</v>
      </c>
      <c r="T45" s="17">
        <v>70</v>
      </c>
      <c r="U45" s="17">
        <v>25</v>
      </c>
      <c r="V45" s="12">
        <v>-59035</v>
      </c>
      <c r="W45" s="11">
        <v>1.084903830299033</v>
      </c>
      <c r="X45" s="17">
        <v>1</v>
      </c>
      <c r="Y45" s="12">
        <v>59035</v>
      </c>
      <c r="Z45" s="11">
        <v>296.55289235199456</v>
      </c>
      <c r="AA45" s="14">
        <v>5326.0899466418223</v>
      </c>
      <c r="AB45" s="11">
        <v>1.2210286459444151</v>
      </c>
      <c r="AC45" s="11">
        <v>1.584864970410145</v>
      </c>
      <c r="AD45" s="15">
        <v>159987.62309045746</v>
      </c>
      <c r="AE45" s="11">
        <v>100.6527535423167</v>
      </c>
      <c r="AF45" s="11">
        <f>(Opti_Medias__30_ALL_Data[[#This Row],[All: TS Index]]-AA$114) /ABS(AA$114)</f>
        <v>-0.66483207480816309</v>
      </c>
      <c r="AG45" s="11">
        <f>(Opti_Medias__30_ALL_Data[[#This Row],[All: Expectancy Score]]-AB$114) /ABS(AB$114)</f>
        <v>-0.60514757797962293</v>
      </c>
      <c r="AH45" s="11"/>
      <c r="AI45" s="11">
        <f>(Opti_Medias__30_ALL_Data[[#This Row],[All: Perfect Profit Correlation]]-AD$114) /ABS(AD$114)</f>
        <v>-0.48094808078763684</v>
      </c>
      <c r="AJ45" s="11">
        <f>(Opti_Medias__30_ALL_Data[[#This Row],[All: Robustness Index]]-AE$114) /ABS(AE$114)</f>
        <v>-0.29659576420757022</v>
      </c>
      <c r="AK45" s="11">
        <f>SUM(Opti_Medias__30_ALL_Data[[#This Row],[VAR TS Index]:[VAR Robustness Index]])</f>
        <v>-2.047523497782993</v>
      </c>
      <c r="AL45" s="11">
        <f>Opti_Medias__30_ALL_Data[[#This Row],[SUMA]]-Opti_Medias__30_ALL_Data[[#This Row],[VAR Robustness Index]]</f>
        <v>-1.7509277335754228</v>
      </c>
    </row>
    <row r="46" spans="1:38" x14ac:dyDescent="0.25">
      <c r="A46" s="11"/>
      <c r="B46" s="17">
        <v>32</v>
      </c>
      <c r="C46" s="17">
        <v>8</v>
      </c>
      <c r="D46" s="17">
        <v>347</v>
      </c>
      <c r="E46" s="4">
        <v>210750</v>
      </c>
      <c r="F46" s="4">
        <v>2329150</v>
      </c>
      <c r="G46" s="4">
        <v>-2118400</v>
      </c>
      <c r="H46" s="17">
        <v>5411</v>
      </c>
      <c r="I46" s="5">
        <v>32.193679541674364</v>
      </c>
      <c r="J46" s="17">
        <v>1742</v>
      </c>
      <c r="K46" s="17">
        <v>3649</v>
      </c>
      <c r="L46" s="6">
        <v>16890</v>
      </c>
      <c r="M46" s="6">
        <v>-5350</v>
      </c>
      <c r="N46" s="6">
        <v>1337.0550537109375</v>
      </c>
      <c r="O46" s="6">
        <v>-580.5426025390625</v>
      </c>
      <c r="P46" s="5">
        <v>2.3031127222415551</v>
      </c>
      <c r="Q46" s="7">
        <v>38.948438366290887</v>
      </c>
      <c r="R46" s="17">
        <v>11</v>
      </c>
      <c r="S46" s="17">
        <v>17</v>
      </c>
      <c r="T46" s="17">
        <v>75</v>
      </c>
      <c r="U46" s="17">
        <v>22</v>
      </c>
      <c r="V46" s="6">
        <v>-34285</v>
      </c>
      <c r="W46" s="5">
        <v>1.099485460725075</v>
      </c>
      <c r="X46" s="17">
        <v>1</v>
      </c>
      <c r="Y46" s="6">
        <v>34285</v>
      </c>
      <c r="Z46" s="5">
        <v>614.70030625638037</v>
      </c>
      <c r="AA46" s="8">
        <v>10708.079334986145</v>
      </c>
      <c r="AB46" s="5">
        <v>0.72924894324374701</v>
      </c>
      <c r="AC46" s="5">
        <v>1.9001377577961911</v>
      </c>
      <c r="AD46" s="9">
        <v>195746.92362762123</v>
      </c>
      <c r="AE46" s="5">
        <v>57.988565102959264</v>
      </c>
      <c r="AF46" s="11">
        <f>(Opti_Medias__30_ALL_Data[[#This Row],[All: TS Index]]-AA$114) /ABS(AA$114)</f>
        <v>-0.32614642834565527</v>
      </c>
      <c r="AG46" s="11">
        <f>(Opti_Medias__30_ALL_Data[[#This Row],[All: Expectancy Score]]-AB$114) /ABS(AB$114)</f>
        <v>-0.76417775909517671</v>
      </c>
      <c r="AH46" s="11"/>
      <c r="AI46" s="11">
        <f>(Opti_Medias__30_ALL_Data[[#This Row],[All: Perfect Profit Correlation]]-AD$114) /ABS(AD$114)</f>
        <v>-0.36493327154822375</v>
      </c>
      <c r="AJ46" s="11">
        <f>(Opti_Medias__30_ALL_Data[[#This Row],[All: Robustness Index]]-AE$114) /ABS(AE$114)</f>
        <v>-0.59475125234603909</v>
      </c>
      <c r="AK46" s="11">
        <f>SUM(Opti_Medias__30_ALL_Data[[#This Row],[VAR TS Index]:[VAR Robustness Index]])</f>
        <v>-2.0500087113350949</v>
      </c>
      <c r="AL46" s="11">
        <f>Opti_Medias__30_ALL_Data[[#This Row],[SUMA]]-Opti_Medias__30_ALL_Data[[#This Row],[VAR Robustness Index]]</f>
        <v>-1.4552574589890557</v>
      </c>
    </row>
    <row r="47" spans="1:38" x14ac:dyDescent="0.25">
      <c r="A47" s="11"/>
      <c r="B47" s="17">
        <v>36</v>
      </c>
      <c r="C47" s="17">
        <v>8</v>
      </c>
      <c r="D47" s="17">
        <v>351</v>
      </c>
      <c r="E47" s="10">
        <v>161490</v>
      </c>
      <c r="F47" s="10">
        <v>2390140</v>
      </c>
      <c r="G47" s="10">
        <v>-2228650</v>
      </c>
      <c r="H47" s="17">
        <v>5965</v>
      </c>
      <c r="I47" s="11">
        <v>30.578373847443419</v>
      </c>
      <c r="J47" s="17">
        <v>1824</v>
      </c>
      <c r="K47" s="17">
        <v>4118</v>
      </c>
      <c r="L47" s="12">
        <v>18070</v>
      </c>
      <c r="M47" s="12">
        <v>-4490</v>
      </c>
      <c r="N47" s="12">
        <v>1310.3837890625</v>
      </c>
      <c r="O47" s="12">
        <v>-541.19720458984375</v>
      </c>
      <c r="P47" s="11">
        <v>2.4212685837052659</v>
      </c>
      <c r="Q47" s="13">
        <v>27.07292539815591</v>
      </c>
      <c r="R47" s="17">
        <v>7</v>
      </c>
      <c r="S47" s="17">
        <v>21</v>
      </c>
      <c r="T47" s="17">
        <v>72</v>
      </c>
      <c r="U47" s="17">
        <v>19</v>
      </c>
      <c r="V47" s="12">
        <v>-51545</v>
      </c>
      <c r="W47" s="11">
        <v>1.072460906827003</v>
      </c>
      <c r="X47" s="17">
        <v>1</v>
      </c>
      <c r="Y47" s="12">
        <v>51545</v>
      </c>
      <c r="Z47" s="11">
        <v>313.29905907459499</v>
      </c>
      <c r="AA47" s="14">
        <v>5714.5748375206131</v>
      </c>
      <c r="AB47" s="11">
        <v>1.9432855784615051</v>
      </c>
      <c r="AC47" s="11">
        <v>1.402552331236615</v>
      </c>
      <c r="AD47" s="15">
        <v>147008.10582134762</v>
      </c>
      <c r="AE47" s="11">
        <v>68.019182385666838</v>
      </c>
      <c r="AF47" s="11">
        <f>(Opti_Medias__30_ALL_Data[[#This Row],[All: TS Index]]-AA$114) /ABS(AA$114)</f>
        <v>-0.64038493325616597</v>
      </c>
      <c r="AG47" s="11">
        <f>(Opti_Medias__30_ALL_Data[[#This Row],[All: Expectancy Score]]-AB$114) /ABS(AB$114)</f>
        <v>-0.37158639162039364</v>
      </c>
      <c r="AH47" s="11"/>
      <c r="AI47" s="11">
        <f>(Opti_Medias__30_ALL_Data[[#This Row],[All: Perfect Profit Correlation]]-AD$114) /ABS(AD$114)</f>
        <v>-0.52305785914950631</v>
      </c>
      <c r="AJ47" s="11">
        <f>(Opti_Medias__30_ALL_Data[[#This Row],[All: Robustness Index]]-AE$114) /ABS(AE$114)</f>
        <v>-0.52465303410600916</v>
      </c>
      <c r="AK47" s="11">
        <f>SUM(Opti_Medias__30_ALL_Data[[#This Row],[VAR TS Index]:[VAR Robustness Index]])</f>
        <v>-2.0596822181320751</v>
      </c>
      <c r="AL47" s="11">
        <f>Opti_Medias__30_ALL_Data[[#This Row],[SUMA]]-Opti_Medias__30_ALL_Data[[#This Row],[VAR Robustness Index]]</f>
        <v>-1.5350291840260659</v>
      </c>
    </row>
    <row r="48" spans="1:38" x14ac:dyDescent="0.25">
      <c r="A48" s="11"/>
      <c r="B48" s="17">
        <v>26</v>
      </c>
      <c r="C48" s="17">
        <v>8</v>
      </c>
      <c r="D48" s="17">
        <v>341</v>
      </c>
      <c r="E48" s="10">
        <v>210820</v>
      </c>
      <c r="F48" s="10">
        <v>2268940</v>
      </c>
      <c r="G48" s="10">
        <v>-2058120</v>
      </c>
      <c r="H48" s="17">
        <v>5067</v>
      </c>
      <c r="I48" s="11">
        <v>33.668837576475234</v>
      </c>
      <c r="J48" s="17">
        <v>1706</v>
      </c>
      <c r="K48" s="17">
        <v>3344</v>
      </c>
      <c r="L48" s="12">
        <v>17090</v>
      </c>
      <c r="M48" s="12">
        <v>-5240</v>
      </c>
      <c r="N48" s="12">
        <v>1329.9765625</v>
      </c>
      <c r="O48" s="12">
        <v>-615.46649169921875</v>
      </c>
      <c r="P48" s="11">
        <v>2.160924405207044</v>
      </c>
      <c r="Q48" s="13">
        <v>41.606473258338269</v>
      </c>
      <c r="R48" s="17">
        <v>11</v>
      </c>
      <c r="S48" s="17">
        <v>15</v>
      </c>
      <c r="T48" s="17">
        <v>75</v>
      </c>
      <c r="U48" s="17">
        <v>24</v>
      </c>
      <c r="V48" s="12">
        <v>-34735</v>
      </c>
      <c r="W48" s="11">
        <v>1.102433288632344</v>
      </c>
      <c r="X48" s="17">
        <v>1</v>
      </c>
      <c r="Y48" s="12">
        <v>34735</v>
      </c>
      <c r="Z48" s="11">
        <v>606.93824672520509</v>
      </c>
      <c r="AA48" s="14">
        <v>10354.366489131999</v>
      </c>
      <c r="AB48" s="11">
        <v>1.1466468621834991</v>
      </c>
      <c r="AC48" s="11">
        <v>1.914777614456552</v>
      </c>
      <c r="AD48" s="15">
        <v>191744.89164243775</v>
      </c>
      <c r="AE48" s="11">
        <v>39.846171069007575</v>
      </c>
      <c r="AF48" s="11">
        <f>(Opti_Medias__30_ALL_Data[[#This Row],[All: TS Index]]-AA$114) /ABS(AA$114)</f>
        <v>-0.34840538413617544</v>
      </c>
      <c r="AG48" s="11">
        <f>(Opti_Medias__30_ALL_Data[[#This Row],[All: Expectancy Score]]-AB$114) /ABS(AB$114)</f>
        <v>-0.62920092641640535</v>
      </c>
      <c r="AH48" s="11"/>
      <c r="AI48" s="11">
        <f>(Opti_Medias__30_ALL_Data[[#This Row],[All: Perfect Profit Correlation]]-AD$114) /ABS(AD$114)</f>
        <v>-0.37791716581787144</v>
      </c>
      <c r="AJ48" s="11">
        <f>(Opti_Medias__30_ALL_Data[[#This Row],[All: Robustness Index]]-AE$114) /ABS(AE$114)</f>
        <v>-0.72153801536819262</v>
      </c>
      <c r="AK48" s="11">
        <f>SUM(Opti_Medias__30_ALL_Data[[#This Row],[VAR TS Index]:[VAR Robustness Index]])</f>
        <v>-2.077061491738645</v>
      </c>
      <c r="AL48" s="11">
        <f>Opti_Medias__30_ALL_Data[[#This Row],[SUMA]]-Opti_Medias__30_ALL_Data[[#This Row],[VAR Robustness Index]]</f>
        <v>-1.3555234763704522</v>
      </c>
    </row>
    <row r="49" spans="1:38" x14ac:dyDescent="0.25">
      <c r="A49" s="11"/>
      <c r="B49" s="17">
        <v>17</v>
      </c>
      <c r="C49" s="17">
        <v>8</v>
      </c>
      <c r="D49" s="17">
        <v>332</v>
      </c>
      <c r="E49" s="10">
        <v>253980</v>
      </c>
      <c r="F49" s="10">
        <v>2349400</v>
      </c>
      <c r="G49" s="10">
        <v>-2095420</v>
      </c>
      <c r="H49" s="17">
        <v>5171</v>
      </c>
      <c r="I49" s="11">
        <v>35.022239412105975</v>
      </c>
      <c r="J49" s="17">
        <v>1811</v>
      </c>
      <c r="K49" s="17">
        <v>3343</v>
      </c>
      <c r="L49" s="12">
        <v>16640</v>
      </c>
      <c r="M49" s="12">
        <v>-6600</v>
      </c>
      <c r="N49" s="12">
        <v>1297.2943115234375</v>
      </c>
      <c r="O49" s="12">
        <v>-626.8082275390625</v>
      </c>
      <c r="P49" s="11">
        <v>2.0696829660593292</v>
      </c>
      <c r="Q49" s="13">
        <v>49.116225101527753</v>
      </c>
      <c r="R49" s="17">
        <v>8</v>
      </c>
      <c r="S49" s="17">
        <v>17</v>
      </c>
      <c r="T49" s="17">
        <v>70</v>
      </c>
      <c r="U49" s="17">
        <v>25</v>
      </c>
      <c r="V49" s="12">
        <v>-40325</v>
      </c>
      <c r="W49" s="11">
        <v>1.1212072042836281</v>
      </c>
      <c r="X49" s="17">
        <v>1</v>
      </c>
      <c r="Y49" s="12">
        <v>40325</v>
      </c>
      <c r="Z49" s="11">
        <v>629.83261004339738</v>
      </c>
      <c r="AA49" s="14">
        <v>11406.268567885927</v>
      </c>
      <c r="AB49" s="11">
        <v>0.59876691255356695</v>
      </c>
      <c r="AC49" s="11">
        <v>2.3501377075354029</v>
      </c>
      <c r="AD49" s="15">
        <v>233267.45599012225</v>
      </c>
      <c r="AE49" s="11">
        <v>35.599818599896409</v>
      </c>
      <c r="AF49" s="11">
        <f>(Opti_Medias__30_ALL_Data[[#This Row],[All: TS Index]]-AA$114) /ABS(AA$114)</f>
        <v>-0.28220976206200615</v>
      </c>
      <c r="AG49" s="11">
        <f>(Opti_Medias__30_ALL_Data[[#This Row],[All: Expectancy Score]]-AB$114) /ABS(AB$114)</f>
        <v>-0.80637262980462299</v>
      </c>
      <c r="AH49" s="11"/>
      <c r="AI49" s="11">
        <f>(Opti_Medias__30_ALL_Data[[#This Row],[All: Perfect Profit Correlation]]-AD$114) /ABS(AD$114)</f>
        <v>-0.24320445305321767</v>
      </c>
      <c r="AJ49" s="11">
        <f>(Opti_Medias__30_ALL_Data[[#This Row],[All: Robustness Index]]-AE$114) /ABS(AE$114)</f>
        <v>-0.7512133318232429</v>
      </c>
      <c r="AK49" s="11">
        <f>SUM(Opti_Medias__30_ALL_Data[[#This Row],[VAR TS Index]:[VAR Robustness Index]])</f>
        <v>-2.0830001767430897</v>
      </c>
      <c r="AL49" s="11">
        <f>Opti_Medias__30_ALL_Data[[#This Row],[SUMA]]-Opti_Medias__30_ALL_Data[[#This Row],[VAR Robustness Index]]</f>
        <v>-1.3317868449198467</v>
      </c>
    </row>
    <row r="50" spans="1:38" x14ac:dyDescent="0.25">
      <c r="A50" s="11"/>
      <c r="B50" s="17">
        <v>27</v>
      </c>
      <c r="C50" s="17">
        <v>8</v>
      </c>
      <c r="D50" s="17">
        <v>342</v>
      </c>
      <c r="E50" s="10">
        <v>230220</v>
      </c>
      <c r="F50" s="10">
        <v>2280280</v>
      </c>
      <c r="G50" s="10">
        <v>-2050060</v>
      </c>
      <c r="H50" s="17">
        <v>5073</v>
      </c>
      <c r="I50" s="11">
        <v>33.550167553715752</v>
      </c>
      <c r="J50" s="17">
        <v>1702</v>
      </c>
      <c r="K50" s="17">
        <v>3355</v>
      </c>
      <c r="L50" s="12">
        <v>17090</v>
      </c>
      <c r="M50" s="12">
        <v>-5240</v>
      </c>
      <c r="N50" s="12">
        <v>1339.7650146484375</v>
      </c>
      <c r="O50" s="12">
        <v>-611.04620361328125</v>
      </c>
      <c r="P50" s="11">
        <v>2.1925756296758658</v>
      </c>
      <c r="Q50" s="13">
        <v>45.381431105854524</v>
      </c>
      <c r="R50" s="17">
        <v>11</v>
      </c>
      <c r="S50" s="17">
        <v>16</v>
      </c>
      <c r="T50" s="17">
        <v>75</v>
      </c>
      <c r="U50" s="17">
        <v>24</v>
      </c>
      <c r="V50" s="12">
        <v>-40305</v>
      </c>
      <c r="W50" s="11">
        <v>1.112299152219935</v>
      </c>
      <c r="X50" s="17">
        <v>1</v>
      </c>
      <c r="Y50" s="12">
        <v>40305</v>
      </c>
      <c r="Z50" s="11">
        <v>571.19464086341645</v>
      </c>
      <c r="AA50" s="14">
        <v>9721.732787495348</v>
      </c>
      <c r="AB50" s="11">
        <v>0.90556741148048503</v>
      </c>
      <c r="AC50" s="11">
        <v>2.1034082919358248</v>
      </c>
      <c r="AD50" s="15">
        <v>209541.033971058</v>
      </c>
      <c r="AE50" s="11">
        <v>46.667317231845168</v>
      </c>
      <c r="AF50" s="11">
        <f>(Opti_Medias__30_ALL_Data[[#This Row],[All: TS Index]]-AA$114) /ABS(AA$114)</f>
        <v>-0.38821667671820947</v>
      </c>
      <c r="AG50" s="11">
        <f>(Opti_Medias__30_ALL_Data[[#This Row],[All: Expectancy Score]]-AB$114) /ABS(AB$114)</f>
        <v>-0.70716044466816685</v>
      </c>
      <c r="AH50" s="11"/>
      <c r="AI50" s="11">
        <f>(Opti_Medias__30_ALL_Data[[#This Row],[All: Perfect Profit Correlation]]-AD$114) /ABS(AD$114)</f>
        <v>-0.32018068813406952</v>
      </c>
      <c r="AJ50" s="11">
        <f>(Opti_Medias__30_ALL_Data[[#This Row],[All: Robustness Index]]-AE$114) /ABS(AE$114)</f>
        <v>-0.67386894586894586</v>
      </c>
      <c r="AK50" s="11">
        <f>SUM(Opti_Medias__30_ALL_Data[[#This Row],[VAR TS Index]:[VAR Robustness Index]])</f>
        <v>-2.0894267553893919</v>
      </c>
      <c r="AL50" s="11">
        <f>Opti_Medias__30_ALL_Data[[#This Row],[SUMA]]-Opti_Medias__30_ALL_Data[[#This Row],[VAR Robustness Index]]</f>
        <v>-1.415557809520446</v>
      </c>
    </row>
    <row r="51" spans="1:38" x14ac:dyDescent="0.25">
      <c r="A51" s="11"/>
      <c r="B51" s="17">
        <v>35</v>
      </c>
      <c r="C51" s="17">
        <v>5</v>
      </c>
      <c r="D51" s="17">
        <v>215</v>
      </c>
      <c r="E51" s="10">
        <v>187930</v>
      </c>
      <c r="F51" s="10">
        <v>2117330</v>
      </c>
      <c r="G51" s="10">
        <v>-1929400</v>
      </c>
      <c r="H51" s="17">
        <v>5128</v>
      </c>
      <c r="I51" s="11">
        <v>31.493759750390016</v>
      </c>
      <c r="J51" s="17">
        <v>1615</v>
      </c>
      <c r="K51" s="17">
        <v>3474</v>
      </c>
      <c r="L51" s="12">
        <v>16600</v>
      </c>
      <c r="M51" s="12">
        <v>-4240</v>
      </c>
      <c r="N51" s="12">
        <v>1311.040283203125</v>
      </c>
      <c r="O51" s="12">
        <v>-555.38287353515625</v>
      </c>
      <c r="P51" s="11">
        <v>2.36060625142798</v>
      </c>
      <c r="Q51" s="13">
        <v>36.647815912636503</v>
      </c>
      <c r="R51" s="17">
        <v>6</v>
      </c>
      <c r="S51" s="17">
        <v>19</v>
      </c>
      <c r="T51" s="17">
        <v>82</v>
      </c>
      <c r="U51" s="17">
        <v>22</v>
      </c>
      <c r="V51" s="12">
        <v>-44165</v>
      </c>
      <c r="W51" s="11">
        <v>1.097403337825231</v>
      </c>
      <c r="X51" s="17">
        <v>1</v>
      </c>
      <c r="Y51" s="12">
        <v>44165</v>
      </c>
      <c r="Z51" s="11">
        <v>425.51794407336126</v>
      </c>
      <c r="AA51" s="14">
        <v>6872.1147967847846</v>
      </c>
      <c r="AB51" s="11">
        <v>0.97589654232305101</v>
      </c>
      <c r="AC51" s="11">
        <v>1.6797776827757811</v>
      </c>
      <c r="AD51" s="15">
        <v>173241.48161047287</v>
      </c>
      <c r="AE51" s="11">
        <v>84.193787750284017</v>
      </c>
      <c r="AF51" s="11">
        <f>(Opti_Medias__30_ALL_Data[[#This Row],[All: TS Index]]-AA$114) /ABS(AA$114)</f>
        <v>-0.5675415771806952</v>
      </c>
      <c r="AG51" s="11">
        <f>(Opti_Medias__30_ALL_Data[[#This Row],[All: Expectancy Score]]-AB$114) /ABS(AB$114)</f>
        <v>-0.68441763044836079</v>
      </c>
      <c r="AH51" s="11"/>
      <c r="AI51" s="11">
        <f>(Opti_Medias__30_ALL_Data[[#This Row],[All: Perfect Profit Correlation]]-AD$114) /ABS(AD$114)</f>
        <v>-0.43794825012015154</v>
      </c>
      <c r="AJ51" s="11">
        <f>(Opti_Medias__30_ALL_Data[[#This Row],[All: Robustness Index]]-AE$114) /ABS(AE$114)</f>
        <v>-0.41161801494024525</v>
      </c>
      <c r="AK51" s="11">
        <f>SUM(Opti_Medias__30_ALL_Data[[#This Row],[VAR TS Index]:[VAR Robustness Index]])</f>
        <v>-2.1015254726894526</v>
      </c>
      <c r="AL51" s="11">
        <f>Opti_Medias__30_ALL_Data[[#This Row],[SUMA]]-Opti_Medias__30_ALL_Data[[#This Row],[VAR Robustness Index]]</f>
        <v>-1.6899074577492073</v>
      </c>
    </row>
    <row r="52" spans="1:38" x14ac:dyDescent="0.25">
      <c r="A52" s="11"/>
      <c r="B52" s="17">
        <v>22</v>
      </c>
      <c r="C52" s="17">
        <v>11</v>
      </c>
      <c r="D52" s="17">
        <v>472</v>
      </c>
      <c r="E52" s="10">
        <v>183270</v>
      </c>
      <c r="F52" s="10">
        <v>2360340</v>
      </c>
      <c r="G52" s="10">
        <v>-2177070</v>
      </c>
      <c r="H52" s="17">
        <v>5293</v>
      </c>
      <c r="I52" s="11">
        <v>41.450972983185338</v>
      </c>
      <c r="J52" s="17">
        <v>2194</v>
      </c>
      <c r="K52" s="17">
        <v>3070</v>
      </c>
      <c r="L52" s="12">
        <v>17900</v>
      </c>
      <c r="M52" s="12">
        <v>-7220</v>
      </c>
      <c r="N52" s="12">
        <v>1075.81591796875</v>
      </c>
      <c r="O52" s="12">
        <v>-709.143310546875</v>
      </c>
      <c r="P52" s="11">
        <v>1.517064184303037</v>
      </c>
      <c r="Q52" s="13">
        <v>34.624976383903267</v>
      </c>
      <c r="R52" s="17">
        <v>9</v>
      </c>
      <c r="S52" s="17">
        <v>13</v>
      </c>
      <c r="T52" s="17">
        <v>58</v>
      </c>
      <c r="U52" s="17">
        <v>27</v>
      </c>
      <c r="V52" s="12">
        <v>-48955</v>
      </c>
      <c r="W52" s="11">
        <v>1.0841819509707999</v>
      </c>
      <c r="X52" s="17">
        <v>1</v>
      </c>
      <c r="Y52" s="12">
        <v>48955</v>
      </c>
      <c r="Z52" s="11">
        <v>374.36421203145744</v>
      </c>
      <c r="AA52" s="14">
        <v>8213.5508119701772</v>
      </c>
      <c r="AB52" s="11">
        <v>0.38359820295772301</v>
      </c>
      <c r="AC52" s="11">
        <v>1.7217053555577391</v>
      </c>
      <c r="AD52" s="15">
        <v>169883.09733593269</v>
      </c>
      <c r="AE52" s="11">
        <v>99.998795752079161</v>
      </c>
      <c r="AF52" s="11">
        <f>(Opti_Medias__30_ALL_Data[[#This Row],[All: TS Index]]-AA$114) /ABS(AA$114)</f>
        <v>-0.48312574295867333</v>
      </c>
      <c r="AG52" s="11">
        <f>(Opti_Medias__30_ALL_Data[[#This Row],[All: Expectancy Score]]-AB$114) /ABS(AB$114)</f>
        <v>-0.8759532136910928</v>
      </c>
      <c r="AH52" s="11"/>
      <c r="AI52" s="11">
        <f>(Opti_Medias__30_ALL_Data[[#This Row],[All: Perfect Profit Correlation]]-AD$114) /ABS(AD$114)</f>
        <v>-0.44884394173354031</v>
      </c>
      <c r="AJ52" s="11">
        <f>(Opti_Medias__30_ALL_Data[[#This Row],[All: Robustness Index]]-AE$114) /ABS(AE$114)</f>
        <v>-0.30116589928578397</v>
      </c>
      <c r="AK52" s="11">
        <f>SUM(Opti_Medias__30_ALL_Data[[#This Row],[VAR TS Index]:[VAR Robustness Index]])</f>
        <v>-2.1090887976690906</v>
      </c>
      <c r="AL52" s="11">
        <f>Opti_Medias__30_ALL_Data[[#This Row],[SUMA]]-Opti_Medias__30_ALL_Data[[#This Row],[VAR Robustness Index]]</f>
        <v>-1.8079228983833067</v>
      </c>
    </row>
    <row r="53" spans="1:38" x14ac:dyDescent="0.25">
      <c r="A53" s="11"/>
      <c r="B53" s="17">
        <v>34</v>
      </c>
      <c r="C53" s="17">
        <v>8</v>
      </c>
      <c r="D53" s="17">
        <v>349</v>
      </c>
      <c r="E53" s="10">
        <v>193370</v>
      </c>
      <c r="F53" s="10">
        <v>2356810</v>
      </c>
      <c r="G53" s="10">
        <v>-2163440</v>
      </c>
      <c r="H53" s="17">
        <v>5645</v>
      </c>
      <c r="I53" s="11">
        <v>31.248892825509301</v>
      </c>
      <c r="J53" s="17">
        <v>1764</v>
      </c>
      <c r="K53" s="17">
        <v>3858</v>
      </c>
      <c r="L53" s="12">
        <v>16890</v>
      </c>
      <c r="M53" s="12">
        <v>-4300</v>
      </c>
      <c r="N53" s="12">
        <v>1336.06005859375</v>
      </c>
      <c r="O53" s="12">
        <v>-560.7672119140625</v>
      </c>
      <c r="P53" s="11">
        <v>2.3825573789048509</v>
      </c>
      <c r="Q53" s="13">
        <v>34.255093002657219</v>
      </c>
      <c r="R53" s="17">
        <v>11</v>
      </c>
      <c r="S53" s="17">
        <v>18</v>
      </c>
      <c r="T53" s="17">
        <v>73</v>
      </c>
      <c r="U53" s="17">
        <v>21</v>
      </c>
      <c r="V53" s="12">
        <v>-39685</v>
      </c>
      <c r="W53" s="11">
        <v>1.089380800946641</v>
      </c>
      <c r="X53" s="17">
        <v>1</v>
      </c>
      <c r="Y53" s="12">
        <v>39685</v>
      </c>
      <c r="Z53" s="11">
        <v>487.26218974423585</v>
      </c>
      <c r="AA53" s="14">
        <v>8595.3050270883214</v>
      </c>
      <c r="AB53" s="11">
        <v>0.84310593184913096</v>
      </c>
      <c r="AC53" s="11">
        <v>1.720862997670332</v>
      </c>
      <c r="AD53" s="15">
        <v>180420.60560237279</v>
      </c>
      <c r="AE53" s="11">
        <v>69.850456345877646</v>
      </c>
      <c r="AF53" s="11">
        <f>(Opti_Medias__30_ALL_Data[[#This Row],[All: TS Index]]-AA$114) /ABS(AA$114)</f>
        <v>-0.45910215914836572</v>
      </c>
      <c r="AG53" s="11">
        <f>(Opti_Medias__30_ALL_Data[[#This Row],[All: Expectancy Score]]-AB$114) /ABS(AB$114)</f>
        <v>-0.72735904246301286</v>
      </c>
      <c r="AH53" s="11"/>
      <c r="AI53" s="11">
        <f>(Opti_Medias__30_ALL_Data[[#This Row],[All: Perfect Profit Correlation]]-AD$114) /ABS(AD$114)</f>
        <v>-0.41465683535769648</v>
      </c>
      <c r="AJ53" s="11">
        <f>(Opti_Medias__30_ALL_Data[[#This Row],[All: Robustness Index]]-AE$114) /ABS(AE$114)</f>
        <v>-0.51185531307826693</v>
      </c>
      <c r="AK53" s="11">
        <f>SUM(Opti_Medias__30_ALL_Data[[#This Row],[VAR TS Index]:[VAR Robustness Index]])</f>
        <v>-2.112973350047342</v>
      </c>
      <c r="AL53" s="11">
        <f>Opti_Medias__30_ALL_Data[[#This Row],[SUMA]]-Opti_Medias__30_ALL_Data[[#This Row],[VAR Robustness Index]]</f>
        <v>-1.601118036969075</v>
      </c>
    </row>
    <row r="54" spans="1:38" x14ac:dyDescent="0.25">
      <c r="A54" s="11"/>
      <c r="B54" s="17">
        <v>7</v>
      </c>
      <c r="C54" s="17">
        <v>8</v>
      </c>
      <c r="D54" s="17">
        <v>322</v>
      </c>
      <c r="E54" s="10">
        <v>272480</v>
      </c>
      <c r="F54" s="10">
        <v>2529180</v>
      </c>
      <c r="G54" s="10">
        <v>-2256700</v>
      </c>
      <c r="H54" s="17">
        <v>5679</v>
      </c>
      <c r="I54" s="11">
        <v>38.334213770029933</v>
      </c>
      <c r="J54" s="17">
        <v>2177</v>
      </c>
      <c r="K54" s="17">
        <v>3477</v>
      </c>
      <c r="L54" s="12">
        <v>17740</v>
      </c>
      <c r="M54" s="12">
        <v>-6960</v>
      </c>
      <c r="N54" s="12">
        <v>1161.7730712890625</v>
      </c>
      <c r="O54" s="12">
        <v>-649.0364990234375</v>
      </c>
      <c r="P54" s="11">
        <v>1.7899965148910819</v>
      </c>
      <c r="Q54" s="13">
        <v>47.980278217996123</v>
      </c>
      <c r="R54" s="17">
        <v>8</v>
      </c>
      <c r="S54" s="17">
        <v>17</v>
      </c>
      <c r="T54" s="17">
        <v>57</v>
      </c>
      <c r="U54" s="17">
        <v>25</v>
      </c>
      <c r="V54" s="12">
        <v>-67125</v>
      </c>
      <c r="W54" s="11">
        <v>1.1207426773607481</v>
      </c>
      <c r="X54" s="17">
        <v>1</v>
      </c>
      <c r="Y54" s="12">
        <v>67125</v>
      </c>
      <c r="Z54" s="11">
        <v>405.92923649906891</v>
      </c>
      <c r="AA54" s="14">
        <v>8837.0794785847302</v>
      </c>
      <c r="AB54" s="11">
        <v>1.5495158955494059</v>
      </c>
      <c r="AC54" s="11">
        <v>2.565447525930233</v>
      </c>
      <c r="AD54" s="15">
        <v>237394.61163789046</v>
      </c>
      <c r="AE54" s="11">
        <v>6.9217103176129777</v>
      </c>
      <c r="AF54" s="11">
        <f>(Opti_Medias__30_ALL_Data[[#This Row],[All: TS Index]]-AA$114) /ABS(AA$114)</f>
        <v>-0.44388742524708424</v>
      </c>
      <c r="AG54" s="11">
        <f>(Opti_Medias__30_ALL_Data[[#This Row],[All: Expectancy Score]]-AB$114) /ABS(AB$114)</f>
        <v>-0.49892239928283483</v>
      </c>
      <c r="AH54" s="11"/>
      <c r="AI54" s="11">
        <f>(Opti_Medias__30_ALL_Data[[#This Row],[All: Perfect Profit Correlation]]-AD$114) /ABS(AD$114)</f>
        <v>-0.22981461689913582</v>
      </c>
      <c r="AJ54" s="11">
        <f>(Opti_Medias__30_ALL_Data[[#This Row],[All: Robustness Index]]-AE$114) /ABS(AE$114)</f>
        <v>-0.9516281454308132</v>
      </c>
      <c r="AK54" s="11">
        <f>SUM(Opti_Medias__30_ALL_Data[[#This Row],[VAR TS Index]:[VAR Robustness Index]])</f>
        <v>-2.1242525868598681</v>
      </c>
      <c r="AL54" s="11">
        <f>Opti_Medias__30_ALL_Data[[#This Row],[SUMA]]-Opti_Medias__30_ALL_Data[[#This Row],[VAR Robustness Index]]</f>
        <v>-1.172624441429055</v>
      </c>
    </row>
    <row r="55" spans="1:38" x14ac:dyDescent="0.25">
      <c r="A55" s="11"/>
      <c r="B55" s="17">
        <v>19</v>
      </c>
      <c r="C55" s="17">
        <v>8</v>
      </c>
      <c r="D55" s="17">
        <v>334</v>
      </c>
      <c r="E55" s="10">
        <v>255400</v>
      </c>
      <c r="F55" s="10">
        <v>2327480</v>
      </c>
      <c r="G55" s="10">
        <v>-2072080</v>
      </c>
      <c r="H55" s="17">
        <v>5119</v>
      </c>
      <c r="I55" s="11">
        <v>34.596600898613012</v>
      </c>
      <c r="J55" s="17">
        <v>1771</v>
      </c>
      <c r="K55" s="17">
        <v>3330</v>
      </c>
      <c r="L55" s="12">
        <v>16840</v>
      </c>
      <c r="M55" s="12">
        <v>-5940</v>
      </c>
      <c r="N55" s="12">
        <v>1314.2178955078125</v>
      </c>
      <c r="O55" s="12">
        <v>-622.2462158203125</v>
      </c>
      <c r="P55" s="11">
        <v>2.1120544602674172</v>
      </c>
      <c r="Q55" s="13">
        <v>49.892557140066423</v>
      </c>
      <c r="R55" s="17">
        <v>7</v>
      </c>
      <c r="S55" s="17">
        <v>13</v>
      </c>
      <c r="T55" s="17">
        <v>72</v>
      </c>
      <c r="U55" s="17">
        <v>25</v>
      </c>
      <c r="V55" s="12">
        <v>-40775</v>
      </c>
      <c r="W55" s="11">
        <v>1.123257789274545</v>
      </c>
      <c r="X55" s="17">
        <v>1</v>
      </c>
      <c r="Y55" s="12">
        <v>40775</v>
      </c>
      <c r="Z55" s="11">
        <v>626.36419374616798</v>
      </c>
      <c r="AA55" s="14">
        <v>11092.909871244636</v>
      </c>
      <c r="AB55" s="11">
        <v>0.25802207298729501</v>
      </c>
      <c r="AC55" s="11">
        <v>2.3600087270317651</v>
      </c>
      <c r="AD55" s="15">
        <v>233991.9100267952</v>
      </c>
      <c r="AE55" s="11">
        <v>46.750663476842583</v>
      </c>
      <c r="AF55" s="11">
        <f>(Opti_Medias__30_ALL_Data[[#This Row],[All: TS Index]]-AA$114) /ABS(AA$114)</f>
        <v>-0.30192925332976095</v>
      </c>
      <c r="AG55" s="11">
        <f>(Opti_Medias__30_ALL_Data[[#This Row],[All: Expectancy Score]]-AB$114) /ABS(AB$114)</f>
        <v>-0.91656162957999121</v>
      </c>
      <c r="AH55" s="11"/>
      <c r="AI55" s="11">
        <f>(Opti_Medias__30_ALL_Data[[#This Row],[All: Perfect Profit Correlation]]-AD$114) /ABS(AD$114)</f>
        <v>-0.24085408837592243</v>
      </c>
      <c r="AJ55" s="11">
        <f>(Opti_Medias__30_ALL_Data[[#This Row],[All: Robustness Index]]-AE$114) /ABS(AE$114)</f>
        <v>-0.67328648687298875</v>
      </c>
      <c r="AK55" s="11">
        <f>SUM(Opti_Medias__30_ALL_Data[[#This Row],[VAR TS Index]:[VAR Robustness Index]])</f>
        <v>-2.1326314581586634</v>
      </c>
      <c r="AL55" s="11">
        <f>Opti_Medias__30_ALL_Data[[#This Row],[SUMA]]-Opti_Medias__30_ALL_Data[[#This Row],[VAR Robustness Index]]</f>
        <v>-1.4593449712856748</v>
      </c>
    </row>
    <row r="56" spans="1:38" x14ac:dyDescent="0.25">
      <c r="A56" s="11"/>
      <c r="B56" s="17">
        <v>8</v>
      </c>
      <c r="C56" s="17">
        <v>8</v>
      </c>
      <c r="D56" s="17">
        <v>323</v>
      </c>
      <c r="E56" s="10">
        <v>271600</v>
      </c>
      <c r="F56" s="10">
        <v>2515830</v>
      </c>
      <c r="G56" s="10">
        <v>-2244230</v>
      </c>
      <c r="H56" s="17">
        <v>5635</v>
      </c>
      <c r="I56" s="11">
        <v>37.852706299911269</v>
      </c>
      <c r="J56" s="17">
        <v>2133</v>
      </c>
      <c r="K56" s="17">
        <v>3481</v>
      </c>
      <c r="L56" s="12">
        <v>18390</v>
      </c>
      <c r="M56" s="12">
        <v>-6980</v>
      </c>
      <c r="N56" s="12">
        <v>1179.4796142578125</v>
      </c>
      <c r="O56" s="12">
        <v>-644.70843505859375</v>
      </c>
      <c r="P56" s="11">
        <v>1.829477559341405</v>
      </c>
      <c r="Q56" s="13">
        <v>48.198757763975152</v>
      </c>
      <c r="R56" s="17">
        <v>9</v>
      </c>
      <c r="S56" s="17">
        <v>15</v>
      </c>
      <c r="T56" s="17">
        <v>58</v>
      </c>
      <c r="U56" s="17">
        <v>25</v>
      </c>
      <c r="V56" s="12">
        <v>-62265</v>
      </c>
      <c r="W56" s="11">
        <v>1.12102146393195</v>
      </c>
      <c r="X56" s="17">
        <v>1</v>
      </c>
      <c r="Y56" s="12">
        <v>62265</v>
      </c>
      <c r="Z56" s="11">
        <v>436.20011242270937</v>
      </c>
      <c r="AA56" s="14">
        <v>9304.1483979763907</v>
      </c>
      <c r="AB56" s="11">
        <v>1.036113265641099</v>
      </c>
      <c r="AC56" s="11">
        <v>2.551642234059349</v>
      </c>
      <c r="AD56" s="15">
        <v>243606.97279051927</v>
      </c>
      <c r="AE56" s="11">
        <v>21.618624851136385</v>
      </c>
      <c r="AF56" s="11">
        <f>(Opti_Medias__30_ALL_Data[[#This Row],[All: TS Index]]-AA$114) /ABS(AA$114)</f>
        <v>-0.41449503379248609</v>
      </c>
      <c r="AG56" s="11">
        <f>(Opti_Medias__30_ALL_Data[[#This Row],[All: Expectancy Score]]-AB$114) /ABS(AB$114)</f>
        <v>-0.66494493492460283</v>
      </c>
      <c r="AH56" s="11"/>
      <c r="AI56" s="11">
        <f>(Opti_Medias__30_ALL_Data[[#This Row],[All: Perfect Profit Correlation]]-AD$114) /ABS(AD$114)</f>
        <v>-0.20965969543193486</v>
      </c>
      <c r="AJ56" s="11">
        <f>(Opti_Medias__30_ALL_Data[[#This Row],[All: Robustness Index]]-AE$114) /ABS(AE$114)</f>
        <v>-0.84891985805531278</v>
      </c>
      <c r="AK56" s="11">
        <f>SUM(Opti_Medias__30_ALL_Data[[#This Row],[VAR TS Index]:[VAR Robustness Index]])</f>
        <v>-2.1380195222043366</v>
      </c>
      <c r="AL56" s="11">
        <f>Opti_Medias__30_ALL_Data[[#This Row],[SUMA]]-Opti_Medias__30_ALL_Data[[#This Row],[VAR Robustness Index]]</f>
        <v>-1.2890996641490238</v>
      </c>
    </row>
    <row r="57" spans="1:38" x14ac:dyDescent="0.25">
      <c r="A57" s="11"/>
      <c r="B57" s="17">
        <v>30</v>
      </c>
      <c r="C57" s="17">
        <v>1</v>
      </c>
      <c r="D57" s="17">
        <v>30</v>
      </c>
      <c r="E57" s="10">
        <v>181350</v>
      </c>
      <c r="F57" s="10">
        <v>2242880</v>
      </c>
      <c r="G57" s="10">
        <v>-2061530</v>
      </c>
      <c r="H57" s="17">
        <v>5116</v>
      </c>
      <c r="I57" s="11">
        <v>35.379202501954651</v>
      </c>
      <c r="J57" s="17">
        <v>1810</v>
      </c>
      <c r="K57" s="17">
        <v>3281</v>
      </c>
      <c r="L57" s="12">
        <v>17550</v>
      </c>
      <c r="M57" s="12">
        <v>-5590</v>
      </c>
      <c r="N57" s="12">
        <v>1239.1602783203125</v>
      </c>
      <c r="O57" s="12">
        <v>-628.32366943359375</v>
      </c>
      <c r="P57" s="11">
        <v>1.972168706356966</v>
      </c>
      <c r="Q57" s="13">
        <v>35.447615324472245</v>
      </c>
      <c r="R57" s="17">
        <v>7</v>
      </c>
      <c r="S57" s="17">
        <v>13</v>
      </c>
      <c r="T57" s="17">
        <v>70</v>
      </c>
      <c r="U57" s="17">
        <v>25</v>
      </c>
      <c r="V57" s="12">
        <v>-60585</v>
      </c>
      <c r="W57" s="11">
        <v>1.0879686446474219</v>
      </c>
      <c r="X57" s="17">
        <v>1</v>
      </c>
      <c r="Y57" s="12">
        <v>60585</v>
      </c>
      <c r="Z57" s="11">
        <v>299.33151770240158</v>
      </c>
      <c r="AA57" s="14">
        <v>5417.9004704134686</v>
      </c>
      <c r="AB57" s="11">
        <v>0.95283387502195005</v>
      </c>
      <c r="AC57" s="11">
        <v>1.6462143938908731</v>
      </c>
      <c r="AD57" s="15">
        <v>166009.87353703688</v>
      </c>
      <c r="AE57" s="11">
        <v>96.40384787783178</v>
      </c>
      <c r="AF57" s="11">
        <f>(Opti_Medias__30_ALL_Data[[#This Row],[All: TS Index]]-AA$114) /ABS(AA$114)</f>
        <v>-0.65905448879823847</v>
      </c>
      <c r="AG57" s="11">
        <f>(Opti_Medias__30_ALL_Data[[#This Row],[All: Expectancy Score]]-AB$114) /ABS(AB$114)</f>
        <v>-0.69187556361998304</v>
      </c>
      <c r="AH57" s="11"/>
      <c r="AI57" s="11">
        <f>(Opti_Medias__30_ALL_Data[[#This Row],[All: Perfect Profit Correlation]]-AD$114) /ABS(AD$114)</f>
        <v>-0.46140994032468874</v>
      </c>
      <c r="AJ57" s="11">
        <f>(Opti_Medias__30_ALL_Data[[#This Row],[All: Robustness Index]]-AE$114) /ABS(AE$114)</f>
        <v>-0.32628892347742194</v>
      </c>
      <c r="AK57" s="11">
        <f>SUM(Opti_Medias__30_ALL_Data[[#This Row],[VAR TS Index]:[VAR Robustness Index]])</f>
        <v>-2.1386289162203322</v>
      </c>
      <c r="AL57" s="11">
        <f>Opti_Medias__30_ALL_Data[[#This Row],[SUMA]]-Opti_Medias__30_ALL_Data[[#This Row],[VAR Robustness Index]]</f>
        <v>-1.8123399927429102</v>
      </c>
    </row>
    <row r="58" spans="1:38" x14ac:dyDescent="0.25">
      <c r="A58" s="11"/>
      <c r="B58" s="17">
        <v>13</v>
      </c>
      <c r="C58" s="17">
        <v>8</v>
      </c>
      <c r="D58" s="17">
        <v>328</v>
      </c>
      <c r="E58" s="10">
        <v>214980</v>
      </c>
      <c r="F58" s="10">
        <v>2389160</v>
      </c>
      <c r="G58" s="10">
        <v>-2174180</v>
      </c>
      <c r="H58" s="17">
        <v>5371</v>
      </c>
      <c r="I58" s="11">
        <v>36.417799292496738</v>
      </c>
      <c r="J58" s="17">
        <v>1956</v>
      </c>
      <c r="K58" s="17">
        <v>3391</v>
      </c>
      <c r="L58" s="12">
        <v>17820</v>
      </c>
      <c r="M58" s="12">
        <v>-6240</v>
      </c>
      <c r="N58" s="12">
        <v>1221.451904296875</v>
      </c>
      <c r="O58" s="12">
        <v>-641.16192626953125</v>
      </c>
      <c r="P58" s="11">
        <v>1.905059945470627</v>
      </c>
      <c r="Q58" s="13">
        <v>40.02606590951406</v>
      </c>
      <c r="R58" s="17">
        <v>7</v>
      </c>
      <c r="S58" s="17">
        <v>15</v>
      </c>
      <c r="T58" s="17">
        <v>64</v>
      </c>
      <c r="U58" s="17">
        <v>25</v>
      </c>
      <c r="V58" s="12">
        <v>-46925</v>
      </c>
      <c r="W58" s="11">
        <v>1.098878657700834</v>
      </c>
      <c r="X58" s="17">
        <v>1</v>
      </c>
      <c r="Y58" s="12">
        <v>46925</v>
      </c>
      <c r="Z58" s="11">
        <v>458.13532232285564</v>
      </c>
      <c r="AA58" s="14">
        <v>8961.1269046350553</v>
      </c>
      <c r="AB58" s="11">
        <v>1.5824544536996421</v>
      </c>
      <c r="AC58" s="11">
        <v>1.982955529323146</v>
      </c>
      <c r="AD58" s="15">
        <v>194498.22880430313</v>
      </c>
      <c r="AE58" s="11">
        <v>17.339038709648133</v>
      </c>
      <c r="AF58" s="11">
        <f>(Opti_Medias__30_ALL_Data[[#This Row],[All: TS Index]]-AA$114) /ABS(AA$114)</f>
        <v>-0.43608118862111628</v>
      </c>
      <c r="AG58" s="11">
        <f>(Opti_Medias__30_ALL_Data[[#This Row],[All: Expectancy Score]]-AB$114) /ABS(AB$114)</f>
        <v>-0.48827083143741357</v>
      </c>
      <c r="AH58" s="11"/>
      <c r="AI58" s="11">
        <f>(Opti_Medias__30_ALL_Data[[#This Row],[All: Perfect Profit Correlation]]-AD$114) /ABS(AD$114)</f>
        <v>-0.36898444395790037</v>
      </c>
      <c r="AJ58" s="11">
        <f>(Opti_Medias__30_ALL_Data[[#This Row],[All: Robustness Index]]-AE$114) /ABS(AE$114)</f>
        <v>-0.87882742554273208</v>
      </c>
      <c r="AK58" s="11">
        <f>SUM(Opti_Medias__30_ALL_Data[[#This Row],[VAR TS Index]:[VAR Robustness Index]])</f>
        <v>-2.1721638895591622</v>
      </c>
      <c r="AL58" s="11">
        <f>Opti_Medias__30_ALL_Data[[#This Row],[SUMA]]-Opti_Medias__30_ALL_Data[[#This Row],[VAR Robustness Index]]</f>
        <v>-1.2933364640164302</v>
      </c>
    </row>
    <row r="59" spans="1:38" x14ac:dyDescent="0.25">
      <c r="A59" s="11"/>
      <c r="B59" s="17">
        <v>29</v>
      </c>
      <c r="C59" s="17">
        <v>2</v>
      </c>
      <c r="D59" s="17">
        <v>74</v>
      </c>
      <c r="E59" s="4">
        <v>161770</v>
      </c>
      <c r="F59" s="4">
        <v>1978580</v>
      </c>
      <c r="G59" s="4">
        <v>-1816810</v>
      </c>
      <c r="H59" s="17">
        <v>4257</v>
      </c>
      <c r="I59" s="5">
        <v>28.212356119332863</v>
      </c>
      <c r="J59" s="17">
        <v>1201</v>
      </c>
      <c r="K59" s="17">
        <v>3049</v>
      </c>
      <c r="L59" s="6">
        <v>19170</v>
      </c>
      <c r="M59" s="6">
        <v>-4190</v>
      </c>
      <c r="N59" s="6">
        <v>1647.44384765625</v>
      </c>
      <c r="O59" s="6">
        <v>-595.87078857421875</v>
      </c>
      <c r="P59" s="5">
        <v>2.7647669247190372</v>
      </c>
      <c r="Q59" s="7">
        <v>38.000939628846602</v>
      </c>
      <c r="R59" s="17">
        <v>9</v>
      </c>
      <c r="S59" s="17">
        <v>18</v>
      </c>
      <c r="T59" s="17">
        <v>110</v>
      </c>
      <c r="U59" s="17">
        <v>25</v>
      </c>
      <c r="V59" s="6">
        <v>-51345</v>
      </c>
      <c r="W59" s="5">
        <v>1.089040681193961</v>
      </c>
      <c r="X59" s="17">
        <v>1</v>
      </c>
      <c r="Y59" s="6">
        <v>51345</v>
      </c>
      <c r="Z59" s="5">
        <v>315.06475800954331</v>
      </c>
      <c r="AA59" s="8">
        <v>3783.9277436946149</v>
      </c>
      <c r="AB59" s="5">
        <v>1.5171755170154979</v>
      </c>
      <c r="AC59" s="5">
        <v>1.3757974304595539</v>
      </c>
      <c r="AD59" s="9">
        <v>150166.08679868988</v>
      </c>
      <c r="AE59" s="5">
        <v>87.312917263964479</v>
      </c>
      <c r="AF59" s="11">
        <f>(Opti_Medias__30_ALL_Data[[#This Row],[All: TS Index]]-AA$114) /ABS(AA$114)</f>
        <v>-0.76187949816176059</v>
      </c>
      <c r="AG59" s="11">
        <f>(Opti_Medias__30_ALL_Data[[#This Row],[All: Expectancy Score]]-AB$114) /ABS(AB$114)</f>
        <v>-0.50938052967607594</v>
      </c>
      <c r="AH59" s="11"/>
      <c r="AI59" s="11">
        <f>(Opti_Medias__30_ALL_Data[[#This Row],[All: Perfect Profit Correlation]]-AD$114) /ABS(AD$114)</f>
        <v>-0.51281234105590445</v>
      </c>
      <c r="AJ59" s="11">
        <f>(Opti_Medias__30_ALL_Data[[#This Row],[All: Robustness Index]]-AE$114) /ABS(AE$114)</f>
        <v>-0.38982021175361298</v>
      </c>
      <c r="AK59" s="11">
        <f>SUM(Opti_Medias__30_ALL_Data[[#This Row],[VAR TS Index]:[VAR Robustness Index]])</f>
        <v>-2.1738925806473541</v>
      </c>
      <c r="AL59" s="11">
        <f>Opti_Medias__30_ALL_Data[[#This Row],[SUMA]]-Opti_Medias__30_ALL_Data[[#This Row],[VAR Robustness Index]]</f>
        <v>-1.7840723688937412</v>
      </c>
    </row>
    <row r="60" spans="1:38" x14ac:dyDescent="0.25">
      <c r="A60" s="11"/>
      <c r="B60" s="17">
        <v>4</v>
      </c>
      <c r="C60" s="17">
        <v>3</v>
      </c>
      <c r="D60" s="17">
        <v>94</v>
      </c>
      <c r="E60" s="10">
        <v>195870</v>
      </c>
      <c r="F60" s="10">
        <v>2528190</v>
      </c>
      <c r="G60" s="10">
        <v>-2332320</v>
      </c>
      <c r="H60" s="17">
        <v>6522</v>
      </c>
      <c r="I60" s="11">
        <v>45.890831033425329</v>
      </c>
      <c r="J60" s="17">
        <v>2993</v>
      </c>
      <c r="K60" s="17">
        <v>3459</v>
      </c>
      <c r="L60" s="12">
        <v>15240</v>
      </c>
      <c r="M60" s="12">
        <v>-8650</v>
      </c>
      <c r="N60" s="12">
        <v>844.70098876953125</v>
      </c>
      <c r="O60" s="12">
        <v>-674.27581787109375</v>
      </c>
      <c r="P60" s="11">
        <v>1.2527529037546159</v>
      </c>
      <c r="Q60" s="13">
        <v>30.032198712051517</v>
      </c>
      <c r="R60" s="17">
        <v>9</v>
      </c>
      <c r="S60" s="17">
        <v>11</v>
      </c>
      <c r="T60" s="17">
        <v>38</v>
      </c>
      <c r="U60" s="17">
        <v>28</v>
      </c>
      <c r="V60" s="12">
        <v>-99675</v>
      </c>
      <c r="W60" s="11">
        <v>1.0839807573574809</v>
      </c>
      <c r="X60" s="17">
        <v>1</v>
      </c>
      <c r="Y60" s="12">
        <v>99675</v>
      </c>
      <c r="Z60" s="11">
        <v>196.50865312264861</v>
      </c>
      <c r="AA60" s="14">
        <v>5881.503987960873</v>
      </c>
      <c r="AB60" s="11">
        <v>2.0390891325167262</v>
      </c>
      <c r="AC60" s="11">
        <v>1.8931419186658269</v>
      </c>
      <c r="AD60" s="15">
        <v>159600.29202845899</v>
      </c>
      <c r="AE60" s="11">
        <v>36.683720652824057</v>
      </c>
      <c r="AF60" s="11">
        <f>(Opti_Medias__30_ALL_Data[[#This Row],[All: TS Index]]-AA$114) /ABS(AA$114)</f>
        <v>-0.62988017318496692</v>
      </c>
      <c r="AG60" s="11">
        <f>(Opti_Medias__30_ALL_Data[[#This Row],[All: Expectancy Score]]-AB$114) /ABS(AB$114)</f>
        <v>-0.34060573815046169</v>
      </c>
      <c r="AH60" s="11"/>
      <c r="AI60" s="11">
        <f>(Opti_Medias__30_ALL_Data[[#This Row],[All: Perfect Profit Correlation]]-AD$114) /ABS(AD$114)</f>
        <v>-0.48220470881433858</v>
      </c>
      <c r="AJ60" s="11">
        <f>(Opti_Medias__30_ALL_Data[[#This Row],[All: Robustness Index]]-AE$114) /ABS(AE$114)</f>
        <v>-0.74363856344005219</v>
      </c>
      <c r="AK60" s="11">
        <f>SUM(Opti_Medias__30_ALL_Data[[#This Row],[VAR TS Index]:[VAR Robustness Index]])</f>
        <v>-2.1963291835898193</v>
      </c>
      <c r="AL60" s="11">
        <f>Opti_Medias__30_ALL_Data[[#This Row],[SUMA]]-Opti_Medias__30_ALL_Data[[#This Row],[VAR Robustness Index]]</f>
        <v>-1.4526906201497671</v>
      </c>
    </row>
    <row r="61" spans="1:38" x14ac:dyDescent="0.25">
      <c r="A61" s="11"/>
      <c r="B61" s="17">
        <v>9</v>
      </c>
      <c r="C61" s="17">
        <v>3</v>
      </c>
      <c r="D61" s="17">
        <v>99</v>
      </c>
      <c r="E61" s="10">
        <v>267250</v>
      </c>
      <c r="F61" s="10">
        <v>2397020</v>
      </c>
      <c r="G61" s="10">
        <v>-2129770</v>
      </c>
      <c r="H61" s="17">
        <v>5048</v>
      </c>
      <c r="I61" s="11">
        <v>44.433438985736927</v>
      </c>
      <c r="J61" s="17">
        <v>2243</v>
      </c>
      <c r="K61" s="17">
        <v>2769</v>
      </c>
      <c r="L61" s="12">
        <v>16440</v>
      </c>
      <c r="M61" s="12">
        <v>-6560</v>
      </c>
      <c r="N61" s="12">
        <v>1068.6669921875</v>
      </c>
      <c r="O61" s="12">
        <v>-769.147705078125</v>
      </c>
      <c r="P61" s="11">
        <v>1.389417123826628</v>
      </c>
      <c r="Q61" s="13">
        <v>52.941759112519811</v>
      </c>
      <c r="R61" s="17">
        <v>9</v>
      </c>
      <c r="S61" s="17">
        <v>10</v>
      </c>
      <c r="T61" s="17">
        <v>52</v>
      </c>
      <c r="U61" s="17">
        <v>34</v>
      </c>
      <c r="V61" s="12">
        <v>-78025</v>
      </c>
      <c r="W61" s="11">
        <v>1.125483033379191</v>
      </c>
      <c r="X61" s="17">
        <v>1</v>
      </c>
      <c r="Y61" s="12">
        <v>78025</v>
      </c>
      <c r="Z61" s="11">
        <v>342.51842358218522</v>
      </c>
      <c r="AA61" s="14">
        <v>7682.6882409484142</v>
      </c>
      <c r="AB61" s="11">
        <v>0.187685026399215</v>
      </c>
      <c r="AC61" s="11">
        <v>2.5711113295844501</v>
      </c>
      <c r="AD61" s="15">
        <v>235263.72293501976</v>
      </c>
      <c r="AE61" s="11">
        <v>65.261396272554975</v>
      </c>
      <c r="AF61" s="11">
        <f>(Opti_Medias__30_ALL_Data[[#This Row],[All: TS Index]]-AA$114) /ABS(AA$114)</f>
        <v>-0.51653263399391669</v>
      </c>
      <c r="AG61" s="11">
        <f>(Opti_Medias__30_ALL_Data[[#This Row],[All: Expectancy Score]]-AB$114) /ABS(AB$114)</f>
        <v>-0.93930700356880736</v>
      </c>
      <c r="AH61" s="11"/>
      <c r="AI61" s="11">
        <f>(Opti_Medias__30_ALL_Data[[#This Row],[All: Perfect Profit Correlation]]-AD$114) /ABS(AD$114)</f>
        <v>-0.23672791337474891</v>
      </c>
      <c r="AJ61" s="11">
        <f>(Opti_Medias__30_ALL_Data[[#This Row],[All: Robustness Index]]-AE$114) /ABS(AE$114)</f>
        <v>-0.54392561597886246</v>
      </c>
      <c r="AK61" s="11">
        <f>SUM(Opti_Medias__30_ALL_Data[[#This Row],[VAR TS Index]:[VAR Robustness Index]])</f>
        <v>-2.2364931669163353</v>
      </c>
      <c r="AL61" s="11">
        <f>Opti_Medias__30_ALL_Data[[#This Row],[SUMA]]-Opti_Medias__30_ALL_Data[[#This Row],[VAR Robustness Index]]</f>
        <v>-1.6925675509374729</v>
      </c>
    </row>
    <row r="62" spans="1:38" x14ac:dyDescent="0.25">
      <c r="A62" s="11"/>
      <c r="B62" s="17">
        <v>11</v>
      </c>
      <c r="C62" s="17">
        <v>8</v>
      </c>
      <c r="D62" s="17">
        <v>326</v>
      </c>
      <c r="E62" s="10">
        <v>259920</v>
      </c>
      <c r="F62" s="10">
        <v>2437640</v>
      </c>
      <c r="G62" s="10">
        <v>-2177720</v>
      </c>
      <c r="H62" s="17">
        <v>5457</v>
      </c>
      <c r="I62" s="11">
        <v>36.705149349459411</v>
      </c>
      <c r="J62" s="17">
        <v>2003</v>
      </c>
      <c r="K62" s="17">
        <v>3439</v>
      </c>
      <c r="L62" s="12">
        <v>17970</v>
      </c>
      <c r="M62" s="12">
        <v>-6520</v>
      </c>
      <c r="N62" s="12">
        <v>1216.9945068359375</v>
      </c>
      <c r="O62" s="12">
        <v>-633.24224853515625</v>
      </c>
      <c r="P62" s="11">
        <v>1.921846670292676</v>
      </c>
      <c r="Q62" s="13">
        <v>47.630566245189662</v>
      </c>
      <c r="R62" s="17">
        <v>7</v>
      </c>
      <c r="S62" s="17">
        <v>15</v>
      </c>
      <c r="T62" s="17">
        <v>62</v>
      </c>
      <c r="U62" s="17">
        <v>25</v>
      </c>
      <c r="V62" s="12">
        <v>-47465</v>
      </c>
      <c r="W62" s="11">
        <v>1.119354186947817</v>
      </c>
      <c r="X62" s="17">
        <v>1</v>
      </c>
      <c r="Y62" s="12">
        <v>47465</v>
      </c>
      <c r="Z62" s="11">
        <v>547.60349731381018</v>
      </c>
      <c r="AA62" s="14">
        <v>10968.498051195618</v>
      </c>
      <c r="AB62" s="11">
        <v>0.38745553411895101</v>
      </c>
      <c r="AC62" s="11">
        <v>2.4258876286229309</v>
      </c>
      <c r="AD62" s="15">
        <v>237073.52199380996</v>
      </c>
      <c r="AE62" s="11">
        <v>23.715399407045158</v>
      </c>
      <c r="AF62" s="11">
        <f>(Opti_Medias__30_ALL_Data[[#This Row],[All: TS Index]]-AA$114) /ABS(AA$114)</f>
        <v>-0.3097584210706214</v>
      </c>
      <c r="AG62" s="11">
        <f>(Opti_Medias__30_ALL_Data[[#This Row],[All: Expectancy Score]]-AB$114) /ABS(AB$114)</f>
        <v>-0.87470584201262791</v>
      </c>
      <c r="AH62" s="11"/>
      <c r="AI62" s="11">
        <f>(Opti_Medias__30_ALL_Data[[#This Row],[All: Perfect Profit Correlation]]-AD$114) /ABS(AD$114)</f>
        <v>-0.23085633620704105</v>
      </c>
      <c r="AJ62" s="11">
        <f>(Opti_Medias__30_ALL_Data[[#This Row],[All: Robustness Index]]-AE$114) /ABS(AE$114)</f>
        <v>-0.83426670598324415</v>
      </c>
      <c r="AK62" s="11">
        <f>SUM(Opti_Medias__30_ALL_Data[[#This Row],[VAR TS Index]:[VAR Robustness Index]])</f>
        <v>-2.2495873052735345</v>
      </c>
      <c r="AL62" s="11">
        <f>Opti_Medias__30_ALL_Data[[#This Row],[SUMA]]-Opti_Medias__30_ALL_Data[[#This Row],[VAR Robustness Index]]</f>
        <v>-1.4153205992902902</v>
      </c>
    </row>
    <row r="63" spans="1:38" x14ac:dyDescent="0.25">
      <c r="A63" s="11"/>
      <c r="B63" s="17">
        <v>30</v>
      </c>
      <c r="C63" s="17">
        <v>8</v>
      </c>
      <c r="D63" s="17">
        <v>345</v>
      </c>
      <c r="E63" s="10">
        <v>218850</v>
      </c>
      <c r="F63" s="10">
        <v>2303380</v>
      </c>
      <c r="G63" s="10">
        <v>-2084530</v>
      </c>
      <c r="H63" s="17">
        <v>5223</v>
      </c>
      <c r="I63" s="11">
        <v>32.950411640819453</v>
      </c>
      <c r="J63" s="17">
        <v>1721</v>
      </c>
      <c r="K63" s="17">
        <v>3480</v>
      </c>
      <c r="L63" s="12">
        <v>16890</v>
      </c>
      <c r="M63" s="12">
        <v>-5240</v>
      </c>
      <c r="N63" s="12">
        <v>1338.396240234375</v>
      </c>
      <c r="O63" s="12">
        <v>-599.00286865234375</v>
      </c>
      <c r="P63" s="11">
        <v>2.234373673778129</v>
      </c>
      <c r="Q63" s="13">
        <v>41.901206203331419</v>
      </c>
      <c r="R63" s="17">
        <v>11</v>
      </c>
      <c r="S63" s="17">
        <v>16</v>
      </c>
      <c r="T63" s="17">
        <v>75</v>
      </c>
      <c r="U63" s="17">
        <v>23</v>
      </c>
      <c r="V63" s="12">
        <v>-34915</v>
      </c>
      <c r="W63" s="11">
        <v>1.1049876950679529</v>
      </c>
      <c r="X63" s="17">
        <v>1</v>
      </c>
      <c r="Y63" s="12">
        <v>34915</v>
      </c>
      <c r="Z63" s="11">
        <v>626.80796219389947</v>
      </c>
      <c r="AA63" s="14">
        <v>10787.36502935701</v>
      </c>
      <c r="AB63" s="11">
        <v>0.295127262106615</v>
      </c>
      <c r="AC63" s="11">
        <v>1.986628074381573</v>
      </c>
      <c r="AD63" s="15">
        <v>202914.88085770849</v>
      </c>
      <c r="AE63" s="11">
        <v>43.68257344230706</v>
      </c>
      <c r="AF63" s="11">
        <f>(Opti_Medias__30_ALL_Data[[#This Row],[All: TS Index]]-AA$114) /ABS(AA$114)</f>
        <v>-0.3211570229946562</v>
      </c>
      <c r="AG63" s="11">
        <f>(Opti_Medias__30_ALL_Data[[#This Row],[All: Expectancy Score]]-AB$114) /ABS(AB$114)</f>
        <v>-0.90456266965226917</v>
      </c>
      <c r="AH63" s="11"/>
      <c r="AI63" s="11">
        <f>(Opti_Medias__30_ALL_Data[[#This Row],[All: Perfect Profit Correlation]]-AD$114) /ABS(AD$114)</f>
        <v>-0.34167808539544664</v>
      </c>
      <c r="AJ63" s="11">
        <f>(Opti_Medias__30_ALL_Data[[#This Row],[All: Robustness Index]]-AE$114) /ABS(AE$114)</f>
        <v>-0.6947276044791505</v>
      </c>
      <c r="AK63" s="11">
        <f>SUM(Opti_Medias__30_ALL_Data[[#This Row],[VAR TS Index]:[VAR Robustness Index]])</f>
        <v>-2.2621253825215226</v>
      </c>
      <c r="AL63" s="11">
        <f>Opti_Medias__30_ALL_Data[[#This Row],[SUMA]]-Opti_Medias__30_ALL_Data[[#This Row],[VAR Robustness Index]]</f>
        <v>-1.567397778042372</v>
      </c>
    </row>
    <row r="64" spans="1:38" x14ac:dyDescent="0.25">
      <c r="A64" s="11"/>
      <c r="B64" s="17">
        <v>31</v>
      </c>
      <c r="C64" s="17">
        <v>1</v>
      </c>
      <c r="D64" s="17">
        <v>31</v>
      </c>
      <c r="E64" s="10">
        <v>194330</v>
      </c>
      <c r="F64" s="10">
        <v>2257990</v>
      </c>
      <c r="G64" s="10">
        <v>-2063660</v>
      </c>
      <c r="H64" s="17">
        <v>5182</v>
      </c>
      <c r="I64" s="11">
        <v>34.658433037437284</v>
      </c>
      <c r="J64" s="17">
        <v>1796</v>
      </c>
      <c r="K64" s="17">
        <v>3363</v>
      </c>
      <c r="L64" s="12">
        <v>17310</v>
      </c>
      <c r="M64" s="12">
        <v>-5590</v>
      </c>
      <c r="N64" s="12">
        <v>1257.2327880859375</v>
      </c>
      <c r="O64" s="12">
        <v>-613.63665771484375</v>
      </c>
      <c r="P64" s="11">
        <v>2.0488228209309041</v>
      </c>
      <c r="Q64" s="13">
        <v>37.500964878425322</v>
      </c>
      <c r="R64" s="17">
        <v>7</v>
      </c>
      <c r="S64" s="17">
        <v>15</v>
      </c>
      <c r="T64" s="17">
        <v>70</v>
      </c>
      <c r="U64" s="17">
        <v>25</v>
      </c>
      <c r="V64" s="12">
        <v>-52055</v>
      </c>
      <c r="W64" s="11">
        <v>1.094167643894828</v>
      </c>
      <c r="X64" s="17">
        <v>1</v>
      </c>
      <c r="Y64" s="12">
        <v>52055</v>
      </c>
      <c r="Z64" s="11">
        <v>373.31668427624629</v>
      </c>
      <c r="AA64" s="14">
        <v>6704.7676496013828</v>
      </c>
      <c r="AB64" s="11">
        <v>0.235565555985878</v>
      </c>
      <c r="AC64" s="11">
        <v>1.7663506615310649</v>
      </c>
      <c r="AD64" s="15">
        <v>182470.29388099062</v>
      </c>
      <c r="AE64" s="11">
        <v>90.852294861167067</v>
      </c>
      <c r="AF64" s="11">
        <f>(Opti_Medias__30_ALL_Data[[#This Row],[All: TS Index]]-AA$114) /ABS(AA$114)</f>
        <v>-0.5780726415581563</v>
      </c>
      <c r="AG64" s="11">
        <f>(Opti_Medias__30_ALL_Data[[#This Row],[All: Expectancy Score]]-AB$114) /ABS(AB$114)</f>
        <v>-0.92382354776479592</v>
      </c>
      <c r="AH64" s="11"/>
      <c r="AI64" s="11">
        <f>(Opti_Medias__30_ALL_Data[[#This Row],[All: Perfect Profit Correlation]]-AD$114) /ABS(AD$114)</f>
        <v>-0.40800697948601983</v>
      </c>
      <c r="AJ64" s="11">
        <f>(Opti_Medias__30_ALL_Data[[#This Row],[All: Robustness Index]]-AE$114) /ABS(AE$114)</f>
        <v>-0.3650855362845068</v>
      </c>
      <c r="AK64" s="11">
        <f>SUM(Opti_Medias__30_ALL_Data[[#This Row],[VAR TS Index]:[VAR Robustness Index]])</f>
        <v>-2.2749887050934787</v>
      </c>
      <c r="AL64" s="11">
        <f>Opti_Medias__30_ALL_Data[[#This Row],[SUMA]]-Opti_Medias__30_ALL_Data[[#This Row],[VAR Robustness Index]]</f>
        <v>-1.909903168808972</v>
      </c>
    </row>
    <row r="65" spans="1:38" x14ac:dyDescent="0.25">
      <c r="A65" s="11"/>
      <c r="B65" s="17">
        <v>28</v>
      </c>
      <c r="C65" s="17">
        <v>8</v>
      </c>
      <c r="D65" s="17">
        <v>343</v>
      </c>
      <c r="E65" s="4">
        <v>237820</v>
      </c>
      <c r="F65" s="4">
        <v>2285960</v>
      </c>
      <c r="G65" s="4">
        <v>-2048140</v>
      </c>
      <c r="H65" s="17">
        <v>5107</v>
      </c>
      <c r="I65" s="5">
        <v>33.365968278832973</v>
      </c>
      <c r="J65" s="17">
        <v>1704</v>
      </c>
      <c r="K65" s="17">
        <v>3386</v>
      </c>
      <c r="L65" s="6">
        <v>17090</v>
      </c>
      <c r="M65" s="6">
        <v>-5240</v>
      </c>
      <c r="N65" s="6">
        <v>1341.52587890625</v>
      </c>
      <c r="O65" s="6">
        <v>-604.88482666015625</v>
      </c>
      <c r="P65" s="5">
        <v>2.2178203515426622</v>
      </c>
      <c r="Q65" s="7">
        <v>46.567456432347761</v>
      </c>
      <c r="R65" s="17">
        <v>11</v>
      </c>
      <c r="S65" s="17">
        <v>16</v>
      </c>
      <c r="T65" s="17">
        <v>75</v>
      </c>
      <c r="U65" s="17">
        <v>24</v>
      </c>
      <c r="V65" s="6">
        <v>-39965</v>
      </c>
      <c r="W65" s="5">
        <v>1.116115109318699</v>
      </c>
      <c r="X65" s="17">
        <v>1</v>
      </c>
      <c r="Y65" s="6">
        <v>39965</v>
      </c>
      <c r="Z65" s="5">
        <v>595.07068685099466</v>
      </c>
      <c r="AA65" s="8">
        <v>10140.004503940949</v>
      </c>
      <c r="AB65" s="5">
        <v>0.35035415831725403</v>
      </c>
      <c r="AC65" s="5">
        <v>2.176402901885623</v>
      </c>
      <c r="AD65" s="9">
        <v>218663.11494420015</v>
      </c>
      <c r="AE65" s="5">
        <v>37.02690675374415</v>
      </c>
      <c r="AF65" s="11">
        <f>(Opti_Medias__30_ALL_Data[[#This Row],[All: TS Index]]-AA$114) /ABS(AA$114)</f>
        <v>-0.36189506653663661</v>
      </c>
      <c r="AG65" s="11">
        <f>(Opti_Medias__30_ALL_Data[[#This Row],[All: Expectancy Score]]-AB$114) /ABS(AB$114)</f>
        <v>-0.8867035688016317</v>
      </c>
      <c r="AH65" s="11"/>
      <c r="AI65" s="11">
        <f>(Opti_Medias__30_ALL_Data[[#This Row],[All: Perfect Profit Correlation]]-AD$114) /ABS(AD$114)</f>
        <v>-0.29058568856561584</v>
      </c>
      <c r="AJ65" s="11">
        <f>(Opti_Medias__30_ALL_Data[[#This Row],[All: Robustness Index]]-AE$114) /ABS(AE$114)</f>
        <v>-0.74124023305606734</v>
      </c>
      <c r="AK65" s="11">
        <f>SUM(Opti_Medias__30_ALL_Data[[#This Row],[VAR TS Index]:[VAR Robustness Index]])</f>
        <v>-2.2804245569599515</v>
      </c>
      <c r="AL65" s="11">
        <f>Opti_Medias__30_ALL_Data[[#This Row],[SUMA]]-Opti_Medias__30_ALL_Data[[#This Row],[VAR Robustness Index]]</f>
        <v>-1.5391843239038843</v>
      </c>
    </row>
    <row r="66" spans="1:38" x14ac:dyDescent="0.25">
      <c r="A66" s="11"/>
      <c r="B66" s="17">
        <v>29</v>
      </c>
      <c r="C66" s="17">
        <v>8</v>
      </c>
      <c r="D66" s="17">
        <v>344</v>
      </c>
      <c r="E66" s="10">
        <v>235440</v>
      </c>
      <c r="F66" s="10">
        <v>2298560</v>
      </c>
      <c r="G66" s="10">
        <v>-2063120</v>
      </c>
      <c r="H66" s="17">
        <v>5179</v>
      </c>
      <c r="I66" s="11">
        <v>33.095192122031278</v>
      </c>
      <c r="J66" s="17">
        <v>1714</v>
      </c>
      <c r="K66" s="17">
        <v>3447</v>
      </c>
      <c r="L66" s="12">
        <v>17090</v>
      </c>
      <c r="M66" s="12">
        <v>-5240</v>
      </c>
      <c r="N66" s="12">
        <v>1341.0501708984375</v>
      </c>
      <c r="O66" s="12">
        <v>-598.5262451171875</v>
      </c>
      <c r="P66" s="11">
        <v>2.2405870784093498</v>
      </c>
      <c r="Q66" s="13">
        <v>45.460513612666539</v>
      </c>
      <c r="R66" s="17">
        <v>11</v>
      </c>
      <c r="S66" s="17">
        <v>16</v>
      </c>
      <c r="T66" s="17">
        <v>75</v>
      </c>
      <c r="U66" s="17">
        <v>23</v>
      </c>
      <c r="V66" s="12">
        <v>-37585</v>
      </c>
      <c r="W66" s="11">
        <v>1.1141184225832721</v>
      </c>
      <c r="X66" s="17">
        <v>1</v>
      </c>
      <c r="Y66" s="12">
        <v>37585</v>
      </c>
      <c r="Z66" s="11">
        <v>626.42011440734336</v>
      </c>
      <c r="AA66" s="14">
        <v>10736.840760941865</v>
      </c>
      <c r="AB66" s="11">
        <v>7.3494111501162002E-2</v>
      </c>
      <c r="AC66" s="11">
        <v>2.150600440392529</v>
      </c>
      <c r="AD66" s="15">
        <v>218094.03785165318</v>
      </c>
      <c r="AE66" s="11">
        <v>44.248002013823182</v>
      </c>
      <c r="AF66" s="11">
        <f>(Opti_Medias__30_ALL_Data[[#This Row],[All: TS Index]]-AA$114) /ABS(AA$114)</f>
        <v>-0.32433648755236932</v>
      </c>
      <c r="AG66" s="11">
        <f>(Opti_Medias__30_ALL_Data[[#This Row],[All: Expectancy Score]]-AB$114) /ABS(AB$114)</f>
        <v>-0.97623370424039135</v>
      </c>
      <c r="AH66" s="11"/>
      <c r="AI66" s="11">
        <f>(Opti_Medias__30_ALL_Data[[#This Row],[All: Perfect Profit Correlation]]-AD$114) /ABS(AD$114)</f>
        <v>-0.29243195986686077</v>
      </c>
      <c r="AJ66" s="11">
        <f>(Opti_Medias__30_ALL_Data[[#This Row],[All: Robustness Index]]-AE$114) /ABS(AE$114)</f>
        <v>-0.69077614922089681</v>
      </c>
      <c r="AK66" s="11">
        <f>SUM(Opti_Medias__30_ALL_Data[[#This Row],[VAR TS Index]:[VAR Robustness Index]])</f>
        <v>-2.2837783008805186</v>
      </c>
      <c r="AL66" s="11">
        <f>Opti_Medias__30_ALL_Data[[#This Row],[SUMA]]-Opti_Medias__30_ALL_Data[[#This Row],[VAR Robustness Index]]</f>
        <v>-1.5930021516596218</v>
      </c>
    </row>
    <row r="67" spans="1:38" x14ac:dyDescent="0.25">
      <c r="A67" s="11"/>
      <c r="B67" s="17">
        <v>37</v>
      </c>
      <c r="C67" s="17">
        <v>2</v>
      </c>
      <c r="D67" s="17">
        <v>82</v>
      </c>
      <c r="E67" s="10">
        <v>142790</v>
      </c>
      <c r="F67" s="10">
        <v>2206300</v>
      </c>
      <c r="G67" s="10">
        <v>-2063510</v>
      </c>
      <c r="H67" s="17">
        <v>5795</v>
      </c>
      <c r="I67" s="11">
        <v>26.24676445211389</v>
      </c>
      <c r="J67" s="17">
        <v>1521</v>
      </c>
      <c r="K67" s="17">
        <v>4256</v>
      </c>
      <c r="L67" s="12">
        <v>17460</v>
      </c>
      <c r="M67" s="12">
        <v>-4300</v>
      </c>
      <c r="N67" s="12">
        <v>1450.558837890625</v>
      </c>
      <c r="O67" s="12">
        <v>-484.84725952148438</v>
      </c>
      <c r="P67" s="11">
        <v>2.9917851640993929</v>
      </c>
      <c r="Q67" s="13">
        <v>24.640207075064712</v>
      </c>
      <c r="R67" s="17">
        <v>6</v>
      </c>
      <c r="S67" s="17">
        <v>22</v>
      </c>
      <c r="T67" s="17">
        <v>88</v>
      </c>
      <c r="U67" s="17">
        <v>18</v>
      </c>
      <c r="V67" s="12">
        <v>-57805</v>
      </c>
      <c r="W67" s="11">
        <v>1.069197629282145</v>
      </c>
      <c r="X67" s="17">
        <v>1</v>
      </c>
      <c r="Y67" s="12">
        <v>57805</v>
      </c>
      <c r="Z67" s="11">
        <v>247.02015396591992</v>
      </c>
      <c r="AA67" s="14">
        <v>3757.1765418216419</v>
      </c>
      <c r="AB67" s="11">
        <v>2.2719688623432579</v>
      </c>
      <c r="AC67" s="11">
        <v>1.1784868408872069</v>
      </c>
      <c r="AD67" s="15">
        <v>128415.68108505401</v>
      </c>
      <c r="AE67" s="11">
        <v>43.208327002094357</v>
      </c>
      <c r="AF67" s="11">
        <f>(Opti_Medias__30_ALL_Data[[#This Row],[All: TS Index]]-AA$114) /ABS(AA$114)</f>
        <v>-0.76356293665378328</v>
      </c>
      <c r="AG67" s="11">
        <f>(Opti_Medias__30_ALL_Data[[#This Row],[All: Expectancy Score]]-AB$114) /ABS(AB$114)</f>
        <v>-0.26529781997272295</v>
      </c>
      <c r="AH67" s="11"/>
      <c r="AI67" s="11">
        <f>(Opti_Medias__30_ALL_Data[[#This Row],[All: Perfect Profit Correlation]]-AD$114) /ABS(AD$114)</f>
        <v>-0.58337773612354094</v>
      </c>
      <c r="AJ67" s="11">
        <f>(Opti_Medias__30_ALL_Data[[#This Row],[All: Robustness Index]]-AE$114) /ABS(AE$114)</f>
        <v>-0.69804184023639526</v>
      </c>
      <c r="AK67" s="11">
        <f>SUM(Opti_Medias__30_ALL_Data[[#This Row],[VAR TS Index]:[VAR Robustness Index]])</f>
        <v>-2.3102803329864425</v>
      </c>
      <c r="AL67" s="11">
        <f>Opti_Medias__30_ALL_Data[[#This Row],[SUMA]]-Opti_Medias__30_ALL_Data[[#This Row],[VAR Robustness Index]]</f>
        <v>-1.6122384927500473</v>
      </c>
    </row>
    <row r="68" spans="1:38" x14ac:dyDescent="0.25">
      <c r="A68" s="11"/>
      <c r="B68" s="17">
        <v>31</v>
      </c>
      <c r="C68" s="17">
        <v>8</v>
      </c>
      <c r="D68" s="17">
        <v>346</v>
      </c>
      <c r="E68" s="10">
        <v>218630</v>
      </c>
      <c r="F68" s="10">
        <v>2315930</v>
      </c>
      <c r="G68" s="10">
        <v>-2097300</v>
      </c>
      <c r="H68" s="17">
        <v>5299</v>
      </c>
      <c r="I68" s="11">
        <v>32.798641253066613</v>
      </c>
      <c r="J68" s="17">
        <v>1738</v>
      </c>
      <c r="K68" s="17">
        <v>3541</v>
      </c>
      <c r="L68" s="12">
        <v>16890</v>
      </c>
      <c r="M68" s="12">
        <v>-5240</v>
      </c>
      <c r="N68" s="12">
        <v>1332.52587890625</v>
      </c>
      <c r="O68" s="12">
        <v>-592.290283203125</v>
      </c>
      <c r="P68" s="11">
        <v>2.249785142008252</v>
      </c>
      <c r="Q68" s="13">
        <v>41.258728061898474</v>
      </c>
      <c r="R68" s="17">
        <v>11</v>
      </c>
      <c r="S68" s="17">
        <v>16</v>
      </c>
      <c r="T68" s="17">
        <v>75</v>
      </c>
      <c r="U68" s="17">
        <v>22</v>
      </c>
      <c r="V68" s="12">
        <v>-36995</v>
      </c>
      <c r="W68" s="11">
        <v>1.104243551232537</v>
      </c>
      <c r="X68" s="17">
        <v>1</v>
      </c>
      <c r="Y68" s="12">
        <v>36995</v>
      </c>
      <c r="Z68" s="11">
        <v>590.97175293958639</v>
      </c>
      <c r="AA68" s="14">
        <v>10271.089066090011</v>
      </c>
      <c r="AB68" s="11">
        <v>0.12144258520604299</v>
      </c>
      <c r="AC68" s="11">
        <v>1.9832289850718601</v>
      </c>
      <c r="AD68" s="15">
        <v>203758.08730343304</v>
      </c>
      <c r="AE68" s="11">
        <v>47.765341502177861</v>
      </c>
      <c r="AF68" s="11">
        <f>(Opti_Medias__30_ALL_Data[[#This Row],[All: TS Index]]-AA$114) /ABS(AA$114)</f>
        <v>-0.3536459867876392</v>
      </c>
      <c r="AG68" s="11">
        <f>(Opti_Medias__30_ALL_Data[[#This Row],[All: Expectancy Score]]-AB$114) /ABS(AB$114)</f>
        <v>-0.96072827688007822</v>
      </c>
      <c r="AH68" s="11"/>
      <c r="AI68" s="11">
        <f>(Opti_Medias__30_ALL_Data[[#This Row],[All: Perfect Profit Correlation]]-AD$114) /ABS(AD$114)</f>
        <v>-0.3389424492537802</v>
      </c>
      <c r="AJ68" s="11">
        <f>(Opti_Medias__30_ALL_Data[[#This Row],[All: Robustness Index]]-AE$114) /ABS(AE$114)</f>
        <v>-0.66619548542625473</v>
      </c>
      <c r="AK68" s="11">
        <f>SUM(Opti_Medias__30_ALL_Data[[#This Row],[VAR TS Index]:[VAR Robustness Index]])</f>
        <v>-2.3195121983477525</v>
      </c>
      <c r="AL68" s="11">
        <f>Opti_Medias__30_ALL_Data[[#This Row],[SUMA]]-Opti_Medias__30_ALL_Data[[#This Row],[VAR Robustness Index]]</f>
        <v>-1.6533167129214976</v>
      </c>
    </row>
    <row r="69" spans="1:38" x14ac:dyDescent="0.25">
      <c r="A69" s="11"/>
      <c r="B69" s="17">
        <v>12</v>
      </c>
      <c r="C69" s="17">
        <v>8</v>
      </c>
      <c r="D69" s="17">
        <v>327</v>
      </c>
      <c r="E69" s="10">
        <v>231060</v>
      </c>
      <c r="F69" s="10">
        <v>2420140</v>
      </c>
      <c r="G69" s="10">
        <v>-2189080</v>
      </c>
      <c r="H69" s="17">
        <v>5413</v>
      </c>
      <c r="I69" s="11">
        <v>36.504710881211899</v>
      </c>
      <c r="J69" s="17">
        <v>1976</v>
      </c>
      <c r="K69" s="17">
        <v>3416</v>
      </c>
      <c r="L69" s="12">
        <v>17970</v>
      </c>
      <c r="M69" s="12">
        <v>-6520</v>
      </c>
      <c r="N69" s="12">
        <v>1224.7672119140625</v>
      </c>
      <c r="O69" s="12">
        <v>-640.83135986328125</v>
      </c>
      <c r="P69" s="11">
        <v>1.911216099310997</v>
      </c>
      <c r="Q69" s="13">
        <v>42.686125992979861</v>
      </c>
      <c r="R69" s="17">
        <v>7</v>
      </c>
      <c r="S69" s="17">
        <v>15</v>
      </c>
      <c r="T69" s="17">
        <v>63</v>
      </c>
      <c r="U69" s="17">
        <v>25</v>
      </c>
      <c r="V69" s="12">
        <v>-52525</v>
      </c>
      <c r="W69" s="11">
        <v>1.1055511904544379</v>
      </c>
      <c r="X69" s="17">
        <v>1</v>
      </c>
      <c r="Y69" s="12">
        <v>52525</v>
      </c>
      <c r="Z69" s="11">
        <v>439.90480723465015</v>
      </c>
      <c r="AA69" s="14">
        <v>8692.518990956687</v>
      </c>
      <c r="AB69" s="11">
        <v>0.99529647895835605</v>
      </c>
      <c r="AC69" s="11">
        <v>2.1407076454248459</v>
      </c>
      <c r="AD69" s="15">
        <v>209117.46550303043</v>
      </c>
      <c r="AE69" s="11">
        <v>18.695723105689655</v>
      </c>
      <c r="AF69" s="11">
        <f>(Opti_Medias__30_ALL_Data[[#This Row],[All: TS Index]]-AA$114) /ABS(AA$114)</f>
        <v>-0.45298453761064117</v>
      </c>
      <c r="AG69" s="11">
        <f>(Opti_Medias__30_ALL_Data[[#This Row],[All: Expectancy Score]]-AB$114) /ABS(AB$114)</f>
        <v>-0.67814413965604003</v>
      </c>
      <c r="AH69" s="11"/>
      <c r="AI69" s="11">
        <f>(Opti_Medias__30_ALL_Data[[#This Row],[All: Perfect Profit Correlation]]-AD$114) /ABS(AD$114)</f>
        <v>-0.32155488209983174</v>
      </c>
      <c r="AJ69" s="11">
        <f>(Opti_Medias__30_ALL_Data[[#This Row],[All: Robustness Index]]-AE$114) /ABS(AE$114)</f>
        <v>-0.86934633816832774</v>
      </c>
      <c r="AK69" s="11">
        <f>SUM(Opti_Medias__30_ALL_Data[[#This Row],[VAR TS Index]:[VAR Robustness Index]])</f>
        <v>-2.3220298975348408</v>
      </c>
      <c r="AL69" s="11">
        <f>Opti_Medias__30_ALL_Data[[#This Row],[SUMA]]-Opti_Medias__30_ALL_Data[[#This Row],[VAR Robustness Index]]</f>
        <v>-1.4526835593665131</v>
      </c>
    </row>
    <row r="70" spans="1:38" x14ac:dyDescent="0.25">
      <c r="A70" s="11"/>
      <c r="B70" s="17">
        <v>21</v>
      </c>
      <c r="C70" s="17">
        <v>1</v>
      </c>
      <c r="D70" s="17">
        <v>21</v>
      </c>
      <c r="E70" s="10">
        <v>198280</v>
      </c>
      <c r="F70" s="10">
        <v>2192940</v>
      </c>
      <c r="G70" s="10">
        <v>-1994660</v>
      </c>
      <c r="H70" s="17">
        <v>4994</v>
      </c>
      <c r="I70" s="11">
        <v>37.525030036043255</v>
      </c>
      <c r="J70" s="17">
        <v>1874</v>
      </c>
      <c r="K70" s="17">
        <v>3091</v>
      </c>
      <c r="L70" s="12">
        <v>16140</v>
      </c>
      <c r="M70" s="12">
        <v>-6620</v>
      </c>
      <c r="N70" s="12">
        <v>1170.192138671875</v>
      </c>
      <c r="O70" s="12">
        <v>-645.31219482421875</v>
      </c>
      <c r="P70" s="11">
        <v>1.813373663255553</v>
      </c>
      <c r="Q70" s="13">
        <v>39.703644373247897</v>
      </c>
      <c r="R70" s="17">
        <v>8</v>
      </c>
      <c r="S70" s="17">
        <v>14</v>
      </c>
      <c r="T70" s="17">
        <v>67</v>
      </c>
      <c r="U70" s="17">
        <v>27</v>
      </c>
      <c r="V70" s="12">
        <v>-93205</v>
      </c>
      <c r="W70" s="11">
        <v>1.0994054124512449</v>
      </c>
      <c r="X70" s="17">
        <v>1</v>
      </c>
      <c r="Y70" s="12">
        <v>93205</v>
      </c>
      <c r="Z70" s="11">
        <v>212.73536827423422</v>
      </c>
      <c r="AA70" s="14">
        <v>3986.6608014591493</v>
      </c>
      <c r="AB70" s="11">
        <v>0.10519895517811199</v>
      </c>
      <c r="AC70" s="11">
        <v>1.8349997855042921</v>
      </c>
      <c r="AD70" s="15">
        <v>162498.8402215355</v>
      </c>
      <c r="AE70" s="11">
        <v>119.75795939256611</v>
      </c>
      <c r="AF70" s="11">
        <f>(Opti_Medias__30_ALL_Data[[#This Row],[All: TS Index]]-AA$114) /ABS(AA$114)</f>
        <v>-0.74912161779934217</v>
      </c>
      <c r="AG70" s="11">
        <f>(Opti_Medias__30_ALL_Data[[#This Row],[All: Expectancy Score]]-AB$114) /ABS(AB$114)</f>
        <v>-0.96598109112013286</v>
      </c>
      <c r="AH70" s="11"/>
      <c r="AI70" s="11">
        <f>(Opti_Medias__30_ALL_Data[[#This Row],[All: Perfect Profit Correlation]]-AD$114) /ABS(AD$114)</f>
        <v>-0.47280087510843222</v>
      </c>
      <c r="AJ70" s="11">
        <f>(Opti_Medias__30_ALL_Data[[#This Row],[All: Robustness Index]]-AE$114) /ABS(AE$114)</f>
        <v>-0.16308046285913949</v>
      </c>
      <c r="AK70" s="11">
        <f>SUM(Opti_Medias__30_ALL_Data[[#This Row],[VAR TS Index]:[VAR Robustness Index]])</f>
        <v>-2.3509840468870467</v>
      </c>
      <c r="AL70" s="11">
        <f>Opti_Medias__30_ALL_Data[[#This Row],[SUMA]]-Opti_Medias__30_ALL_Data[[#This Row],[VAR Robustness Index]]</f>
        <v>-2.1879035840279073</v>
      </c>
    </row>
    <row r="71" spans="1:38" x14ac:dyDescent="0.25">
      <c r="A71" s="11"/>
      <c r="B71" s="17">
        <v>37</v>
      </c>
      <c r="C71" s="17">
        <v>8</v>
      </c>
      <c r="D71" s="17">
        <v>352</v>
      </c>
      <c r="E71" s="10">
        <v>153170</v>
      </c>
      <c r="F71" s="10">
        <v>2401080</v>
      </c>
      <c r="G71" s="10">
        <v>-2247910</v>
      </c>
      <c r="H71" s="17">
        <v>6111</v>
      </c>
      <c r="I71" s="11">
        <v>30.175094092619865</v>
      </c>
      <c r="J71" s="17">
        <v>1844</v>
      </c>
      <c r="K71" s="17">
        <v>4244</v>
      </c>
      <c r="L71" s="12">
        <v>18070</v>
      </c>
      <c r="M71" s="12">
        <v>-4490</v>
      </c>
      <c r="N71" s="12">
        <v>1302.1041259765625</v>
      </c>
      <c r="O71" s="12">
        <v>-529.66778564453125</v>
      </c>
      <c r="P71" s="11">
        <v>2.4583411739720682</v>
      </c>
      <c r="Q71" s="13">
        <v>25.064637538864343</v>
      </c>
      <c r="R71" s="17">
        <v>7</v>
      </c>
      <c r="S71" s="17">
        <v>17</v>
      </c>
      <c r="T71" s="17">
        <v>71</v>
      </c>
      <c r="U71" s="17">
        <v>19</v>
      </c>
      <c r="V71" s="12">
        <v>-58855</v>
      </c>
      <c r="W71" s="11">
        <v>1.0681388489752699</v>
      </c>
      <c r="X71" s="17">
        <v>1</v>
      </c>
      <c r="Y71" s="12">
        <v>58855</v>
      </c>
      <c r="Z71" s="11">
        <v>260.24976637498941</v>
      </c>
      <c r="AA71" s="14">
        <v>4799.0056919548042</v>
      </c>
      <c r="AB71" s="11">
        <v>1.620510040371141</v>
      </c>
      <c r="AC71" s="11">
        <v>1.317610087035205</v>
      </c>
      <c r="AD71" s="15">
        <v>136177.70695975824</v>
      </c>
      <c r="AE71" s="11">
        <v>39.614115704288913</v>
      </c>
      <c r="AF71" s="11">
        <f>(Opti_Medias__30_ALL_Data[[#This Row],[All: TS Index]]-AA$114) /ABS(AA$114)</f>
        <v>-0.69800119846446218</v>
      </c>
      <c r="AG71" s="11">
        <f>(Opti_Medias__30_ALL_Data[[#This Row],[All: Expectancy Score]]-AB$114) /ABS(AB$114)</f>
        <v>-0.4759645349237675</v>
      </c>
      <c r="AH71" s="11"/>
      <c r="AI71" s="11">
        <f>(Opti_Medias__30_ALL_Data[[#This Row],[All: Perfect Profit Correlation]]-AD$114) /ABS(AD$114)</f>
        <v>-0.55819519794080097</v>
      </c>
      <c r="AJ71" s="11">
        <f>(Opti_Medias__30_ALL_Data[[#This Row],[All: Robustness Index]]-AE$114) /ABS(AE$114)</f>
        <v>-0.72315971691869052</v>
      </c>
      <c r="AK71" s="11">
        <f>SUM(Opti_Medias__30_ALL_Data[[#This Row],[VAR TS Index]:[VAR Robustness Index]])</f>
        <v>-2.4553206482477212</v>
      </c>
      <c r="AL71" s="11">
        <f>Opti_Medias__30_ALL_Data[[#This Row],[SUMA]]-Opti_Medias__30_ALL_Data[[#This Row],[VAR Robustness Index]]</f>
        <v>-1.7321609313290307</v>
      </c>
    </row>
    <row r="72" spans="1:38" x14ac:dyDescent="0.25">
      <c r="A72" s="11"/>
      <c r="B72" s="17">
        <v>37</v>
      </c>
      <c r="C72" s="17">
        <v>1</v>
      </c>
      <c r="D72" s="17">
        <v>37</v>
      </c>
      <c r="E72" s="10">
        <v>182780</v>
      </c>
      <c r="F72" s="10">
        <v>2396530</v>
      </c>
      <c r="G72" s="10">
        <v>-2213750</v>
      </c>
      <c r="H72" s="17">
        <v>6002</v>
      </c>
      <c r="I72" s="11">
        <v>32.005998000666445</v>
      </c>
      <c r="J72" s="17">
        <v>1921</v>
      </c>
      <c r="K72" s="17">
        <v>4054</v>
      </c>
      <c r="L72" s="12">
        <v>18220</v>
      </c>
      <c r="M72" s="12">
        <v>-4830</v>
      </c>
      <c r="N72" s="12">
        <v>1247.54296875</v>
      </c>
      <c r="O72" s="12">
        <v>-546.06561279296875</v>
      </c>
      <c r="P72" s="11">
        <v>2.2846026915505191</v>
      </c>
      <c r="Q72" s="13">
        <v>30.453182272575809</v>
      </c>
      <c r="R72" s="17">
        <v>7</v>
      </c>
      <c r="S72" s="17">
        <v>19</v>
      </c>
      <c r="T72" s="17">
        <v>67</v>
      </c>
      <c r="U72" s="17">
        <v>20</v>
      </c>
      <c r="V72" s="12">
        <v>-57355</v>
      </c>
      <c r="W72" s="11">
        <v>1.0825657820440431</v>
      </c>
      <c r="X72" s="17">
        <v>1</v>
      </c>
      <c r="Y72" s="12">
        <v>57355</v>
      </c>
      <c r="Z72" s="11">
        <v>318.68189347049082</v>
      </c>
      <c r="AA72" s="14">
        <v>6121.879173568128</v>
      </c>
      <c r="AB72" s="11">
        <v>1.564572199276639</v>
      </c>
      <c r="AC72" s="11">
        <v>1.6286973306832511</v>
      </c>
      <c r="AD72" s="15">
        <v>160951.47545408702</v>
      </c>
      <c r="AE72" s="11">
        <v>5.5546994408598547</v>
      </c>
      <c r="AF72" s="11">
        <f>(Opti_Medias__30_ALL_Data[[#This Row],[All: TS Index]]-AA$114) /ABS(AA$114)</f>
        <v>-0.61475349432022408</v>
      </c>
      <c r="AG72" s="11">
        <f>(Opti_Medias__30_ALL_Data[[#This Row],[All: Expectancy Score]]-AB$114) /ABS(AB$114)</f>
        <v>-0.49405353890587439</v>
      </c>
      <c r="AH72" s="11"/>
      <c r="AI72" s="11">
        <f>(Opti_Medias__30_ALL_Data[[#This Row],[All: Perfect Profit Correlation]]-AD$114) /ABS(AD$114)</f>
        <v>-0.47782103002261339</v>
      </c>
      <c r="AJ72" s="11">
        <f>(Opti_Medias__30_ALL_Data[[#This Row],[All: Robustness Index]]-AE$114) /ABS(AE$114)</f>
        <v>-0.96118139864288976</v>
      </c>
      <c r="AK72" s="11">
        <f>SUM(Opti_Medias__30_ALL_Data[[#This Row],[VAR TS Index]:[VAR Robustness Index]])</f>
        <v>-2.5478094618916014</v>
      </c>
      <c r="AL72" s="11">
        <f>Opti_Medias__30_ALL_Data[[#This Row],[SUMA]]-Opti_Medias__30_ALL_Data[[#This Row],[VAR Robustness Index]]</f>
        <v>-1.5866280632487118</v>
      </c>
    </row>
    <row r="73" spans="1:38" x14ac:dyDescent="0.25">
      <c r="A73" s="11"/>
      <c r="B73" s="17">
        <v>37</v>
      </c>
      <c r="C73" s="17">
        <v>5</v>
      </c>
      <c r="D73" s="17">
        <v>217</v>
      </c>
      <c r="E73" s="10">
        <v>161110</v>
      </c>
      <c r="F73" s="10">
        <v>2207230</v>
      </c>
      <c r="G73" s="10">
        <v>-2046120</v>
      </c>
      <c r="H73" s="17">
        <v>5736</v>
      </c>
      <c r="I73" s="11">
        <v>29.741980474198048</v>
      </c>
      <c r="J73" s="17">
        <v>1706</v>
      </c>
      <c r="K73" s="17">
        <v>4000</v>
      </c>
      <c r="L73" s="12">
        <v>17380</v>
      </c>
      <c r="M73" s="12">
        <v>-4450</v>
      </c>
      <c r="N73" s="12">
        <v>1293.80419921875</v>
      </c>
      <c r="O73" s="12">
        <v>-511.52999877929688</v>
      </c>
      <c r="P73" s="11">
        <v>2.5292831355077001</v>
      </c>
      <c r="Q73" s="13">
        <v>28.087517433751742</v>
      </c>
      <c r="R73" s="17">
        <v>5</v>
      </c>
      <c r="S73" s="17">
        <v>22</v>
      </c>
      <c r="T73" s="17">
        <v>78</v>
      </c>
      <c r="U73" s="17">
        <v>19</v>
      </c>
      <c r="V73" s="12">
        <v>-51225</v>
      </c>
      <c r="W73" s="11">
        <v>1.078739272378942</v>
      </c>
      <c r="X73" s="17">
        <v>1</v>
      </c>
      <c r="Y73" s="12">
        <v>51225</v>
      </c>
      <c r="Z73" s="11">
        <v>314.51439726695952</v>
      </c>
      <c r="AA73" s="14">
        <v>5365.6156173743293</v>
      </c>
      <c r="AB73" s="11">
        <v>1.144948244810958</v>
      </c>
      <c r="AC73" s="11">
        <v>1.4002302806656131</v>
      </c>
      <c r="AD73" s="15">
        <v>143329.3897537447</v>
      </c>
      <c r="AE73" s="11">
        <v>38.445205310647459</v>
      </c>
      <c r="AF73" s="11">
        <f>(Opti_Medias__30_ALL_Data[[#This Row],[All: TS Index]]-AA$114) /ABS(AA$114)</f>
        <v>-0.66234474598271154</v>
      </c>
      <c r="AG73" s="11">
        <f>(Opti_Medias__30_ALL_Data[[#This Row],[All: Expectancy Score]]-AB$114) /ABS(AB$114)</f>
        <v>-0.62975021998610292</v>
      </c>
      <c r="AH73" s="11"/>
      <c r="AI73" s="11">
        <f>(Opti_Medias__30_ALL_Data[[#This Row],[All: Perfect Profit Correlation]]-AD$114) /ABS(AD$114)</f>
        <v>-0.53499281135544696</v>
      </c>
      <c r="AJ73" s="11">
        <f>(Opti_Medias__30_ALL_Data[[#This Row],[All: Robustness Index]]-AE$114) /ABS(AE$114)</f>
        <v>-0.7313285597293695</v>
      </c>
      <c r="AK73" s="11">
        <f>SUM(Opti_Medias__30_ALL_Data[[#This Row],[VAR TS Index]:[VAR Robustness Index]])</f>
        <v>-2.5584163370536306</v>
      </c>
      <c r="AL73" s="11">
        <f>Opti_Medias__30_ALL_Data[[#This Row],[SUMA]]-Opti_Medias__30_ALL_Data[[#This Row],[VAR Robustness Index]]</f>
        <v>-1.8270877773242611</v>
      </c>
    </row>
    <row r="74" spans="1:38" x14ac:dyDescent="0.25">
      <c r="A74" s="11"/>
      <c r="B74" s="17">
        <v>10</v>
      </c>
      <c r="C74" s="17">
        <v>3</v>
      </c>
      <c r="D74" s="17">
        <v>100</v>
      </c>
      <c r="E74" s="10">
        <v>275310</v>
      </c>
      <c r="F74" s="10">
        <v>2363820</v>
      </c>
      <c r="G74" s="10">
        <v>-2088510</v>
      </c>
      <c r="H74" s="17">
        <v>4836</v>
      </c>
      <c r="I74" s="11">
        <v>44.478908188585606</v>
      </c>
      <c r="J74" s="17">
        <v>2151</v>
      </c>
      <c r="K74" s="17">
        <v>2645</v>
      </c>
      <c r="L74" s="12">
        <v>13810</v>
      </c>
      <c r="M74" s="12">
        <v>-6530</v>
      </c>
      <c r="N74" s="12">
        <v>1098.9400634765625</v>
      </c>
      <c r="O74" s="12">
        <v>-789.6068115234375</v>
      </c>
      <c r="P74" s="11">
        <v>1.3917560581276009</v>
      </c>
      <c r="Q74" s="13">
        <v>56.929280397022332</v>
      </c>
      <c r="R74" s="17">
        <v>10</v>
      </c>
      <c r="S74" s="17">
        <v>12</v>
      </c>
      <c r="T74" s="17">
        <v>54</v>
      </c>
      <c r="U74" s="17">
        <v>35</v>
      </c>
      <c r="V74" s="12">
        <v>-83035</v>
      </c>
      <c r="W74" s="11">
        <v>1.131821250556617</v>
      </c>
      <c r="X74" s="17">
        <v>1</v>
      </c>
      <c r="Y74" s="12">
        <v>83035</v>
      </c>
      <c r="Z74" s="11">
        <v>331.55898115252603</v>
      </c>
      <c r="AA74" s="14">
        <v>7131.8336845908352</v>
      </c>
      <c r="AB74" s="11">
        <v>4.5444159208414998E-2</v>
      </c>
      <c r="AC74" s="11">
        <v>2.649515316809627</v>
      </c>
      <c r="AD74" s="15">
        <v>246546.60028758735</v>
      </c>
      <c r="AE74" s="11">
        <v>14.693898533810707</v>
      </c>
      <c r="AF74" s="11">
        <f>(Opti_Medias__30_ALL_Data[[#This Row],[All: TS Index]]-AA$114) /ABS(AA$114)</f>
        <v>-0.55119760972404885</v>
      </c>
      <c r="AG74" s="11">
        <f>(Opti_Medias__30_ALL_Data[[#This Row],[All: Expectancy Score]]-AB$114) /ABS(AB$114)</f>
        <v>-0.98530441002369473</v>
      </c>
      <c r="AH74" s="11"/>
      <c r="AI74" s="11">
        <f>(Opti_Medias__30_ALL_Data[[#This Row],[All: Perfect Profit Correlation]]-AD$114) /ABS(AD$114)</f>
        <v>-0.20012258709412351</v>
      </c>
      <c r="AJ74" s="11">
        <f>(Opti_Medias__30_ALL_Data[[#This Row],[All: Robustness Index]]-AE$114) /ABS(AE$114)</f>
        <v>-0.89731278971278972</v>
      </c>
      <c r="AK74" s="11">
        <f>SUM(Opti_Medias__30_ALL_Data[[#This Row],[VAR TS Index]:[VAR Robustness Index]])</f>
        <v>-2.6339373965546566</v>
      </c>
      <c r="AL74" s="11">
        <f>Opti_Medias__30_ALL_Data[[#This Row],[SUMA]]-Opti_Medias__30_ALL_Data[[#This Row],[VAR Robustness Index]]</f>
        <v>-1.7366246068418669</v>
      </c>
    </row>
    <row r="75" spans="1:38" x14ac:dyDescent="0.25">
      <c r="A75" s="11"/>
      <c r="B75" s="17">
        <v>16</v>
      </c>
      <c r="C75" s="17">
        <v>1</v>
      </c>
      <c r="D75" s="17">
        <v>16</v>
      </c>
      <c r="E75" s="10">
        <v>200450</v>
      </c>
      <c r="F75" s="10">
        <v>2239630</v>
      </c>
      <c r="G75" s="10">
        <v>-2039180</v>
      </c>
      <c r="H75" s="17">
        <v>5194</v>
      </c>
      <c r="I75" s="11">
        <v>38.756257219869077</v>
      </c>
      <c r="J75" s="17">
        <v>2013</v>
      </c>
      <c r="K75" s="17">
        <v>3144</v>
      </c>
      <c r="L75" s="12">
        <v>17520</v>
      </c>
      <c r="M75" s="12">
        <v>-8650</v>
      </c>
      <c r="N75" s="12">
        <v>1112.583251953125</v>
      </c>
      <c r="O75" s="12">
        <v>-648.59417724609375</v>
      </c>
      <c r="P75" s="11">
        <v>1.715376565169165</v>
      </c>
      <c r="Q75" s="13">
        <v>38.592606854062382</v>
      </c>
      <c r="R75" s="17">
        <v>9</v>
      </c>
      <c r="S75" s="17">
        <v>13</v>
      </c>
      <c r="T75" s="17">
        <v>61</v>
      </c>
      <c r="U75" s="17">
        <v>27</v>
      </c>
      <c r="V75" s="12">
        <v>-103495</v>
      </c>
      <c r="W75" s="11">
        <v>1.0982993163918831</v>
      </c>
      <c r="X75" s="17">
        <v>1</v>
      </c>
      <c r="Y75" s="12">
        <v>103495</v>
      </c>
      <c r="Z75" s="11">
        <v>193.68085414754336</v>
      </c>
      <c r="AA75" s="14">
        <v>3898.795593990048</v>
      </c>
      <c r="AB75" s="11">
        <v>0.13448379098282401</v>
      </c>
      <c r="AC75" s="11">
        <v>1.868998913493124</v>
      </c>
      <c r="AD75" s="15">
        <v>153274.17425637229</v>
      </c>
      <c r="AE75" s="11">
        <v>79.229029288627814</v>
      </c>
      <c r="AF75" s="11">
        <f>(Opti_Medias__30_ALL_Data[[#This Row],[All: TS Index]]-AA$114) /ABS(AA$114)</f>
        <v>-0.7546509272137536</v>
      </c>
      <c r="AG75" s="11">
        <f>(Opti_Medias__30_ALL_Data[[#This Row],[All: Expectancy Score]]-AB$114) /ABS(AB$114)</f>
        <v>-0.95651105257159741</v>
      </c>
      <c r="AH75" s="11"/>
      <c r="AI75" s="11">
        <f>(Opti_Medias__30_ALL_Data[[#This Row],[All: Perfect Profit Correlation]]-AD$114) /ABS(AD$114)</f>
        <v>-0.50272869377852858</v>
      </c>
      <c r="AJ75" s="11">
        <f>(Opti_Medias__30_ALL_Data[[#This Row],[All: Robustness Index]]-AE$114) /ABS(AE$114)</f>
        <v>-0.44631385791236089</v>
      </c>
      <c r="AK75" s="11">
        <f>SUM(Opti_Medias__30_ALL_Data[[#This Row],[VAR TS Index]:[VAR Robustness Index]])</f>
        <v>-2.6602045314762401</v>
      </c>
      <c r="AL75" s="11">
        <f>Opti_Medias__30_ALL_Data[[#This Row],[SUMA]]-Opti_Medias__30_ALL_Data[[#This Row],[VAR Robustness Index]]</f>
        <v>-2.2138906735638795</v>
      </c>
    </row>
    <row r="76" spans="1:38" x14ac:dyDescent="0.25">
      <c r="A76" s="11"/>
      <c r="B76" s="17">
        <v>36</v>
      </c>
      <c r="C76" s="17">
        <v>1</v>
      </c>
      <c r="D76" s="17">
        <v>36</v>
      </c>
      <c r="E76" s="10">
        <v>165650</v>
      </c>
      <c r="F76" s="10">
        <v>2365670</v>
      </c>
      <c r="G76" s="10">
        <v>-2200020</v>
      </c>
      <c r="H76" s="17">
        <v>5810</v>
      </c>
      <c r="I76" s="11">
        <v>32.616179001721171</v>
      </c>
      <c r="J76" s="17">
        <v>1895</v>
      </c>
      <c r="K76" s="17">
        <v>3889</v>
      </c>
      <c r="L76" s="12">
        <v>18070</v>
      </c>
      <c r="M76" s="12">
        <v>-4830</v>
      </c>
      <c r="N76" s="12">
        <v>1248.3746337890625</v>
      </c>
      <c r="O76" s="12">
        <v>-565.7032470703125</v>
      </c>
      <c r="P76" s="11">
        <v>2.2067658975871129</v>
      </c>
      <c r="Q76" s="13">
        <v>28.511187607573149</v>
      </c>
      <c r="R76" s="17">
        <v>7</v>
      </c>
      <c r="S76" s="17">
        <v>17</v>
      </c>
      <c r="T76" s="17">
        <v>68</v>
      </c>
      <c r="U76" s="17">
        <v>21</v>
      </c>
      <c r="V76" s="12">
        <v>-56365</v>
      </c>
      <c r="W76" s="11">
        <v>1.075294770047545</v>
      </c>
      <c r="X76" s="17">
        <v>1</v>
      </c>
      <c r="Y76" s="12">
        <v>56365</v>
      </c>
      <c r="Z76" s="11">
        <v>293.888051095538</v>
      </c>
      <c r="AA76" s="14">
        <v>5569.178568260445</v>
      </c>
      <c r="AB76" s="11">
        <v>1.55158238972426</v>
      </c>
      <c r="AC76" s="11">
        <v>1.4658455672828949</v>
      </c>
      <c r="AD76" s="15">
        <v>144863.34621592797</v>
      </c>
      <c r="AE76" s="11">
        <v>-7.7488337530407083</v>
      </c>
      <c r="AF76" s="11">
        <f>(Opti_Medias__30_ALL_Data[[#This Row],[All: TS Index]]-AA$114) /ABS(AA$114)</f>
        <v>-0.64953464090038071</v>
      </c>
      <c r="AG76" s="11">
        <f>(Opti_Medias__30_ALL_Data[[#This Row],[All: Expectancy Score]]-AB$114) /ABS(AB$114)</f>
        <v>-0.49825414286416497</v>
      </c>
      <c r="AH76" s="11"/>
      <c r="AI76" s="11">
        <f>(Opti_Medias__30_ALL_Data[[#This Row],[All: Perfect Profit Correlation]]-AD$114) /ABS(AD$114)</f>
        <v>-0.53001615734744123</v>
      </c>
      <c r="AJ76" s="11">
        <f>(Opti_Medias__30_ALL_Data[[#This Row],[All: Robustness Index]]-AE$114) /ABS(AE$114)</f>
        <v>-1.0541521447999795</v>
      </c>
      <c r="AK76" s="11">
        <f>SUM(Opti_Medias__30_ALL_Data[[#This Row],[VAR TS Index]:[VAR Robustness Index]])</f>
        <v>-2.7319570859119668</v>
      </c>
      <c r="AL76" s="11">
        <f>Opti_Medias__30_ALL_Data[[#This Row],[SUMA]]-Opti_Medias__30_ALL_Data[[#This Row],[VAR Robustness Index]]</f>
        <v>-1.6778049411119873</v>
      </c>
    </row>
    <row r="77" spans="1:38" x14ac:dyDescent="0.25">
      <c r="A77" s="11"/>
      <c r="B77" s="17">
        <v>34</v>
      </c>
      <c r="C77" s="17">
        <v>5</v>
      </c>
      <c r="D77" s="17">
        <v>214</v>
      </c>
      <c r="E77" s="10">
        <v>152590</v>
      </c>
      <c r="F77" s="10">
        <v>2078700</v>
      </c>
      <c r="G77" s="10">
        <v>-1926110</v>
      </c>
      <c r="H77" s="17">
        <v>4984</v>
      </c>
      <c r="I77" s="11">
        <v>31.581059390048154</v>
      </c>
      <c r="J77" s="17">
        <v>1574</v>
      </c>
      <c r="K77" s="17">
        <v>3383</v>
      </c>
      <c r="L77" s="12">
        <v>16700</v>
      </c>
      <c r="M77" s="12">
        <v>-4430</v>
      </c>
      <c r="N77" s="12">
        <v>1320.6480712890625</v>
      </c>
      <c r="O77" s="12">
        <v>-569.34967041015625</v>
      </c>
      <c r="P77" s="11">
        <v>2.3195729091011419</v>
      </c>
      <c r="Q77" s="13">
        <v>30.615971107544141</v>
      </c>
      <c r="R77" s="17">
        <v>6</v>
      </c>
      <c r="S77" s="17">
        <v>20</v>
      </c>
      <c r="T77" s="17">
        <v>83</v>
      </c>
      <c r="U77" s="17">
        <v>23</v>
      </c>
      <c r="V77" s="12">
        <v>-55625</v>
      </c>
      <c r="W77" s="11">
        <v>1.079221851296136</v>
      </c>
      <c r="X77" s="17">
        <v>1</v>
      </c>
      <c r="Y77" s="12">
        <v>55625</v>
      </c>
      <c r="Z77" s="11">
        <v>274.31910112359549</v>
      </c>
      <c r="AA77" s="14">
        <v>4317.7826516853929</v>
      </c>
      <c r="AB77" s="11">
        <v>0.30514197639033702</v>
      </c>
      <c r="AC77" s="11">
        <v>1.333104536147018</v>
      </c>
      <c r="AD77" s="15">
        <v>134045.52173195998</v>
      </c>
      <c r="AE77" s="11">
        <v>66.165682363959476</v>
      </c>
      <c r="AF77" s="11">
        <f>(Opti_Medias__30_ALL_Data[[#This Row],[All: TS Index]]-AA$114) /ABS(AA$114)</f>
        <v>-0.72828430099886499</v>
      </c>
      <c r="AG77" s="11">
        <f>(Opti_Medias__30_ALL_Data[[#This Row],[All: Expectancy Score]]-AB$114) /ABS(AB$114)</f>
        <v>-0.90132414269067518</v>
      </c>
      <c r="AH77" s="11"/>
      <c r="AI77" s="11">
        <f>(Opti_Medias__30_ALL_Data[[#This Row],[All: Perfect Profit Correlation]]-AD$114) /ABS(AD$114)</f>
        <v>-0.56511270076524878</v>
      </c>
      <c r="AJ77" s="11">
        <f>(Opti_Medias__30_ALL_Data[[#This Row],[All: Robustness Index]]-AE$114) /ABS(AE$114)</f>
        <v>-0.53760608030123513</v>
      </c>
      <c r="AK77" s="11">
        <f>SUM(Opti_Medias__30_ALL_Data[[#This Row],[VAR TS Index]:[VAR Robustness Index]])</f>
        <v>-2.7323272247560242</v>
      </c>
      <c r="AL77" s="11">
        <f>Opti_Medias__30_ALL_Data[[#This Row],[SUMA]]-Opti_Medias__30_ALL_Data[[#This Row],[VAR Robustness Index]]</f>
        <v>-2.1947211444547889</v>
      </c>
    </row>
    <row r="78" spans="1:38" x14ac:dyDescent="0.25">
      <c r="A78" s="11"/>
      <c r="B78" s="17">
        <v>41</v>
      </c>
      <c r="C78" s="17">
        <v>11</v>
      </c>
      <c r="D78" s="17">
        <v>491</v>
      </c>
      <c r="E78" s="10">
        <v>153180</v>
      </c>
      <c r="F78" s="10">
        <v>2365230</v>
      </c>
      <c r="G78" s="10">
        <v>-2212050</v>
      </c>
      <c r="H78" s="17">
        <v>5895</v>
      </c>
      <c r="I78" s="11">
        <v>31.569126378286683</v>
      </c>
      <c r="J78" s="17">
        <v>1861</v>
      </c>
      <c r="K78" s="17">
        <v>4015</v>
      </c>
      <c r="L78" s="12">
        <v>18310</v>
      </c>
      <c r="M78" s="12">
        <v>-5080</v>
      </c>
      <c r="N78" s="12">
        <v>1270.9456787109375</v>
      </c>
      <c r="O78" s="12">
        <v>-550.94647216796875</v>
      </c>
      <c r="P78" s="11">
        <v>2.3068405787403981</v>
      </c>
      <c r="Q78" s="13">
        <v>25.984732824427482</v>
      </c>
      <c r="R78" s="17">
        <v>7</v>
      </c>
      <c r="S78" s="17">
        <v>19</v>
      </c>
      <c r="T78" s="17">
        <v>70</v>
      </c>
      <c r="U78" s="17">
        <v>20</v>
      </c>
      <c r="V78" s="12">
        <v>-67295</v>
      </c>
      <c r="W78" s="11">
        <v>1.069247982640537</v>
      </c>
      <c r="X78" s="17">
        <v>1</v>
      </c>
      <c r="Y78" s="12">
        <v>67295</v>
      </c>
      <c r="Z78" s="11">
        <v>227.62463778884018</v>
      </c>
      <c r="AA78" s="14">
        <v>4236.0945092503162</v>
      </c>
      <c r="AB78" s="11">
        <v>0.932197794081149</v>
      </c>
      <c r="AC78" s="11">
        <v>1.332624653758365</v>
      </c>
      <c r="AD78" s="15">
        <v>140217.52280349817</v>
      </c>
      <c r="AE78" s="11">
        <v>33.817149305832942</v>
      </c>
      <c r="AF78" s="11">
        <f>(Opti_Medias__30_ALL_Data[[#This Row],[All: TS Index]]-AA$114) /ABS(AA$114)</f>
        <v>-0.73342489109160325</v>
      </c>
      <c r="AG78" s="11">
        <f>(Opti_Medias__30_ALL_Data[[#This Row],[All: Expectancy Score]]-AB$114) /ABS(AB$114)</f>
        <v>-0.69854879488900179</v>
      </c>
      <c r="AH78" s="11"/>
      <c r="AI78" s="11">
        <f>(Opti_Medias__30_ALL_Data[[#This Row],[All: Perfect Profit Correlation]]-AD$114) /ABS(AD$114)</f>
        <v>-0.54508872053678237</v>
      </c>
      <c r="AJ78" s="11">
        <f>(Opti_Medias__30_ALL_Data[[#This Row],[All: Robustness Index]]-AE$114) /ABS(AE$114)</f>
        <v>-0.76367138277893942</v>
      </c>
      <c r="AK78" s="11">
        <f>SUM(Opti_Medias__30_ALL_Data[[#This Row],[VAR TS Index]:[VAR Robustness Index]])</f>
        <v>-2.7407337892963266</v>
      </c>
      <c r="AL78" s="11">
        <f>Opti_Medias__30_ALL_Data[[#This Row],[SUMA]]-Opti_Medias__30_ALL_Data[[#This Row],[VAR Robustness Index]]</f>
        <v>-1.9770624065173872</v>
      </c>
    </row>
    <row r="79" spans="1:38" x14ac:dyDescent="0.25">
      <c r="A79" s="11"/>
      <c r="B79" s="17">
        <v>38</v>
      </c>
      <c r="C79" s="17">
        <v>5</v>
      </c>
      <c r="D79" s="17">
        <v>218</v>
      </c>
      <c r="E79" s="10">
        <v>164830</v>
      </c>
      <c r="F79" s="10">
        <v>2257100</v>
      </c>
      <c r="G79" s="10">
        <v>-2092270</v>
      </c>
      <c r="H79" s="17">
        <v>6062</v>
      </c>
      <c r="I79" s="11">
        <v>29.29726162982514</v>
      </c>
      <c r="J79" s="17">
        <v>1776</v>
      </c>
      <c r="K79" s="17">
        <v>4252</v>
      </c>
      <c r="L79" s="12">
        <v>17480</v>
      </c>
      <c r="M79" s="12">
        <v>-4300</v>
      </c>
      <c r="N79" s="12">
        <v>1270.8896484375</v>
      </c>
      <c r="O79" s="12">
        <v>-492.0672607421875</v>
      </c>
      <c r="P79" s="11">
        <v>2.582755956006118</v>
      </c>
      <c r="Q79" s="13">
        <v>27.190696139887827</v>
      </c>
      <c r="R79" s="17">
        <v>7</v>
      </c>
      <c r="S79" s="17">
        <v>22</v>
      </c>
      <c r="T79" s="17">
        <v>75</v>
      </c>
      <c r="U79" s="17">
        <v>18</v>
      </c>
      <c r="V79" s="12">
        <v>-59325</v>
      </c>
      <c r="W79" s="11">
        <v>1.078780463324523</v>
      </c>
      <c r="X79" s="17">
        <v>1</v>
      </c>
      <c r="Y79" s="12">
        <v>59325</v>
      </c>
      <c r="Z79" s="11">
        <v>277.84239359460599</v>
      </c>
      <c r="AA79" s="14">
        <v>4934.4809102402023</v>
      </c>
      <c r="AB79" s="11">
        <v>0.63232522524224599</v>
      </c>
      <c r="AC79" s="11">
        <v>1.433577950839531</v>
      </c>
      <c r="AD79" s="15">
        <v>144504.63815208827</v>
      </c>
      <c r="AE79" s="11">
        <v>38.856403908893022</v>
      </c>
      <c r="AF79" s="11">
        <f>(Opti_Medias__30_ALL_Data[[#This Row],[All: TS Index]]-AA$114) /ABS(AA$114)</f>
        <v>-0.68947581712796069</v>
      </c>
      <c r="AG79" s="11">
        <f>(Opti_Medias__30_ALL_Data[[#This Row],[All: Expectancy Score]]-AB$114) /ABS(AB$114)</f>
        <v>-0.7955206476762321</v>
      </c>
      <c r="AH79" s="11"/>
      <c r="AI79" s="11">
        <f>(Opti_Medias__30_ALL_Data[[#This Row],[All: Perfect Profit Correlation]]-AD$114) /ABS(AD$114)</f>
        <v>-0.53117992305241502</v>
      </c>
      <c r="AJ79" s="11">
        <f>(Opti_Medias__30_ALL_Data[[#This Row],[All: Robustness Index]]-AE$114) /ABS(AE$114)</f>
        <v>-0.72845492909753351</v>
      </c>
      <c r="AK79" s="11">
        <f>SUM(Opti_Medias__30_ALL_Data[[#This Row],[VAR TS Index]:[VAR Robustness Index]])</f>
        <v>-2.7446313169541412</v>
      </c>
      <c r="AL79" s="11">
        <f>Opti_Medias__30_ALL_Data[[#This Row],[SUMA]]-Opti_Medias__30_ALL_Data[[#This Row],[VAR Robustness Index]]</f>
        <v>-2.0161763878566079</v>
      </c>
    </row>
    <row r="80" spans="1:38" x14ac:dyDescent="0.25">
      <c r="A80" s="11"/>
      <c r="B80" s="17">
        <v>39</v>
      </c>
      <c r="C80" s="17">
        <v>5</v>
      </c>
      <c r="D80" s="17">
        <v>219</v>
      </c>
      <c r="E80" s="10">
        <v>133820</v>
      </c>
      <c r="F80" s="10">
        <v>2284870</v>
      </c>
      <c r="G80" s="10">
        <v>-2151050</v>
      </c>
      <c r="H80" s="17">
        <v>6420</v>
      </c>
      <c r="I80" s="11">
        <v>28.598130841121495</v>
      </c>
      <c r="J80" s="17">
        <v>1836</v>
      </c>
      <c r="K80" s="17">
        <v>4543</v>
      </c>
      <c r="L80" s="12">
        <v>17230</v>
      </c>
      <c r="M80" s="12">
        <v>-4300</v>
      </c>
      <c r="N80" s="12">
        <v>1244.4825439453125</v>
      </c>
      <c r="O80" s="12">
        <v>-473.4866943359375</v>
      </c>
      <c r="P80" s="11">
        <v>2.6283368864054188</v>
      </c>
      <c r="Q80" s="13">
        <v>20.844236760124609</v>
      </c>
      <c r="R80" s="17">
        <v>6</v>
      </c>
      <c r="S80" s="17">
        <v>20</v>
      </c>
      <c r="T80" s="17">
        <v>73</v>
      </c>
      <c r="U80" s="17">
        <v>17</v>
      </c>
      <c r="V80" s="12">
        <v>-74985</v>
      </c>
      <c r="W80" s="11">
        <v>1.0622114781153389</v>
      </c>
      <c r="X80" s="17">
        <v>1</v>
      </c>
      <c r="Y80" s="12">
        <v>74985</v>
      </c>
      <c r="Z80" s="11">
        <v>178.46235913849438</v>
      </c>
      <c r="AA80" s="14">
        <v>3276.5689137827567</v>
      </c>
      <c r="AB80" s="11">
        <v>1.3990390872407641</v>
      </c>
      <c r="AC80" s="11">
        <v>1.124095461532846</v>
      </c>
      <c r="AD80" s="15">
        <v>116461.86413912244</v>
      </c>
      <c r="AE80" s="11">
        <v>22.627853219638013</v>
      </c>
      <c r="AF80" s="11">
        <f>(Opti_Medias__30_ALL_Data[[#This Row],[All: TS Index]]-AA$114) /ABS(AA$114)</f>
        <v>-0.79380731163335516</v>
      </c>
      <c r="AG80" s="11">
        <f>(Opti_Medias__30_ALL_Data[[#This Row],[All: Expectancy Score]]-AB$114) /ABS(AB$114)</f>
        <v>-0.54758311860003583</v>
      </c>
      <c r="AH80" s="11"/>
      <c r="AI80" s="11">
        <f>(Opti_Medias__30_ALL_Data[[#This Row],[All: Perfect Profit Correlation]]-AD$114) /ABS(AD$114)</f>
        <v>-0.62215980881044453</v>
      </c>
      <c r="AJ80" s="11">
        <f>(Opti_Medias__30_ALL_Data[[#This Row],[All: Robustness Index]]-AE$114) /ABS(AE$114)</f>
        <v>-0.84186694112753624</v>
      </c>
      <c r="AK80" s="11">
        <f>SUM(Opti_Medias__30_ALL_Data[[#This Row],[VAR TS Index]:[VAR Robustness Index]])</f>
        <v>-2.8054171801713719</v>
      </c>
      <c r="AL80" s="11">
        <f>Opti_Medias__30_ALL_Data[[#This Row],[SUMA]]-Opti_Medias__30_ALL_Data[[#This Row],[VAR Robustness Index]]</f>
        <v>-1.9635502390438355</v>
      </c>
    </row>
    <row r="81" spans="1:38" x14ac:dyDescent="0.25">
      <c r="A81" s="11"/>
      <c r="B81" s="17">
        <v>38</v>
      </c>
      <c r="C81" s="17">
        <v>11</v>
      </c>
      <c r="D81" s="17">
        <v>488</v>
      </c>
      <c r="E81" s="10">
        <v>150680</v>
      </c>
      <c r="F81" s="10">
        <v>2293720</v>
      </c>
      <c r="G81" s="10">
        <v>-2143040</v>
      </c>
      <c r="H81" s="17">
        <v>5357</v>
      </c>
      <c r="I81" s="11">
        <v>33.712899010640285</v>
      </c>
      <c r="J81" s="17">
        <v>1806</v>
      </c>
      <c r="K81" s="17">
        <v>3532</v>
      </c>
      <c r="L81" s="12">
        <v>18310</v>
      </c>
      <c r="M81" s="12">
        <v>-4830</v>
      </c>
      <c r="N81" s="12">
        <v>1270.055419921875</v>
      </c>
      <c r="O81" s="12">
        <v>-606.74969482421875</v>
      </c>
      <c r="P81" s="11">
        <v>2.0932114688410719</v>
      </c>
      <c r="Q81" s="13">
        <v>28.127683404890796</v>
      </c>
      <c r="R81" s="17">
        <v>9</v>
      </c>
      <c r="S81" s="17">
        <v>16</v>
      </c>
      <c r="T81" s="17">
        <v>72</v>
      </c>
      <c r="U81" s="17">
        <v>23</v>
      </c>
      <c r="V81" s="12">
        <v>-53395</v>
      </c>
      <c r="W81" s="11">
        <v>1.07031133343288</v>
      </c>
      <c r="X81" s="17">
        <v>1</v>
      </c>
      <c r="Y81" s="12">
        <v>53395</v>
      </c>
      <c r="Z81" s="11">
        <v>282.1987077441708</v>
      </c>
      <c r="AA81" s="14">
        <v>5096.5086618597243</v>
      </c>
      <c r="AB81" s="11">
        <v>0.71733036776791104</v>
      </c>
      <c r="AC81" s="11">
        <v>1.3276590135732671</v>
      </c>
      <c r="AD81" s="15">
        <v>130301.90847175337</v>
      </c>
      <c r="AE81" s="11">
        <v>28.94731389651567</v>
      </c>
      <c r="AF81" s="11">
        <f>(Opti_Medias__30_ALL_Data[[#This Row],[All: TS Index]]-AA$114) /ABS(AA$114)</f>
        <v>-0.67927949940184829</v>
      </c>
      <c r="AG81" s="11">
        <f>(Opti_Medias__30_ALL_Data[[#This Row],[All: Expectancy Score]]-AB$114) /ABS(AB$114)</f>
        <v>-0.76803195073048158</v>
      </c>
      <c r="AH81" s="11"/>
      <c r="AI81" s="11">
        <f>(Opti_Medias__30_ALL_Data[[#This Row],[All: Perfect Profit Correlation]]-AD$114) /ABS(AD$114)</f>
        <v>-0.57725820058557209</v>
      </c>
      <c r="AJ81" s="11">
        <f>(Opti_Medias__30_ALL_Data[[#This Row],[All: Robustness Index]]-AE$114) /ABS(AE$114)</f>
        <v>-0.79770386310334096</v>
      </c>
      <c r="AK81" s="11">
        <f>SUM(Opti_Medias__30_ALL_Data[[#This Row],[VAR TS Index]:[VAR Robustness Index]])</f>
        <v>-2.8222735138212429</v>
      </c>
      <c r="AL81" s="11">
        <f>Opti_Medias__30_ALL_Data[[#This Row],[SUMA]]-Opti_Medias__30_ALL_Data[[#This Row],[VAR Robustness Index]]</f>
        <v>-2.0245696507179018</v>
      </c>
    </row>
    <row r="82" spans="1:38" x14ac:dyDescent="0.25">
      <c r="A82" s="11"/>
      <c r="B82" s="17">
        <v>32</v>
      </c>
      <c r="C82" s="17">
        <v>1</v>
      </c>
      <c r="D82" s="17">
        <v>32</v>
      </c>
      <c r="E82" s="10">
        <v>160390</v>
      </c>
      <c r="F82" s="10">
        <v>2259720</v>
      </c>
      <c r="G82" s="10">
        <v>-2099330</v>
      </c>
      <c r="H82" s="17">
        <v>5246</v>
      </c>
      <c r="I82" s="11">
        <v>34.083110941669844</v>
      </c>
      <c r="J82" s="17">
        <v>1788</v>
      </c>
      <c r="K82" s="17">
        <v>3426</v>
      </c>
      <c r="L82" s="12">
        <v>17310</v>
      </c>
      <c r="M82" s="12">
        <v>-5700</v>
      </c>
      <c r="N82" s="12">
        <v>1263.8255615234375</v>
      </c>
      <c r="O82" s="12">
        <v>-612.76416015625</v>
      </c>
      <c r="P82" s="11">
        <v>2.0624991533466508</v>
      </c>
      <c r="Q82" s="13">
        <v>30.57377049180328</v>
      </c>
      <c r="R82" s="17">
        <v>7</v>
      </c>
      <c r="S82" s="17">
        <v>15</v>
      </c>
      <c r="T82" s="17">
        <v>71</v>
      </c>
      <c r="U82" s="17">
        <v>24</v>
      </c>
      <c r="V82" s="12">
        <v>-61835</v>
      </c>
      <c r="W82" s="11">
        <v>1.076400565894833</v>
      </c>
      <c r="X82" s="17">
        <v>1</v>
      </c>
      <c r="Y82" s="12">
        <v>61835</v>
      </c>
      <c r="Z82" s="11">
        <v>259.38384410123717</v>
      </c>
      <c r="AA82" s="14">
        <v>4637.7831325301204</v>
      </c>
      <c r="AB82" s="11">
        <v>0.254900979265615</v>
      </c>
      <c r="AC82" s="11">
        <v>1.428157934327333</v>
      </c>
      <c r="AD82" s="15">
        <v>141855.31917824378</v>
      </c>
      <c r="AE82" s="11">
        <v>45.495592756570851</v>
      </c>
      <c r="AF82" s="11">
        <f>(Opti_Medias__30_ALL_Data[[#This Row],[All: TS Index]]-AA$114) /ABS(AA$114)</f>
        <v>-0.70814684588646259</v>
      </c>
      <c r="AG82" s="11">
        <f>(Opti_Medias__30_ALL_Data[[#This Row],[All: Expectancy Score]]-AB$114) /ABS(AB$114)</f>
        <v>-0.91757091909948874</v>
      </c>
      <c r="AH82" s="11"/>
      <c r="AI82" s="11">
        <f>(Opti_Medias__30_ALL_Data[[#This Row],[All: Perfect Profit Correlation]]-AD$114) /ABS(AD$114)</f>
        <v>-0.53977517605646896</v>
      </c>
      <c r="AJ82" s="11">
        <f>(Opti_Medias__30_ALL_Data[[#This Row],[All: Robustness Index]]-AE$114) /ABS(AE$114)</f>
        <v>-0.68205745467852452</v>
      </c>
      <c r="AK82" s="11">
        <f>SUM(Opti_Medias__30_ALL_Data[[#This Row],[VAR TS Index]:[VAR Robustness Index]])</f>
        <v>-2.8475503957209449</v>
      </c>
      <c r="AL82" s="11">
        <f>Opti_Medias__30_ALL_Data[[#This Row],[SUMA]]-Opti_Medias__30_ALL_Data[[#This Row],[VAR Robustness Index]]</f>
        <v>-2.1654929410424204</v>
      </c>
    </row>
    <row r="83" spans="1:38" x14ac:dyDescent="0.25">
      <c r="A83" s="11"/>
      <c r="B83" s="17">
        <v>12</v>
      </c>
      <c r="C83" s="17">
        <v>3</v>
      </c>
      <c r="D83" s="17">
        <v>102</v>
      </c>
      <c r="E83" s="10">
        <v>246050</v>
      </c>
      <c r="F83" s="10">
        <v>2334990</v>
      </c>
      <c r="G83" s="10">
        <v>-2088940</v>
      </c>
      <c r="H83" s="17">
        <v>4617</v>
      </c>
      <c r="I83" s="11">
        <v>43.231535629196451</v>
      </c>
      <c r="J83" s="17">
        <v>1996</v>
      </c>
      <c r="K83" s="17">
        <v>2592</v>
      </c>
      <c r="L83" s="12">
        <v>18390</v>
      </c>
      <c r="M83" s="12">
        <v>-6950</v>
      </c>
      <c r="N83" s="12">
        <v>1169.834716796875</v>
      </c>
      <c r="O83" s="12">
        <v>-805.918212890625</v>
      </c>
      <c r="P83" s="11">
        <v>1.4515551306390919</v>
      </c>
      <c r="Q83" s="13">
        <v>53.292181069958851</v>
      </c>
      <c r="R83" s="17">
        <v>8</v>
      </c>
      <c r="S83" s="17">
        <v>12</v>
      </c>
      <c r="T83" s="17">
        <v>58</v>
      </c>
      <c r="U83" s="17">
        <v>36</v>
      </c>
      <c r="V83" s="12">
        <v>-78915</v>
      </c>
      <c r="W83" s="11">
        <v>1.1177870115943971</v>
      </c>
      <c r="X83" s="17">
        <v>1</v>
      </c>
      <c r="Y83" s="12">
        <v>78915</v>
      </c>
      <c r="Z83" s="11">
        <v>311.79116771209527</v>
      </c>
      <c r="AA83" s="14">
        <v>6223.3517075334221</v>
      </c>
      <c r="AB83" s="11">
        <v>0.270005627893533</v>
      </c>
      <c r="AC83" s="11">
        <v>2.3481640257235621</v>
      </c>
      <c r="AD83" s="15">
        <v>213592.26754495595</v>
      </c>
      <c r="AE83" s="11">
        <v>-10.44479710542695</v>
      </c>
      <c r="AF83" s="11">
        <f>(Opti_Medias__30_ALL_Data[[#This Row],[All: TS Index]]-AA$114) /ABS(AA$114)</f>
        <v>-0.60836788329716018</v>
      </c>
      <c r="AG83" s="11">
        <f>(Opti_Medias__30_ALL_Data[[#This Row],[All: Expectancy Score]]-AB$114) /ABS(AB$114)</f>
        <v>-0.91268642509985187</v>
      </c>
      <c r="AH83" s="11"/>
      <c r="AI83" s="11">
        <f>(Opti_Medias__30_ALL_Data[[#This Row],[All: Perfect Profit Correlation]]-AD$114) /ABS(AD$114)</f>
        <v>-0.30703716789737995</v>
      </c>
      <c r="AJ83" s="11">
        <f>(Opti_Medias__30_ALL_Data[[#This Row],[All: Robustness Index]]-AE$114) /ABS(AE$114)</f>
        <v>-1.0729926829360015</v>
      </c>
      <c r="AK83" s="11">
        <f>SUM(Opti_Medias__30_ALL_Data[[#This Row],[VAR TS Index]:[VAR Robustness Index]])</f>
        <v>-2.9010841592303933</v>
      </c>
      <c r="AL83" s="11">
        <f>Opti_Medias__30_ALL_Data[[#This Row],[SUMA]]-Opti_Medias__30_ALL_Data[[#This Row],[VAR Robustness Index]]</f>
        <v>-1.8280914762943918</v>
      </c>
    </row>
    <row r="84" spans="1:38" x14ac:dyDescent="0.25">
      <c r="A84" s="11"/>
      <c r="B84" s="17">
        <v>38</v>
      </c>
      <c r="C84" s="17">
        <v>1</v>
      </c>
      <c r="D84" s="17">
        <v>38</v>
      </c>
      <c r="E84" s="10">
        <v>168280</v>
      </c>
      <c r="F84" s="10">
        <v>2414870</v>
      </c>
      <c r="G84" s="10">
        <v>-2246590</v>
      </c>
      <c r="H84" s="17">
        <v>6196</v>
      </c>
      <c r="I84" s="11">
        <v>31.681730148482892</v>
      </c>
      <c r="J84" s="17">
        <v>1963</v>
      </c>
      <c r="K84" s="17">
        <v>4207</v>
      </c>
      <c r="L84" s="12">
        <v>18740</v>
      </c>
      <c r="M84" s="12">
        <v>-5240</v>
      </c>
      <c r="N84" s="12">
        <v>1230.193603515625</v>
      </c>
      <c r="O84" s="12">
        <v>-534.01239013671875</v>
      </c>
      <c r="P84" s="11">
        <v>2.303679888776867</v>
      </c>
      <c r="Q84" s="13">
        <v>27.159457714654614</v>
      </c>
      <c r="R84" s="17">
        <v>7</v>
      </c>
      <c r="S84" s="17">
        <v>20</v>
      </c>
      <c r="T84" s="17">
        <v>66</v>
      </c>
      <c r="U84" s="17">
        <v>19</v>
      </c>
      <c r="V84" s="12">
        <v>-52815</v>
      </c>
      <c r="W84" s="11">
        <v>1.074904633244161</v>
      </c>
      <c r="X84" s="17">
        <v>1</v>
      </c>
      <c r="Y84" s="12">
        <v>52815</v>
      </c>
      <c r="Z84" s="11">
        <v>318.62160371106694</v>
      </c>
      <c r="AA84" s="14">
        <v>6254.542080848244</v>
      </c>
      <c r="AB84" s="11">
        <v>0.63123149450164395</v>
      </c>
      <c r="AC84" s="11">
        <v>1.4841212788959031</v>
      </c>
      <c r="AD84" s="15">
        <v>146521.80595859783</v>
      </c>
      <c r="AE84" s="11">
        <v>-4.127078723147827</v>
      </c>
      <c r="AF84" s="11">
        <f>(Opti_Medias__30_ALL_Data[[#This Row],[All: TS Index]]-AA$114) /ABS(AA$114)</f>
        <v>-0.60640509017601141</v>
      </c>
      <c r="AG84" s="11">
        <f>(Opti_Medias__30_ALL_Data[[#This Row],[All: Expectancy Score]]-AB$114) /ABS(AB$114)</f>
        <v>-0.79587433490003257</v>
      </c>
      <c r="AH84" s="11"/>
      <c r="AI84" s="11">
        <f>(Opti_Medias__30_ALL_Data[[#This Row],[All: Perfect Profit Correlation]]-AD$114) /ABS(AD$114)</f>
        <v>-0.52463557417643858</v>
      </c>
      <c r="AJ84" s="11">
        <f>(Opti_Medias__30_ALL_Data[[#This Row],[All: Robustness Index]]-AE$114) /ABS(AE$114)</f>
        <v>-1.0288417808072237</v>
      </c>
      <c r="AK84" s="11">
        <f>SUM(Opti_Medias__30_ALL_Data[[#This Row],[VAR TS Index]:[VAR Robustness Index]])</f>
        <v>-2.9557567800597062</v>
      </c>
      <c r="AL84" s="11">
        <f>Opti_Medias__30_ALL_Data[[#This Row],[SUMA]]-Opti_Medias__30_ALL_Data[[#This Row],[VAR Robustness Index]]</f>
        <v>-1.9269149992524826</v>
      </c>
    </row>
    <row r="85" spans="1:38" x14ac:dyDescent="0.25">
      <c r="A85" s="11"/>
      <c r="B85" s="17">
        <v>13</v>
      </c>
      <c r="C85" s="17">
        <v>3</v>
      </c>
      <c r="D85" s="17">
        <v>103</v>
      </c>
      <c r="E85" s="10">
        <v>179630</v>
      </c>
      <c r="F85" s="10">
        <v>2290250</v>
      </c>
      <c r="G85" s="10">
        <v>-2110620</v>
      </c>
      <c r="H85" s="17">
        <v>4537</v>
      </c>
      <c r="I85" s="11">
        <v>42.539122768349131</v>
      </c>
      <c r="J85" s="17">
        <v>1930</v>
      </c>
      <c r="K85" s="17">
        <v>2581</v>
      </c>
      <c r="L85" s="12">
        <v>17760</v>
      </c>
      <c r="M85" s="12">
        <v>-6320</v>
      </c>
      <c r="N85" s="12">
        <v>1186.6580810546875</v>
      </c>
      <c r="O85" s="12">
        <v>-817.7528076171875</v>
      </c>
      <c r="P85" s="11">
        <v>1.4511207665705681</v>
      </c>
      <c r="Q85" s="13">
        <v>39.592241569318936</v>
      </c>
      <c r="R85" s="17">
        <v>8</v>
      </c>
      <c r="S85" s="17">
        <v>12</v>
      </c>
      <c r="T85" s="17">
        <v>60</v>
      </c>
      <c r="U85" s="17">
        <v>36</v>
      </c>
      <c r="V85" s="12">
        <v>-77025</v>
      </c>
      <c r="W85" s="11">
        <v>1.085107693473955</v>
      </c>
      <c r="X85" s="17">
        <v>1</v>
      </c>
      <c r="Y85" s="12">
        <v>77025</v>
      </c>
      <c r="Z85" s="11">
        <v>233.20999675430056</v>
      </c>
      <c r="AA85" s="14">
        <v>4500.9529373580008</v>
      </c>
      <c r="AB85" s="11">
        <v>0.91529082487758795</v>
      </c>
      <c r="AC85" s="11">
        <v>1.6904275806385209</v>
      </c>
      <c r="AD85" s="15">
        <v>158290.37253161505</v>
      </c>
      <c r="AE85" s="11">
        <v>-9.722357756634409</v>
      </c>
      <c r="AF85" s="11">
        <f>(Opti_Medias__30_ALL_Data[[#This Row],[All: TS Index]]-AA$114) /ABS(AA$114)</f>
        <v>-0.71675749517682041</v>
      </c>
      <c r="AG85" s="11">
        <f>(Opti_Medias__30_ALL_Data[[#This Row],[All: Expectancy Score]]-AB$114) /ABS(AB$114)</f>
        <v>-0.7040161176755908</v>
      </c>
      <c r="AH85" s="11"/>
      <c r="AI85" s="11">
        <f>(Opti_Medias__30_ALL_Data[[#This Row],[All: Perfect Profit Correlation]]-AD$114) /ABS(AD$114)</f>
        <v>-0.48645451399124351</v>
      </c>
      <c r="AJ85" s="11">
        <f>(Opti_Medias__30_ALL_Data[[#This Row],[All: Robustness Index]]-AE$114) /ABS(AE$114)</f>
        <v>-1.0679439696106363</v>
      </c>
      <c r="AK85" s="11">
        <f>SUM(Opti_Medias__30_ALL_Data[[#This Row],[VAR TS Index]:[VAR Robustness Index]])</f>
        <v>-2.9751720964542909</v>
      </c>
      <c r="AL85" s="11">
        <f>Opti_Medias__30_ALL_Data[[#This Row],[SUMA]]-Opti_Medias__30_ALL_Data[[#This Row],[VAR Robustness Index]]</f>
        <v>-1.9072281268436546</v>
      </c>
    </row>
    <row r="86" spans="1:38" x14ac:dyDescent="0.25">
      <c r="A86" s="11"/>
      <c r="B86" s="17">
        <v>19</v>
      </c>
      <c r="C86" s="17">
        <v>3</v>
      </c>
      <c r="D86" s="17">
        <v>109</v>
      </c>
      <c r="E86" s="10">
        <v>203920</v>
      </c>
      <c r="F86" s="10">
        <v>2218780</v>
      </c>
      <c r="G86" s="10">
        <v>-2014860</v>
      </c>
      <c r="H86" s="17">
        <v>4068</v>
      </c>
      <c r="I86" s="11">
        <v>40.658800393313669</v>
      </c>
      <c r="J86" s="17">
        <v>1654</v>
      </c>
      <c r="K86" s="17">
        <v>2398</v>
      </c>
      <c r="L86" s="12">
        <v>26020</v>
      </c>
      <c r="M86" s="12">
        <v>-6640</v>
      </c>
      <c r="N86" s="12">
        <v>1341.463134765625</v>
      </c>
      <c r="O86" s="12">
        <v>-840.22515869140625</v>
      </c>
      <c r="P86" s="11">
        <v>1.596551972872204</v>
      </c>
      <c r="Q86" s="13">
        <v>50.127826941986235</v>
      </c>
      <c r="R86" s="17">
        <v>8</v>
      </c>
      <c r="S86" s="17">
        <v>12</v>
      </c>
      <c r="T86" s="17">
        <v>69</v>
      </c>
      <c r="U86" s="17">
        <v>39</v>
      </c>
      <c r="V86" s="12">
        <v>-74875</v>
      </c>
      <c r="W86" s="11">
        <v>1.1012080243788649</v>
      </c>
      <c r="X86" s="17">
        <v>1</v>
      </c>
      <c r="Y86" s="12">
        <v>74875</v>
      </c>
      <c r="Z86" s="11">
        <v>272.34724540901504</v>
      </c>
      <c r="AA86" s="14">
        <v>4504.6234390651089</v>
      </c>
      <c r="AB86" s="11">
        <v>0.592357803188159</v>
      </c>
      <c r="AC86" s="11">
        <v>1.9050880636487619</v>
      </c>
      <c r="AD86" s="15">
        <v>184261.20025086417</v>
      </c>
      <c r="AE86" s="11">
        <v>-13.141312663972318</v>
      </c>
      <c r="AF86" s="11">
        <f>(Opti_Medias__30_ALL_Data[[#This Row],[All: TS Index]]-AA$114) /ABS(AA$114)</f>
        <v>-0.71652651251338262</v>
      </c>
      <c r="AG86" s="11">
        <f>(Opti_Medias__30_ALL_Data[[#This Row],[All: Expectancy Score]]-AB$114) /ABS(AB$114)</f>
        <v>-0.80844518753234729</v>
      </c>
      <c r="AH86" s="11"/>
      <c r="AI86" s="11">
        <f>(Opti_Medias__30_ALL_Data[[#This Row],[All: Perfect Profit Correlation]]-AD$114) /ABS(AD$114)</f>
        <v>-0.40219669635001171</v>
      </c>
      <c r="AJ86" s="11">
        <f>(Opti_Medias__30_ALL_Data[[#This Row],[All: Robustness Index]]-AE$114) /ABS(AE$114)</f>
        <v>-1.0918370801234423</v>
      </c>
      <c r="AK86" s="11">
        <f>SUM(Opti_Medias__30_ALL_Data[[#This Row],[VAR TS Index]:[VAR Robustness Index]])</f>
        <v>-3.0190054765191841</v>
      </c>
      <c r="AL86" s="11">
        <f>Opti_Medias__30_ALL_Data[[#This Row],[SUMA]]-Opti_Medias__30_ALL_Data[[#This Row],[VAR Robustness Index]]</f>
        <v>-1.9271683963957418</v>
      </c>
    </row>
    <row r="87" spans="1:38" x14ac:dyDescent="0.25">
      <c r="A87" s="11"/>
      <c r="B87" s="17">
        <v>18</v>
      </c>
      <c r="C87" s="17">
        <v>3</v>
      </c>
      <c r="D87" s="17">
        <v>108</v>
      </c>
      <c r="E87" s="10">
        <v>187330</v>
      </c>
      <c r="F87" s="10">
        <v>2236470</v>
      </c>
      <c r="G87" s="10">
        <v>-2049140</v>
      </c>
      <c r="H87" s="17">
        <v>4153</v>
      </c>
      <c r="I87" s="11">
        <v>40.645316638574528</v>
      </c>
      <c r="J87" s="17">
        <v>1688</v>
      </c>
      <c r="K87" s="17">
        <v>2440</v>
      </c>
      <c r="L87" s="12">
        <v>25490</v>
      </c>
      <c r="M87" s="12">
        <v>-6640</v>
      </c>
      <c r="N87" s="12">
        <v>1324.9229736328125</v>
      </c>
      <c r="O87" s="12">
        <v>-839.81146240234375</v>
      </c>
      <c r="P87" s="11">
        <v>1.5776433556202849</v>
      </c>
      <c r="Q87" s="13">
        <v>45.107151456778233</v>
      </c>
      <c r="R87" s="17">
        <v>8</v>
      </c>
      <c r="S87" s="17">
        <v>15</v>
      </c>
      <c r="T87" s="17">
        <v>68</v>
      </c>
      <c r="U87" s="17">
        <v>39</v>
      </c>
      <c r="V87" s="12">
        <v>-93855</v>
      </c>
      <c r="W87" s="11">
        <v>1.0914188391227539</v>
      </c>
      <c r="X87" s="17">
        <v>1</v>
      </c>
      <c r="Y87" s="12">
        <v>93855</v>
      </c>
      <c r="Z87" s="11">
        <v>199.59512013211869</v>
      </c>
      <c r="AA87" s="14">
        <v>3369.1656278301634</v>
      </c>
      <c r="AB87" s="11">
        <v>1.218796877498592</v>
      </c>
      <c r="AC87" s="11">
        <v>1.743787986330017</v>
      </c>
      <c r="AD87" s="15">
        <v>161512.84691629422</v>
      </c>
      <c r="AE87" s="11">
        <v>-32.385213020168386</v>
      </c>
      <c r="AF87" s="11">
        <f>(Opti_Medias__30_ALL_Data[[#This Row],[All: TS Index]]-AA$114) /ABS(AA$114)</f>
        <v>-0.78798025109968561</v>
      </c>
      <c r="AG87" s="11">
        <f>(Opti_Medias__30_ALL_Data[[#This Row],[All: Expectancy Score]]-AB$114) /ABS(AB$114)</f>
        <v>-0.60586928027477294</v>
      </c>
      <c r="AH87" s="11"/>
      <c r="AI87" s="11">
        <f>(Opti_Medias__30_ALL_Data[[#This Row],[All: Perfect Profit Correlation]]-AD$114) /ABS(AD$114)</f>
        <v>-0.47599975829408131</v>
      </c>
      <c r="AJ87" s="11">
        <f>(Opti_Medias__30_ALL_Data[[#This Row],[All: Robustness Index]]-AE$114) /ABS(AE$114)</f>
        <v>-1.2263216376474926</v>
      </c>
      <c r="AK87" s="11">
        <f>SUM(Opti_Medias__30_ALL_Data[[#This Row],[VAR TS Index]:[VAR Robustness Index]])</f>
        <v>-3.0961709273160327</v>
      </c>
      <c r="AL87" s="11">
        <f>Opti_Medias__30_ALL_Data[[#This Row],[SUMA]]-Opti_Medias__30_ALL_Data[[#This Row],[VAR Robustness Index]]</f>
        <v>-1.8698492896685401</v>
      </c>
    </row>
    <row r="88" spans="1:38" x14ac:dyDescent="0.25">
      <c r="A88" s="11"/>
      <c r="B88" s="17">
        <v>15</v>
      </c>
      <c r="C88" s="17">
        <v>3</v>
      </c>
      <c r="D88" s="17">
        <v>105</v>
      </c>
      <c r="E88" s="10">
        <v>177220</v>
      </c>
      <c r="F88" s="10">
        <v>2287070</v>
      </c>
      <c r="G88" s="10">
        <v>-2109850</v>
      </c>
      <c r="H88" s="17">
        <v>4377</v>
      </c>
      <c r="I88" s="11">
        <v>41.695225039981722</v>
      </c>
      <c r="J88" s="17">
        <v>1825</v>
      </c>
      <c r="K88" s="17">
        <v>2531</v>
      </c>
      <c r="L88" s="12">
        <v>23330</v>
      </c>
      <c r="M88" s="12">
        <v>-6240</v>
      </c>
      <c r="N88" s="12">
        <v>1253.1890869140625</v>
      </c>
      <c r="O88" s="12">
        <v>-833.60333251953125</v>
      </c>
      <c r="P88" s="11">
        <v>1.503339823662114</v>
      </c>
      <c r="Q88" s="13">
        <v>40.488919351153761</v>
      </c>
      <c r="R88" s="17">
        <v>9</v>
      </c>
      <c r="S88" s="17">
        <v>16</v>
      </c>
      <c r="T88" s="17">
        <v>61</v>
      </c>
      <c r="U88" s="17">
        <v>38</v>
      </c>
      <c r="V88" s="12">
        <v>-89845</v>
      </c>
      <c r="W88" s="11">
        <v>1.083996492641657</v>
      </c>
      <c r="X88" s="17">
        <v>1</v>
      </c>
      <c r="Y88" s="12">
        <v>89845</v>
      </c>
      <c r="Z88" s="11">
        <v>197.25082085814458</v>
      </c>
      <c r="AA88" s="14">
        <v>3599.8274806611385</v>
      </c>
      <c r="AB88" s="11">
        <v>1.1691558884103159</v>
      </c>
      <c r="AC88" s="11">
        <v>1.656215275034113</v>
      </c>
      <c r="AD88" s="15">
        <v>150921.46186485313</v>
      </c>
      <c r="AE88" s="11">
        <v>-28.553196870175164</v>
      </c>
      <c r="AF88" s="11">
        <f>(Opti_Medias__30_ALL_Data[[#This Row],[All: TS Index]]-AA$114) /ABS(AA$114)</f>
        <v>-0.77346482695011631</v>
      </c>
      <c r="AG88" s="11">
        <f>(Opti_Medias__30_ALL_Data[[#This Row],[All: Expectancy Score]]-AB$114) /ABS(AB$114)</f>
        <v>-0.62192202796263119</v>
      </c>
      <c r="AH88" s="11"/>
      <c r="AI88" s="11">
        <f>(Opti_Medias__30_ALL_Data[[#This Row],[All: Perfect Profit Correlation]]-AD$114) /ABS(AD$114)</f>
        <v>-0.51036165849531967</v>
      </c>
      <c r="AJ88" s="11">
        <f>(Opti_Medias__30_ALL_Data[[#This Row],[All: Robustness Index]]-AE$114) /ABS(AE$114)</f>
        <v>-1.199541879551784</v>
      </c>
      <c r="AK88" s="11">
        <f>SUM(Opti_Medias__30_ALL_Data[[#This Row],[VAR TS Index]:[VAR Robustness Index]])</f>
        <v>-3.1052903929598514</v>
      </c>
      <c r="AL88" s="11">
        <f>Opti_Medias__30_ALL_Data[[#This Row],[SUMA]]-Opti_Medias__30_ALL_Data[[#This Row],[VAR Robustness Index]]</f>
        <v>-1.9057485134080674</v>
      </c>
    </row>
    <row r="89" spans="1:38" x14ac:dyDescent="0.25">
      <c r="A89" s="11"/>
      <c r="B89" s="17">
        <v>15</v>
      </c>
      <c r="C89" s="17">
        <v>1</v>
      </c>
      <c r="D89" s="17">
        <v>15</v>
      </c>
      <c r="E89" s="10">
        <v>163810</v>
      </c>
      <c r="F89" s="10">
        <v>2234500</v>
      </c>
      <c r="G89" s="10">
        <v>-2070690</v>
      </c>
      <c r="H89" s="17">
        <v>5280</v>
      </c>
      <c r="I89" s="11">
        <v>38.522727272727273</v>
      </c>
      <c r="J89" s="17">
        <v>2034</v>
      </c>
      <c r="K89" s="17">
        <v>3201</v>
      </c>
      <c r="L89" s="12">
        <v>17520</v>
      </c>
      <c r="M89" s="12">
        <v>-8950</v>
      </c>
      <c r="N89" s="12">
        <v>1098.57421875</v>
      </c>
      <c r="O89" s="12">
        <v>-646.88848876953125</v>
      </c>
      <c r="P89" s="11">
        <v>1.698243573385632</v>
      </c>
      <c r="Q89" s="13">
        <v>31.024621212121211</v>
      </c>
      <c r="R89" s="17">
        <v>8</v>
      </c>
      <c r="S89" s="17">
        <v>13</v>
      </c>
      <c r="T89" s="17">
        <v>60</v>
      </c>
      <c r="U89" s="17">
        <v>27</v>
      </c>
      <c r="V89" s="12">
        <v>-114525</v>
      </c>
      <c r="W89" s="11">
        <v>1.0791088960684601</v>
      </c>
      <c r="X89" s="17">
        <v>1</v>
      </c>
      <c r="Y89" s="12">
        <v>114525</v>
      </c>
      <c r="Z89" s="11">
        <v>143.03427199301461</v>
      </c>
      <c r="AA89" s="14">
        <v>2909.3170923379175</v>
      </c>
      <c r="AB89" s="11">
        <v>5.7972512774373E-2</v>
      </c>
      <c r="AC89" s="11">
        <v>1.5086367899297499</v>
      </c>
      <c r="AD89" s="15">
        <v>108151.06581874794</v>
      </c>
      <c r="AE89" s="11">
        <v>48.210748687141162</v>
      </c>
      <c r="AF89" s="11">
        <f>(Opti_Medias__30_ALL_Data[[#This Row],[All: TS Index]]-AA$114) /ABS(AA$114)</f>
        <v>-0.81691826774745535</v>
      </c>
      <c r="AG89" s="11">
        <f>(Opti_Medias__30_ALL_Data[[#This Row],[All: Expectancy Score]]-AB$114) /ABS(AB$114)</f>
        <v>-0.98125303025805466</v>
      </c>
      <c r="AH89" s="11"/>
      <c r="AI89" s="11">
        <f>(Opti_Medias__30_ALL_Data[[#This Row],[All: Perfect Profit Correlation]]-AD$114) /ABS(AD$114)</f>
        <v>-0.64912274341156839</v>
      </c>
      <c r="AJ89" s="11">
        <f>(Opti_Medias__30_ALL_Data[[#This Row],[All: Robustness Index]]-AE$114) /ABS(AE$114)</f>
        <v>-0.66308279064613773</v>
      </c>
      <c r="AK89" s="11">
        <f>SUM(Opti_Medias__30_ALL_Data[[#This Row],[VAR TS Index]:[VAR Robustness Index]])</f>
        <v>-3.1103768320632161</v>
      </c>
      <c r="AL89" s="11">
        <f>Opti_Medias__30_ALL_Data[[#This Row],[SUMA]]-Opti_Medias__30_ALL_Data[[#This Row],[VAR Robustness Index]]</f>
        <v>-2.4472940414170785</v>
      </c>
    </row>
    <row r="90" spans="1:38" x14ac:dyDescent="0.25">
      <c r="A90" s="11"/>
      <c r="B90" s="17">
        <v>14</v>
      </c>
      <c r="C90" s="17">
        <v>3</v>
      </c>
      <c r="D90" s="17">
        <v>104</v>
      </c>
      <c r="E90" s="10">
        <v>172610</v>
      </c>
      <c r="F90" s="10">
        <v>2298690</v>
      </c>
      <c r="G90" s="10">
        <v>-2126080</v>
      </c>
      <c r="H90" s="17">
        <v>4447</v>
      </c>
      <c r="I90" s="11">
        <v>42.005846638183044</v>
      </c>
      <c r="J90" s="17">
        <v>1868</v>
      </c>
      <c r="K90" s="17">
        <v>2559</v>
      </c>
      <c r="L90" s="12">
        <v>21350</v>
      </c>
      <c r="M90" s="12">
        <v>-6240</v>
      </c>
      <c r="N90" s="12">
        <v>1230.5621337890625</v>
      </c>
      <c r="O90" s="12">
        <v>-830.82452392578125</v>
      </c>
      <c r="P90" s="11">
        <v>1.481133618895186</v>
      </c>
      <c r="Q90" s="13">
        <v>38.8149314144367</v>
      </c>
      <c r="R90" s="17">
        <v>10</v>
      </c>
      <c r="S90" s="17">
        <v>17</v>
      </c>
      <c r="T90" s="17">
        <v>61</v>
      </c>
      <c r="U90" s="17">
        <v>37</v>
      </c>
      <c r="V90" s="12">
        <v>-78145</v>
      </c>
      <c r="W90" s="11">
        <v>1.0811869732089101</v>
      </c>
      <c r="X90" s="17">
        <v>1</v>
      </c>
      <c r="Y90" s="12">
        <v>78145</v>
      </c>
      <c r="Z90" s="11">
        <v>220.88425363107044</v>
      </c>
      <c r="AA90" s="14">
        <v>4126.1178578283962</v>
      </c>
      <c r="AB90" s="11">
        <v>0.79629948426903996</v>
      </c>
      <c r="AC90" s="11">
        <v>1.6145321129852439</v>
      </c>
      <c r="AD90" s="15">
        <v>144337.76068258937</v>
      </c>
      <c r="AE90" s="11">
        <v>-37.001263272689947</v>
      </c>
      <c r="AF90" s="11">
        <f>(Opti_Medias__30_ALL_Data[[#This Row],[All: TS Index]]-AA$114) /ABS(AA$114)</f>
        <v>-0.74034566157161963</v>
      </c>
      <c r="AG90" s="11">
        <f>(Opti_Medias__30_ALL_Data[[#This Row],[All: Expectancy Score]]-AB$114) /ABS(AB$114)</f>
        <v>-0.74249516498933887</v>
      </c>
      <c r="AH90" s="11"/>
      <c r="AI90" s="11">
        <f>(Opti_Medias__30_ALL_Data[[#This Row],[All: Perfect Profit Correlation]]-AD$114) /ABS(AD$114)</f>
        <v>-0.53172132787576021</v>
      </c>
      <c r="AJ90" s="11">
        <f>(Opti_Medias__30_ALL_Data[[#This Row],[All: Robustness Index]]-AE$114) /ABS(AE$114)</f>
        <v>-1.2585805593956125</v>
      </c>
      <c r="AK90" s="11">
        <f>SUM(Opti_Medias__30_ALL_Data[[#This Row],[VAR TS Index]:[VAR Robustness Index]])</f>
        <v>-3.273142713832331</v>
      </c>
      <c r="AL90" s="11">
        <f>Opti_Medias__30_ALL_Data[[#This Row],[SUMA]]-Opti_Medias__30_ALL_Data[[#This Row],[VAR Robustness Index]]</f>
        <v>-2.0145621544367183</v>
      </c>
    </row>
    <row r="91" spans="1:38" x14ac:dyDescent="0.25">
      <c r="A91" s="11"/>
      <c r="B91" s="17">
        <v>20</v>
      </c>
      <c r="C91" s="17">
        <v>3</v>
      </c>
      <c r="D91" s="17">
        <v>110</v>
      </c>
      <c r="E91" s="10">
        <v>156440</v>
      </c>
      <c r="F91" s="10">
        <v>2206970</v>
      </c>
      <c r="G91" s="10">
        <v>-2050530</v>
      </c>
      <c r="H91" s="17">
        <v>4085</v>
      </c>
      <c r="I91" s="11">
        <v>39.31456548347613</v>
      </c>
      <c r="J91" s="17">
        <v>1606</v>
      </c>
      <c r="K91" s="17">
        <v>2461</v>
      </c>
      <c r="L91" s="12">
        <v>26070</v>
      </c>
      <c r="M91" s="12">
        <v>-6460</v>
      </c>
      <c r="N91" s="12">
        <v>1374.2030029296875</v>
      </c>
      <c r="O91" s="12">
        <v>-833.2100830078125</v>
      </c>
      <c r="P91" s="11">
        <v>1.649287533786125</v>
      </c>
      <c r="Q91" s="13">
        <v>38.296205630354955</v>
      </c>
      <c r="R91" s="17">
        <v>7</v>
      </c>
      <c r="S91" s="17">
        <v>13</v>
      </c>
      <c r="T91" s="17">
        <v>72</v>
      </c>
      <c r="U91" s="17">
        <v>38</v>
      </c>
      <c r="V91" s="12">
        <v>-75815</v>
      </c>
      <c r="W91" s="11">
        <v>1.07629247072708</v>
      </c>
      <c r="X91" s="17">
        <v>1</v>
      </c>
      <c r="Y91" s="12">
        <v>75815</v>
      </c>
      <c r="Z91" s="11">
        <v>206.34439095165865</v>
      </c>
      <c r="AA91" s="14">
        <v>3313.8909186836377</v>
      </c>
      <c r="AB91" s="11">
        <v>0.38226629422985697</v>
      </c>
      <c r="AC91" s="11">
        <v>1.4270318630216181</v>
      </c>
      <c r="AD91" s="15">
        <v>137786.2325289007</v>
      </c>
      <c r="AE91" s="11">
        <v>-14.846279468920637</v>
      </c>
      <c r="AF91" s="11">
        <f>(Opti_Medias__30_ALL_Data[[#This Row],[All: TS Index]]-AA$114) /ABS(AA$114)</f>
        <v>-0.79145865829254658</v>
      </c>
      <c r="AG91" s="11">
        <f>(Opti_Medias__30_ALL_Data[[#This Row],[All: Expectancy Score]]-AB$114) /ABS(AB$114)</f>
        <v>-0.87638392216697902</v>
      </c>
      <c r="AH91" s="11"/>
      <c r="AI91" s="11">
        <f>(Opti_Medias__30_ALL_Data[[#This Row],[All: Perfect Profit Correlation]]-AD$114) /ABS(AD$114)</f>
        <v>-0.55297661748040194</v>
      </c>
      <c r="AJ91" s="11">
        <f>(Opti_Medias__30_ALL_Data[[#This Row],[All: Robustness Index]]-AE$114) /ABS(AE$114)</f>
        <v>-1.103752113048815</v>
      </c>
      <c r="AK91" s="11">
        <f>SUM(Opti_Medias__30_ALL_Data[[#This Row],[VAR TS Index]:[VAR Robustness Index]])</f>
        <v>-3.3245713109887429</v>
      </c>
      <c r="AL91" s="11">
        <f>Opti_Medias__30_ALL_Data[[#This Row],[SUMA]]-Opti_Medias__30_ALL_Data[[#This Row],[VAR Robustness Index]]</f>
        <v>-2.2208191979399281</v>
      </c>
    </row>
    <row r="92" spans="1:38" x14ac:dyDescent="0.25">
      <c r="A92" s="11"/>
      <c r="B92" s="17">
        <v>39</v>
      </c>
      <c r="C92" s="17">
        <v>1</v>
      </c>
      <c r="D92" s="17">
        <v>39</v>
      </c>
      <c r="E92" s="10">
        <v>114200</v>
      </c>
      <c r="F92" s="10">
        <v>2428050</v>
      </c>
      <c r="G92" s="10">
        <v>-2313850</v>
      </c>
      <c r="H92" s="17">
        <v>6546</v>
      </c>
      <c r="I92" s="11">
        <v>30.522456461961504</v>
      </c>
      <c r="J92" s="17">
        <v>1998</v>
      </c>
      <c r="K92" s="17">
        <v>4522</v>
      </c>
      <c r="L92" s="12">
        <v>18740</v>
      </c>
      <c r="M92" s="12">
        <v>-5240</v>
      </c>
      <c r="N92" s="12">
        <v>1215.240234375</v>
      </c>
      <c r="O92" s="12">
        <v>-511.68731689453125</v>
      </c>
      <c r="P92" s="11">
        <v>2.3749664966299808</v>
      </c>
      <c r="Q92" s="13">
        <v>17.445768408188208</v>
      </c>
      <c r="R92" s="17">
        <v>7</v>
      </c>
      <c r="S92" s="17">
        <v>22</v>
      </c>
      <c r="T92" s="17">
        <v>65</v>
      </c>
      <c r="U92" s="17">
        <v>18</v>
      </c>
      <c r="V92" s="12">
        <v>-86465</v>
      </c>
      <c r="W92" s="11">
        <v>1.0493549711519761</v>
      </c>
      <c r="X92" s="17">
        <v>1</v>
      </c>
      <c r="Y92" s="12">
        <v>86465</v>
      </c>
      <c r="Z92" s="11">
        <v>132.07656277106344</v>
      </c>
      <c r="AA92" s="14">
        <v>2638.8897241658474</v>
      </c>
      <c r="AB92" s="11">
        <v>1.3961428945416841</v>
      </c>
      <c r="AC92" s="11">
        <v>0.94288816010730303</v>
      </c>
      <c r="AD92" s="15">
        <v>93426.780973948204</v>
      </c>
      <c r="AE92" s="11">
        <v>-49.905470723254261</v>
      </c>
      <c r="AF92" s="11">
        <f>(Opti_Medias__30_ALL_Data[[#This Row],[All: TS Index]]-AA$114) /ABS(AA$114)</f>
        <v>-0.83393611401241963</v>
      </c>
      <c r="AG92" s="11">
        <f>(Opti_Medias__30_ALL_Data[[#This Row],[All: Expectancy Score]]-AB$114) /ABS(AB$114)</f>
        <v>-0.54851968033072729</v>
      </c>
      <c r="AH92" s="11"/>
      <c r="AI92" s="11">
        <f>(Opti_Medias__30_ALL_Data[[#This Row],[All: Perfect Profit Correlation]]-AD$114) /ABS(AD$114)</f>
        <v>-0.6968931156446857</v>
      </c>
      <c r="AJ92" s="11">
        <f>(Opti_Medias__30_ALL_Data[[#This Row],[All: Robustness Index]]-AE$114) /ABS(AE$114)</f>
        <v>-1.3487606474788962</v>
      </c>
      <c r="AK92" s="11">
        <f>SUM(Opti_Medias__30_ALL_Data[[#This Row],[VAR TS Index]:[VAR Robustness Index]])</f>
        <v>-3.4281095574667289</v>
      </c>
      <c r="AL92" s="11">
        <f>Opti_Medias__30_ALL_Data[[#This Row],[SUMA]]-Opti_Medias__30_ALL_Data[[#This Row],[VAR Robustness Index]]</f>
        <v>-2.0793489099878326</v>
      </c>
    </row>
    <row r="93" spans="1:38" x14ac:dyDescent="0.25">
      <c r="A93" s="11"/>
      <c r="B93" s="17">
        <v>40</v>
      </c>
      <c r="C93" s="17">
        <v>1</v>
      </c>
      <c r="D93" s="17">
        <v>40</v>
      </c>
      <c r="E93" s="10">
        <v>112890</v>
      </c>
      <c r="F93" s="10">
        <v>2459310</v>
      </c>
      <c r="G93" s="10">
        <v>-2346420</v>
      </c>
      <c r="H93" s="17">
        <v>6904</v>
      </c>
      <c r="I93" s="11">
        <v>29.606025492468135</v>
      </c>
      <c r="J93" s="17">
        <v>2044</v>
      </c>
      <c r="K93" s="17">
        <v>4828</v>
      </c>
      <c r="L93" s="12">
        <v>18740</v>
      </c>
      <c r="M93" s="12">
        <v>-4490</v>
      </c>
      <c r="N93" s="12">
        <v>1203.1849365234375</v>
      </c>
      <c r="O93" s="12">
        <v>-486.00247192382813</v>
      </c>
      <c r="P93" s="11">
        <v>2.4756765778590819</v>
      </c>
      <c r="Q93" s="13">
        <v>16.351390498261878</v>
      </c>
      <c r="R93" s="17">
        <v>7</v>
      </c>
      <c r="S93" s="17">
        <v>22</v>
      </c>
      <c r="T93" s="17">
        <v>63</v>
      </c>
      <c r="U93" s="17">
        <v>17</v>
      </c>
      <c r="V93" s="12">
        <v>-83695</v>
      </c>
      <c r="W93" s="11">
        <v>1.048111591275219</v>
      </c>
      <c r="X93" s="17">
        <v>1</v>
      </c>
      <c r="Y93" s="12">
        <v>83695</v>
      </c>
      <c r="Z93" s="11">
        <v>134.88260947487902</v>
      </c>
      <c r="AA93" s="14">
        <v>2757.0005376665272</v>
      </c>
      <c r="AB93" s="11">
        <v>1.038214493905095</v>
      </c>
      <c r="AC93" s="11">
        <v>0.922625702906675</v>
      </c>
      <c r="AD93" s="15">
        <v>96267.318942664715</v>
      </c>
      <c r="AE93" s="11">
        <v>-38.1864364221166</v>
      </c>
      <c r="AF93" s="11">
        <f>(Opti_Medias__30_ALL_Data[[#This Row],[All: TS Index]]-AA$114) /ABS(AA$114)</f>
        <v>-0.8265034651648907</v>
      </c>
      <c r="AG93" s="11">
        <f>(Opti_Medias__30_ALL_Data[[#This Row],[All: Expectancy Score]]-AB$114) /ABS(AB$114)</f>
        <v>-0.66426544630489492</v>
      </c>
      <c r="AH93" s="11"/>
      <c r="AI93" s="11">
        <f>(Opti_Medias__30_ALL_Data[[#This Row],[All: Perfect Profit Correlation]]-AD$114) /ABS(AD$114)</f>
        <v>-0.68767748598673217</v>
      </c>
      <c r="AJ93" s="11">
        <f>(Opti_Medias__30_ALL_Data[[#This Row],[All: Robustness Index]]-AE$114) /ABS(AE$114)</f>
        <v>-1.2668630532580747</v>
      </c>
      <c r="AK93" s="11">
        <f>SUM(Opti_Medias__30_ALL_Data[[#This Row],[VAR TS Index]:[VAR Robustness Index]])</f>
        <v>-3.4453094507145923</v>
      </c>
      <c r="AL93" s="11">
        <f>Opti_Medias__30_ALL_Data[[#This Row],[SUMA]]-Opti_Medias__30_ALL_Data[[#This Row],[VAR Robustness Index]]</f>
        <v>-2.1784463974565176</v>
      </c>
    </row>
    <row r="94" spans="1:38" x14ac:dyDescent="0.25">
      <c r="A94" s="11"/>
      <c r="B94" s="17">
        <v>24</v>
      </c>
      <c r="C94" s="17">
        <v>3</v>
      </c>
      <c r="D94" s="17">
        <v>114</v>
      </c>
      <c r="E94" s="10">
        <v>170610</v>
      </c>
      <c r="F94" s="10">
        <v>2148640</v>
      </c>
      <c r="G94" s="10">
        <v>-1978030</v>
      </c>
      <c r="H94" s="17">
        <v>3845</v>
      </c>
      <c r="I94" s="11">
        <v>37.867360208062422</v>
      </c>
      <c r="J94" s="17">
        <v>1456</v>
      </c>
      <c r="K94" s="17">
        <v>2368</v>
      </c>
      <c r="L94" s="12">
        <v>21740</v>
      </c>
      <c r="M94" s="12">
        <v>-6070</v>
      </c>
      <c r="N94" s="12">
        <v>1475.7142333984375</v>
      </c>
      <c r="O94" s="12">
        <v>-835.31671142578125</v>
      </c>
      <c r="P94" s="11">
        <v>1.7666523525904061</v>
      </c>
      <c r="Q94" s="13">
        <v>44.37191157347204</v>
      </c>
      <c r="R94" s="17">
        <v>7</v>
      </c>
      <c r="S94" s="17">
        <v>17</v>
      </c>
      <c r="T94" s="17">
        <v>80</v>
      </c>
      <c r="U94" s="17">
        <v>39</v>
      </c>
      <c r="V94" s="12">
        <v>-81425</v>
      </c>
      <c r="W94" s="11">
        <v>1.086252483531595</v>
      </c>
      <c r="X94" s="17">
        <v>1</v>
      </c>
      <c r="Y94" s="12">
        <v>81425</v>
      </c>
      <c r="Z94" s="11">
        <v>209.53024255449802</v>
      </c>
      <c r="AA94" s="14">
        <v>3050.7603315934907</v>
      </c>
      <c r="AB94" s="11">
        <v>0.21503267145482199</v>
      </c>
      <c r="AC94" s="11">
        <v>1.549485978180976</v>
      </c>
      <c r="AD94" s="15">
        <v>148831.21428934575</v>
      </c>
      <c r="AE94" s="11">
        <v>-28.702295192712423</v>
      </c>
      <c r="AF94" s="11">
        <f>(Opti_Medias__30_ALL_Data[[#This Row],[All: TS Index]]-AA$114) /ABS(AA$114)</f>
        <v>-0.80801732211780197</v>
      </c>
      <c r="AG94" s="11">
        <f>(Opti_Medias__30_ALL_Data[[#This Row],[All: Expectancy Score]]-AB$114) /ABS(AB$114)</f>
        <v>-0.93046340770180946</v>
      </c>
      <c r="AH94" s="11"/>
      <c r="AI94" s="11">
        <f>(Opti_Medias__30_ALL_Data[[#This Row],[All: Perfect Profit Correlation]]-AD$114) /ABS(AD$114)</f>
        <v>-0.51714310192661972</v>
      </c>
      <c r="AJ94" s="11">
        <f>(Opti_Medias__30_ALL_Data[[#This Row],[All: Robustness Index]]-AE$114) /ABS(AE$114)</f>
        <v>-1.2005838420210786</v>
      </c>
      <c r="AK94" s="11">
        <f>SUM(Opti_Medias__30_ALL_Data[[#This Row],[VAR TS Index]:[VAR Robustness Index]])</f>
        <v>-3.4562076737673095</v>
      </c>
      <c r="AL94" s="11">
        <f>Opti_Medias__30_ALL_Data[[#This Row],[SUMA]]-Opti_Medias__30_ALL_Data[[#This Row],[VAR Robustness Index]]</f>
        <v>-2.2556238317462309</v>
      </c>
    </row>
    <row r="95" spans="1:38" x14ac:dyDescent="0.25">
      <c r="A95" s="11"/>
      <c r="B95" s="17">
        <v>25</v>
      </c>
      <c r="C95" s="17">
        <v>3</v>
      </c>
      <c r="D95" s="17">
        <v>115</v>
      </c>
      <c r="E95" s="10">
        <v>169060</v>
      </c>
      <c r="F95" s="10">
        <v>2113620</v>
      </c>
      <c r="G95" s="10">
        <v>-1944560</v>
      </c>
      <c r="H95" s="17">
        <v>3791</v>
      </c>
      <c r="I95" s="11">
        <v>38.037457135320494</v>
      </c>
      <c r="J95" s="17">
        <v>1442</v>
      </c>
      <c r="K95" s="17">
        <v>2324</v>
      </c>
      <c r="L95" s="12">
        <v>21170</v>
      </c>
      <c r="M95" s="12">
        <v>-8070</v>
      </c>
      <c r="N95" s="12">
        <v>1465.755859375</v>
      </c>
      <c r="O95" s="12">
        <v>-836.72979736328125</v>
      </c>
      <c r="P95" s="11">
        <v>1.751767253889986</v>
      </c>
      <c r="Q95" s="13">
        <v>44.5950936428383</v>
      </c>
      <c r="R95" s="17">
        <v>11</v>
      </c>
      <c r="S95" s="17">
        <v>14</v>
      </c>
      <c r="T95" s="17">
        <v>82</v>
      </c>
      <c r="U95" s="17">
        <v>39</v>
      </c>
      <c r="V95" s="12">
        <v>-86675</v>
      </c>
      <c r="W95" s="11">
        <v>1.086939976138561</v>
      </c>
      <c r="X95" s="17">
        <v>1</v>
      </c>
      <c r="Y95" s="12">
        <v>86675</v>
      </c>
      <c r="Z95" s="11">
        <v>195.05047591577733</v>
      </c>
      <c r="AA95" s="14">
        <v>2812.627862705509</v>
      </c>
      <c r="AB95" s="11">
        <v>0.40942780252043198</v>
      </c>
      <c r="AC95" s="11">
        <v>1.53736833195023</v>
      </c>
      <c r="AD95" s="15">
        <v>145499.63968431723</v>
      </c>
      <c r="AE95" s="11">
        <v>-37.156542116662081</v>
      </c>
      <c r="AF95" s="11">
        <f>(Opti_Medias__30_ALL_Data[[#This Row],[All: TS Index]]-AA$114) /ABS(AA$114)</f>
        <v>-0.82300286804691614</v>
      </c>
      <c r="AG95" s="11">
        <f>(Opti_Medias__30_ALL_Data[[#This Row],[All: Expectancy Score]]-AB$114) /ABS(AB$114)</f>
        <v>-0.86760051862449705</v>
      </c>
      <c r="AH95" s="11"/>
      <c r="AI95" s="11">
        <f>(Opti_Medias__30_ALL_Data[[#This Row],[All: Perfect Profit Correlation]]-AD$114) /ABS(AD$114)</f>
        <v>-0.52795181424658144</v>
      </c>
      <c r="AJ95" s="11">
        <f>(Opti_Medias__30_ALL_Data[[#This Row],[All: Robustness Index]]-AE$114) /ABS(AE$114)</f>
        <v>-1.259665713976436</v>
      </c>
      <c r="AK95" s="11">
        <f>SUM(Opti_Medias__30_ALL_Data[[#This Row],[VAR TS Index]:[VAR Robustness Index]])</f>
        <v>-3.4782209148944307</v>
      </c>
      <c r="AL95" s="11">
        <f>Opti_Medias__30_ALL_Data[[#This Row],[SUMA]]-Opti_Medias__30_ALL_Data[[#This Row],[VAR Robustness Index]]</f>
        <v>-2.2185552009179945</v>
      </c>
    </row>
    <row r="96" spans="1:38" x14ac:dyDescent="0.25">
      <c r="A96" s="11"/>
      <c r="B96" s="17">
        <v>21</v>
      </c>
      <c r="C96" s="17">
        <v>3</v>
      </c>
      <c r="D96" s="17">
        <v>111</v>
      </c>
      <c r="E96" s="10">
        <v>139610</v>
      </c>
      <c r="F96" s="10">
        <v>2176390</v>
      </c>
      <c r="G96" s="10">
        <v>-2036780</v>
      </c>
      <c r="H96" s="17">
        <v>4027</v>
      </c>
      <c r="I96" s="11">
        <v>39.036503600695305</v>
      </c>
      <c r="J96" s="17">
        <v>1572</v>
      </c>
      <c r="K96" s="17">
        <v>2434</v>
      </c>
      <c r="L96" s="12">
        <v>23710</v>
      </c>
      <c r="M96" s="12">
        <v>-6740</v>
      </c>
      <c r="N96" s="12">
        <v>1384.4720458984375</v>
      </c>
      <c r="O96" s="12">
        <v>-836.8035888671875</v>
      </c>
      <c r="P96" s="11">
        <v>1.6544767067414821</v>
      </c>
      <c r="Q96" s="13">
        <v>34.668487707971195</v>
      </c>
      <c r="R96" s="17">
        <v>7</v>
      </c>
      <c r="S96" s="17">
        <v>14</v>
      </c>
      <c r="T96" s="17">
        <v>74</v>
      </c>
      <c r="U96" s="17">
        <v>38</v>
      </c>
      <c r="V96" s="12">
        <v>-80065</v>
      </c>
      <c r="W96" s="11">
        <v>1.0685444672473221</v>
      </c>
      <c r="X96" s="17">
        <v>1</v>
      </c>
      <c r="Y96" s="12">
        <v>80065</v>
      </c>
      <c r="Z96" s="11">
        <v>174.3708237057391</v>
      </c>
      <c r="AA96" s="14">
        <v>2741.1093486542186</v>
      </c>
      <c r="AB96" s="11">
        <v>0.52918498899103505</v>
      </c>
      <c r="AC96" s="11">
        <v>1.2600201986960511</v>
      </c>
      <c r="AD96" s="15">
        <v>110435.22642464223</v>
      </c>
      <c r="AE96" s="11">
        <v>-48.244990740535385</v>
      </c>
      <c r="AF96" s="11">
        <f>(Opti_Medias__30_ALL_Data[[#This Row],[All: TS Index]]-AA$114) /ABS(AA$114)</f>
        <v>-0.8275034889916465</v>
      </c>
      <c r="AG96" s="11">
        <f>(Opti_Medias__30_ALL_Data[[#This Row],[All: Expectancy Score]]-AB$114) /ABS(AB$114)</f>
        <v>-0.82887381447277786</v>
      </c>
      <c r="AH96" s="11"/>
      <c r="AI96" s="11">
        <f>(Opti_Medias__30_ALL_Data[[#This Row],[All: Perfect Profit Correlation]]-AD$114) /ABS(AD$114)</f>
        <v>-0.6417121829983522</v>
      </c>
      <c r="AJ96" s="11">
        <f>(Opti_Medias__30_ALL_Data[[#This Row],[All: Robustness Index]]-AE$114) /ABS(AE$114)</f>
        <v>-1.3371565073815073</v>
      </c>
      <c r="AK96" s="11">
        <f>SUM(Opti_Medias__30_ALL_Data[[#This Row],[VAR TS Index]:[VAR Robustness Index]])</f>
        <v>-3.6352459938442836</v>
      </c>
      <c r="AL96" s="11">
        <f>Opti_Medias__30_ALL_Data[[#This Row],[SUMA]]-Opti_Medias__30_ALL_Data[[#This Row],[VAR Robustness Index]]</f>
        <v>-2.2980894864627763</v>
      </c>
    </row>
    <row r="97" spans="1:38" x14ac:dyDescent="0.25">
      <c r="A97" s="11"/>
      <c r="B97" s="17">
        <v>26</v>
      </c>
      <c r="C97" s="17">
        <v>3</v>
      </c>
      <c r="D97" s="17">
        <v>116</v>
      </c>
      <c r="E97" s="10">
        <v>125140</v>
      </c>
      <c r="F97" s="10">
        <v>2101150</v>
      </c>
      <c r="G97" s="10">
        <v>-1976010</v>
      </c>
      <c r="H97" s="17">
        <v>3763</v>
      </c>
      <c r="I97" s="11">
        <v>37.33723093276641</v>
      </c>
      <c r="J97" s="17">
        <v>1405</v>
      </c>
      <c r="K97" s="17">
        <v>2339</v>
      </c>
      <c r="L97" s="12">
        <v>21040</v>
      </c>
      <c r="M97" s="12">
        <v>-8810</v>
      </c>
      <c r="N97" s="12">
        <v>1495.48046875</v>
      </c>
      <c r="O97" s="12">
        <v>-844.80975341796875</v>
      </c>
      <c r="P97" s="11">
        <v>1.770197920537161</v>
      </c>
      <c r="Q97" s="13">
        <v>33.255381344671804</v>
      </c>
      <c r="R97" s="17">
        <v>7</v>
      </c>
      <c r="S97" s="17">
        <v>15</v>
      </c>
      <c r="T97" s="17">
        <v>85</v>
      </c>
      <c r="U97" s="17">
        <v>38</v>
      </c>
      <c r="V97" s="12">
        <v>-80355</v>
      </c>
      <c r="W97" s="11">
        <v>1.063329639020046</v>
      </c>
      <c r="X97" s="17">
        <v>1</v>
      </c>
      <c r="Y97" s="12">
        <v>80355</v>
      </c>
      <c r="Z97" s="11">
        <v>155.73393068259597</v>
      </c>
      <c r="AA97" s="14">
        <v>2188.0617260904737</v>
      </c>
      <c r="AB97" s="11">
        <v>0.52624662183396098</v>
      </c>
      <c r="AC97" s="11">
        <v>1.0994212472971481</v>
      </c>
      <c r="AD97" s="15">
        <v>103957.99208324088</v>
      </c>
      <c r="AE97" s="11">
        <v>-45.810156309084412</v>
      </c>
      <c r="AF97" s="11">
        <f>(Opti_Medias__30_ALL_Data[[#This Row],[All: TS Index]]-AA$114) /ABS(AA$114)</f>
        <v>-0.86230647317779296</v>
      </c>
      <c r="AG97" s="11">
        <f>(Opti_Medias__30_ALL_Data[[#This Row],[All: Expectancy Score]]-AB$114) /ABS(AB$114)</f>
        <v>-0.82982401444770026</v>
      </c>
      <c r="AH97" s="11"/>
      <c r="AI97" s="11">
        <f>(Opti_Medias__30_ALL_Data[[#This Row],[All: Perfect Profit Correlation]]-AD$114) /ABS(AD$114)</f>
        <v>-0.66272643929611397</v>
      </c>
      <c r="AJ97" s="11">
        <f>(Opti_Medias__30_ALL_Data[[#This Row],[All: Robustness Index]]-AE$114) /ABS(AE$114)</f>
        <v>-1.3201408491678868</v>
      </c>
      <c r="AK97" s="11">
        <f>SUM(Opti_Medias__30_ALL_Data[[#This Row],[VAR TS Index]:[VAR Robustness Index]])</f>
        <v>-3.6749977760894943</v>
      </c>
      <c r="AL97" s="11">
        <f>Opti_Medias__30_ALL_Data[[#This Row],[SUMA]]-Opti_Medias__30_ALL_Data[[#This Row],[VAR Robustness Index]]</f>
        <v>-2.3548569269216078</v>
      </c>
    </row>
    <row r="98" spans="1:38" x14ac:dyDescent="0.25">
      <c r="A98" s="11"/>
      <c r="B98" s="17">
        <v>22</v>
      </c>
      <c r="C98" s="17">
        <v>3</v>
      </c>
      <c r="D98" s="17">
        <v>112</v>
      </c>
      <c r="E98" s="10">
        <v>126250</v>
      </c>
      <c r="F98" s="10">
        <v>2171010</v>
      </c>
      <c r="G98" s="10">
        <v>-2044760</v>
      </c>
      <c r="H98" s="17">
        <v>3938</v>
      </c>
      <c r="I98" s="11">
        <v>38.242762823768409</v>
      </c>
      <c r="J98" s="17">
        <v>1506</v>
      </c>
      <c r="K98" s="17">
        <v>2413</v>
      </c>
      <c r="L98" s="12">
        <v>23710</v>
      </c>
      <c r="M98" s="12">
        <v>-6680</v>
      </c>
      <c r="N98" s="12">
        <v>1441.57373046875</v>
      </c>
      <c r="O98" s="12">
        <v>-847.393310546875</v>
      </c>
      <c r="P98" s="11">
        <v>1.701186111014275</v>
      </c>
      <c r="Q98" s="13">
        <v>32.059421025901472</v>
      </c>
      <c r="R98" s="17">
        <v>7</v>
      </c>
      <c r="S98" s="17">
        <v>16</v>
      </c>
      <c r="T98" s="17">
        <v>76</v>
      </c>
      <c r="U98" s="17">
        <v>39</v>
      </c>
      <c r="V98" s="12">
        <v>-88995</v>
      </c>
      <c r="W98" s="11">
        <v>1.061743187464544</v>
      </c>
      <c r="X98" s="17">
        <v>1</v>
      </c>
      <c r="Y98" s="12">
        <v>88995</v>
      </c>
      <c r="Z98" s="11">
        <v>141.86190235406482</v>
      </c>
      <c r="AA98" s="14">
        <v>2136.4402494522164</v>
      </c>
      <c r="AB98" s="11">
        <v>0.137732865641884</v>
      </c>
      <c r="AC98" s="11">
        <v>1.1193244224618351</v>
      </c>
      <c r="AD98" s="15">
        <v>99511.399608543346</v>
      </c>
      <c r="AE98" s="11">
        <v>-38.090403745372029</v>
      </c>
      <c r="AF98" s="11">
        <f>(Opti_Medias__30_ALL_Data[[#This Row],[All: TS Index]]-AA$114) /ABS(AA$114)</f>
        <v>-0.86555498444844703</v>
      </c>
      <c r="AG98" s="11">
        <f>(Opti_Medias__30_ALL_Data[[#This Row],[All: Expectancy Score]]-AB$114) /ABS(AB$114)</f>
        <v>-0.95546037697711728</v>
      </c>
      <c r="AH98" s="11"/>
      <c r="AI98" s="11">
        <f>(Opti_Medias__30_ALL_Data[[#This Row],[All: Perfect Profit Correlation]]-AD$114) /ABS(AD$114)</f>
        <v>-0.67715263248133339</v>
      </c>
      <c r="AJ98" s="11">
        <f>(Opti_Medias__30_ALL_Data[[#This Row],[All: Robustness Index]]-AE$114) /ABS(AE$114)</f>
        <v>-1.2661919360832403</v>
      </c>
      <c r="AK98" s="11">
        <f>SUM(Opti_Medias__30_ALL_Data[[#This Row],[VAR TS Index]:[VAR Robustness Index]])</f>
        <v>-3.764359929990138</v>
      </c>
      <c r="AL98" s="11">
        <f>Opti_Medias__30_ALL_Data[[#This Row],[SUMA]]-Opti_Medias__30_ALL_Data[[#This Row],[VAR Robustness Index]]</f>
        <v>-2.4981679939068977</v>
      </c>
    </row>
    <row r="99" spans="1:38" x14ac:dyDescent="0.25">
      <c r="A99" s="11"/>
      <c r="B99" s="17">
        <v>23</v>
      </c>
      <c r="C99" s="17">
        <v>3</v>
      </c>
      <c r="D99" s="17">
        <v>113</v>
      </c>
      <c r="E99" s="10">
        <v>119090</v>
      </c>
      <c r="F99" s="10">
        <v>2157730</v>
      </c>
      <c r="G99" s="10">
        <v>-2038640</v>
      </c>
      <c r="H99" s="17">
        <v>3921</v>
      </c>
      <c r="I99" s="11">
        <v>38.153532262178018</v>
      </c>
      <c r="J99" s="17">
        <v>1496</v>
      </c>
      <c r="K99" s="17">
        <v>2406</v>
      </c>
      <c r="L99" s="12">
        <v>21040</v>
      </c>
      <c r="M99" s="12">
        <v>-7020</v>
      </c>
      <c r="N99" s="12">
        <v>1442.3328857421875</v>
      </c>
      <c r="O99" s="12">
        <v>-847.3150634765625</v>
      </c>
      <c r="P99" s="11">
        <v>1.702239164525468</v>
      </c>
      <c r="Q99" s="13">
        <v>30.372353991328744</v>
      </c>
      <c r="R99" s="17">
        <v>7</v>
      </c>
      <c r="S99" s="17">
        <v>18</v>
      </c>
      <c r="T99" s="17">
        <v>78</v>
      </c>
      <c r="U99" s="17">
        <v>38</v>
      </c>
      <c r="V99" s="12">
        <v>-89845</v>
      </c>
      <c r="W99" s="11">
        <v>1.0584163952438881</v>
      </c>
      <c r="X99" s="17">
        <v>1</v>
      </c>
      <c r="Y99" s="12">
        <v>89845</v>
      </c>
      <c r="Z99" s="11">
        <v>132.55050364516669</v>
      </c>
      <c r="AA99" s="14">
        <v>1982.9555345316935</v>
      </c>
      <c r="AB99" s="11">
        <v>1.2145952917731E-2</v>
      </c>
      <c r="AC99" s="11">
        <v>1.0486486405002979</v>
      </c>
      <c r="AD99" s="15">
        <v>96432.764375981322</v>
      </c>
      <c r="AE99" s="11">
        <v>-39.041704004966256</v>
      </c>
      <c r="AF99" s="11">
        <f>(Opti_Medias__30_ALL_Data[[#This Row],[All: TS Index]]-AA$114) /ABS(AA$114)</f>
        <v>-0.87521369355098633</v>
      </c>
      <c r="AG99" s="11">
        <f>(Opti_Medias__30_ALL_Data[[#This Row],[All: Expectancy Score]]-AB$114) /ABS(AB$114)</f>
        <v>-0.99607227975916812</v>
      </c>
      <c r="AH99" s="11"/>
      <c r="AI99" s="11">
        <f>(Opti_Medias__30_ALL_Data[[#This Row],[All: Perfect Profit Correlation]]-AD$114) /ABS(AD$114)</f>
        <v>-0.68714072715483587</v>
      </c>
      <c r="AJ99" s="11">
        <f>(Opti_Medias__30_ALL_Data[[#This Row],[All: Robustness Index]]-AE$114) /ABS(AE$114)</f>
        <v>-1.2728400267569613</v>
      </c>
      <c r="AK99" s="11">
        <f>SUM(Opti_Medias__30_ALL_Data[[#This Row],[VAR TS Index]:[VAR Robustness Index]])</f>
        <v>-3.8312667272219514</v>
      </c>
      <c r="AL99" s="11">
        <f>Opti_Medias__30_ALL_Data[[#This Row],[SUMA]]-Opti_Medias__30_ALL_Data[[#This Row],[VAR Robustness Index]]</f>
        <v>-2.5584267004649899</v>
      </c>
    </row>
    <row r="100" spans="1:38" x14ac:dyDescent="0.25">
      <c r="A100" s="11"/>
      <c r="B100" s="17">
        <v>16</v>
      </c>
      <c r="C100" s="17">
        <v>3</v>
      </c>
      <c r="D100" s="17">
        <v>106</v>
      </c>
      <c r="E100" s="10">
        <v>122930</v>
      </c>
      <c r="F100" s="10">
        <v>2240390</v>
      </c>
      <c r="G100" s="10">
        <v>-2117460</v>
      </c>
      <c r="H100" s="17">
        <v>4346</v>
      </c>
      <c r="I100" s="11">
        <v>41.555453290381962</v>
      </c>
      <c r="J100" s="17">
        <v>1806</v>
      </c>
      <c r="K100" s="17">
        <v>2517</v>
      </c>
      <c r="L100" s="12">
        <v>26140</v>
      </c>
      <c r="M100" s="12">
        <v>-5930</v>
      </c>
      <c r="N100" s="12">
        <v>1240.5260009765625</v>
      </c>
      <c r="O100" s="12">
        <v>-841.263427734375</v>
      </c>
      <c r="P100" s="11">
        <v>1.47459875239965</v>
      </c>
      <c r="Q100" s="13">
        <v>28.285780027611597</v>
      </c>
      <c r="R100" s="17">
        <v>9</v>
      </c>
      <c r="S100" s="17">
        <v>12</v>
      </c>
      <c r="T100" s="17">
        <v>62</v>
      </c>
      <c r="U100" s="17">
        <v>38</v>
      </c>
      <c r="V100" s="12">
        <v>-114445</v>
      </c>
      <c r="W100" s="11">
        <v>1.058055406005308</v>
      </c>
      <c r="X100" s="17">
        <v>1</v>
      </c>
      <c r="Y100" s="12">
        <v>114445</v>
      </c>
      <c r="Z100" s="11">
        <v>107.41404167940932</v>
      </c>
      <c r="AA100" s="14">
        <v>1939.8975927301324</v>
      </c>
      <c r="AB100" s="11">
        <v>0.32540444522343898</v>
      </c>
      <c r="AC100" s="11">
        <v>1.124172356152793</v>
      </c>
      <c r="AD100" s="15">
        <v>100427.68849974865</v>
      </c>
      <c r="AE100" s="11">
        <v>-71.178937131278346</v>
      </c>
      <c r="AF100" s="11">
        <f>(Opti_Medias__30_ALL_Data[[#This Row],[All: TS Index]]-AA$114) /ABS(AA$114)</f>
        <v>-0.87792330626148118</v>
      </c>
      <c r="AG100" s="11">
        <f>(Opti_Medias__30_ALL_Data[[#This Row],[All: Expectancy Score]]-AB$114) /ABS(AB$114)</f>
        <v>-0.89477172893573453</v>
      </c>
      <c r="AH100" s="11"/>
      <c r="AI100" s="11">
        <f>(Opti_Medias__30_ALL_Data[[#This Row],[All: Perfect Profit Correlation]]-AD$114) /ABS(AD$114)</f>
        <v>-0.6741798931009616</v>
      </c>
      <c r="AJ100" s="11">
        <f>(Opti_Medias__30_ALL_Data[[#This Row],[All: Robustness Index]]-AE$114) /ABS(AE$114)</f>
        <v>-1.4974286754737882</v>
      </c>
      <c r="AK100" s="11">
        <f>SUM(Opti_Medias__30_ALL_Data[[#This Row],[VAR TS Index]:[VAR Robustness Index]])</f>
        <v>-3.9443036037719654</v>
      </c>
      <c r="AL100" s="11">
        <f>Opti_Medias__30_ALL_Data[[#This Row],[SUMA]]-Opti_Medias__30_ALL_Data[[#This Row],[VAR Robustness Index]]</f>
        <v>-2.4468749282981772</v>
      </c>
    </row>
    <row r="101" spans="1:38" x14ac:dyDescent="0.25">
      <c r="A101" s="11"/>
      <c r="B101" s="17">
        <v>17</v>
      </c>
      <c r="C101" s="17">
        <v>3</v>
      </c>
      <c r="D101" s="17">
        <v>107</v>
      </c>
      <c r="E101" s="10">
        <v>126920</v>
      </c>
      <c r="F101" s="10">
        <v>2224210</v>
      </c>
      <c r="G101" s="10">
        <v>-2097290</v>
      </c>
      <c r="H101" s="17">
        <v>4226</v>
      </c>
      <c r="I101" s="11">
        <v>40.747752011358259</v>
      </c>
      <c r="J101" s="17">
        <v>1722</v>
      </c>
      <c r="K101" s="17">
        <v>2483</v>
      </c>
      <c r="L101" s="12">
        <v>22680</v>
      </c>
      <c r="M101" s="12">
        <v>-6220</v>
      </c>
      <c r="N101" s="12">
        <v>1291.6434326171875</v>
      </c>
      <c r="O101" s="12">
        <v>-844.65966796875</v>
      </c>
      <c r="P101" s="11">
        <v>1.529188005061672</v>
      </c>
      <c r="Q101" s="13">
        <v>30.033128253667773</v>
      </c>
      <c r="R101" s="17">
        <v>7</v>
      </c>
      <c r="S101" s="17">
        <v>16</v>
      </c>
      <c r="T101" s="17">
        <v>65</v>
      </c>
      <c r="U101" s="17">
        <v>39</v>
      </c>
      <c r="V101" s="12">
        <v>-117815</v>
      </c>
      <c r="W101" s="11">
        <v>1.0605161899403519</v>
      </c>
      <c r="X101" s="17">
        <v>1</v>
      </c>
      <c r="Y101" s="12">
        <v>117815</v>
      </c>
      <c r="Z101" s="11">
        <v>107.72821796884946</v>
      </c>
      <c r="AA101" s="14">
        <v>1855.0799134235879</v>
      </c>
      <c r="AB101" s="11">
        <v>0.13571046290366701</v>
      </c>
      <c r="AC101" s="11">
        <v>1.1540983516860659</v>
      </c>
      <c r="AD101" s="15">
        <v>100130.99516487202</v>
      </c>
      <c r="AE101" s="11">
        <v>-65.59328672377444</v>
      </c>
      <c r="AF101" s="11">
        <f>(Opti_Medias__30_ALL_Data[[#This Row],[All: TS Index]]-AA$114) /ABS(AA$114)</f>
        <v>-0.88326083639663899</v>
      </c>
      <c r="AG101" s="11">
        <f>(Opti_Medias__30_ALL_Data[[#This Row],[All: Expectancy Score]]-AB$114) /ABS(AB$114)</f>
        <v>-0.95611437524500242</v>
      </c>
      <c r="AH101" s="11"/>
      <c r="AI101" s="11">
        <f>(Opti_Medias__30_ALL_Data[[#This Row],[All: Perfect Profit Correlation]]-AD$114) /ABS(AD$114)</f>
        <v>-0.67514246284173562</v>
      </c>
      <c r="AJ101" s="11">
        <f>(Opti_Medias__30_ALL_Data[[#This Row],[All: Robustness Index]]-AE$114) /ABS(AE$114)</f>
        <v>-1.4583937756024983</v>
      </c>
      <c r="AK101" s="11">
        <f>SUM(Opti_Medias__30_ALL_Data[[#This Row],[VAR TS Index]:[VAR Robustness Index]])</f>
        <v>-3.9729114500858755</v>
      </c>
      <c r="AL101" s="11">
        <f>Opti_Medias__30_ALL_Data[[#This Row],[SUMA]]-Opti_Medias__30_ALL_Data[[#This Row],[VAR Robustness Index]]</f>
        <v>-2.5145176744833773</v>
      </c>
    </row>
    <row r="104" spans="1:38" ht="30" customHeight="1" x14ac:dyDescent="0.25">
      <c r="A104" s="50" t="s">
        <v>38</v>
      </c>
      <c r="B104" s="51">
        <v>23.13</v>
      </c>
      <c r="C104" s="51">
        <v>5.91</v>
      </c>
      <c r="D104" s="58"/>
      <c r="E104" s="59">
        <v>212912.5</v>
      </c>
      <c r="F104" s="59">
        <v>2330504.6</v>
      </c>
      <c r="G104" s="59">
        <v>-2117592.1</v>
      </c>
      <c r="H104" s="51">
        <v>5232.82</v>
      </c>
      <c r="I104" s="51">
        <v>36.547334226377501</v>
      </c>
      <c r="J104" s="51">
        <v>1903.88</v>
      </c>
      <c r="K104" s="51">
        <v>3303.27</v>
      </c>
      <c r="L104" s="60">
        <v>18276.5</v>
      </c>
      <c r="M104" s="60">
        <v>-5879.5</v>
      </c>
      <c r="N104" s="60">
        <v>1241.0878997802733</v>
      </c>
      <c r="O104" s="60">
        <v>-655.31531890869144</v>
      </c>
      <c r="P104" s="61">
        <v>1.9381776195871838</v>
      </c>
      <c r="Q104" s="60">
        <v>40.949281847107819</v>
      </c>
      <c r="R104" s="51">
        <v>8.26</v>
      </c>
      <c r="S104" s="51">
        <v>15.66</v>
      </c>
      <c r="T104" s="51">
        <v>67.040000000000006</v>
      </c>
      <c r="U104" s="51">
        <v>26.42</v>
      </c>
      <c r="V104" s="60">
        <v>-60132.7</v>
      </c>
      <c r="W104" s="61">
        <v>1.1004604958408057</v>
      </c>
      <c r="X104" s="58"/>
      <c r="Y104" s="58"/>
      <c r="Z104" s="51">
        <v>404.67614473533411</v>
      </c>
      <c r="AA104" s="58">
        <v>7731.5355985646011</v>
      </c>
      <c r="AB104" s="61">
        <v>1.040012261962129</v>
      </c>
      <c r="AC104" s="61">
        <v>1.9639496415273312</v>
      </c>
      <c r="AD104" s="61">
        <v>191933.71823959731</v>
      </c>
      <c r="AE104" s="61">
        <v>41.477532167454612</v>
      </c>
    </row>
    <row r="105" spans="1:38" ht="30" customHeight="1" x14ac:dyDescent="0.25">
      <c r="A105" s="52" t="s">
        <v>39</v>
      </c>
      <c r="B105" s="53">
        <v>1.1042301582660392</v>
      </c>
      <c r="C105" s="53">
        <v>0.34702050706439863</v>
      </c>
      <c r="D105" s="62"/>
      <c r="E105" s="63">
        <v>5110.3214775134602</v>
      </c>
      <c r="F105" s="63">
        <v>11982.798820986787</v>
      </c>
      <c r="G105" s="63">
        <v>9593.0556315177328</v>
      </c>
      <c r="H105" s="53">
        <v>61.266390311639917</v>
      </c>
      <c r="I105" s="53">
        <v>0.44667762493181307</v>
      </c>
      <c r="J105" s="53">
        <v>27.771307335289627</v>
      </c>
      <c r="K105" s="53">
        <v>51.735228907399389</v>
      </c>
      <c r="L105" s="64">
        <v>223.98080613113152</v>
      </c>
      <c r="M105" s="64">
        <v>107.87323040673178</v>
      </c>
      <c r="N105" s="64">
        <v>12.301021629739681</v>
      </c>
      <c r="O105" s="64">
        <v>9.7709899427629843</v>
      </c>
      <c r="P105" s="65">
        <v>3.6162306759481788E-2</v>
      </c>
      <c r="Q105" s="64">
        <v>0.93353158470055531</v>
      </c>
      <c r="R105" s="53">
        <v>0.15414803327196924</v>
      </c>
      <c r="S105" s="53">
        <v>0.28962532396672114</v>
      </c>
      <c r="T105" s="53">
        <v>1.0360102179598298</v>
      </c>
      <c r="U105" s="53">
        <v>0.59648465143198737</v>
      </c>
      <c r="V105" s="64">
        <v>2093.8564191800292</v>
      </c>
      <c r="W105" s="65">
        <v>2.2899369889051091E-3</v>
      </c>
      <c r="X105" s="62"/>
      <c r="Y105" s="62"/>
      <c r="Z105" s="53">
        <v>17.344431212211713</v>
      </c>
      <c r="AA105" s="62">
        <v>340.86817659107209</v>
      </c>
      <c r="AB105" s="65">
        <v>6.914058360167305E-2</v>
      </c>
      <c r="AC105" s="65">
        <v>5.1882669935545501E-2</v>
      </c>
      <c r="AD105" s="66">
        <v>5073.5091683912597</v>
      </c>
      <c r="AE105" s="65">
        <v>4.7895249465622438</v>
      </c>
    </row>
    <row r="106" spans="1:38" ht="30" customHeight="1" x14ac:dyDescent="0.25">
      <c r="A106" s="54" t="s">
        <v>40</v>
      </c>
      <c r="B106" s="55">
        <v>23.5</v>
      </c>
      <c r="C106" s="55">
        <v>8</v>
      </c>
      <c r="D106" s="67"/>
      <c r="E106" s="68">
        <v>215245</v>
      </c>
      <c r="F106" s="68">
        <v>2329620</v>
      </c>
      <c r="G106" s="68">
        <v>-2100495</v>
      </c>
      <c r="H106" s="55">
        <v>5261</v>
      </c>
      <c r="I106" s="55">
        <v>36.244311211514898</v>
      </c>
      <c r="J106" s="55">
        <v>1852.5</v>
      </c>
      <c r="K106" s="55">
        <v>3337</v>
      </c>
      <c r="L106" s="69">
        <v>17720</v>
      </c>
      <c r="M106" s="69">
        <v>-5760</v>
      </c>
      <c r="N106" s="69">
        <v>1247.9588012695313</v>
      </c>
      <c r="O106" s="69">
        <v>-632.72933959960938</v>
      </c>
      <c r="P106" s="70">
        <v>1.9398265770231946</v>
      </c>
      <c r="Q106" s="69">
        <v>41.565420905227477</v>
      </c>
      <c r="R106" s="55">
        <v>8</v>
      </c>
      <c r="S106" s="55">
        <v>15</v>
      </c>
      <c r="T106" s="55">
        <v>68</v>
      </c>
      <c r="U106" s="55">
        <v>25</v>
      </c>
      <c r="V106" s="69">
        <v>-53675</v>
      </c>
      <c r="W106" s="70">
        <v>1.1018206565056046</v>
      </c>
      <c r="X106" s="67"/>
      <c r="Y106" s="67"/>
      <c r="Z106" s="55">
        <v>415.72359028621509</v>
      </c>
      <c r="AA106" s="71">
        <v>7823.1366326205352</v>
      </c>
      <c r="AB106" s="72">
        <v>0.97617120745985297</v>
      </c>
      <c r="AC106" s="70">
        <v>1.9787300022452023</v>
      </c>
      <c r="AD106" s="73">
        <v>197411.71185572032</v>
      </c>
      <c r="AE106" s="74">
        <v>42.704885005830647</v>
      </c>
    </row>
    <row r="107" spans="1:38" ht="30" customHeight="1" x14ac:dyDescent="0.25">
      <c r="A107" s="52" t="s">
        <v>41</v>
      </c>
      <c r="B107" s="53">
        <v>37</v>
      </c>
      <c r="C107" s="53">
        <v>8</v>
      </c>
      <c r="D107" s="62"/>
      <c r="E107" s="63" t="e">
        <v>#N/A</v>
      </c>
      <c r="F107" s="63" t="e">
        <v>#N/A</v>
      </c>
      <c r="G107" s="63" t="e">
        <v>#N/A</v>
      </c>
      <c r="H107" s="53">
        <v>5283</v>
      </c>
      <c r="I107" s="53" t="e">
        <v>#N/A</v>
      </c>
      <c r="J107" s="53">
        <v>2214</v>
      </c>
      <c r="K107" s="53">
        <v>3280</v>
      </c>
      <c r="L107" s="64">
        <v>17090</v>
      </c>
      <c r="M107" s="64">
        <v>-5240</v>
      </c>
      <c r="N107" s="64" t="e">
        <v>#N/A</v>
      </c>
      <c r="O107" s="64" t="e">
        <v>#N/A</v>
      </c>
      <c r="P107" s="65" t="e">
        <v>#N/A</v>
      </c>
      <c r="Q107" s="64" t="e">
        <v>#N/A</v>
      </c>
      <c r="R107" s="53">
        <v>7</v>
      </c>
      <c r="S107" s="53">
        <v>15</v>
      </c>
      <c r="T107" s="53">
        <v>75</v>
      </c>
      <c r="U107" s="53">
        <v>25</v>
      </c>
      <c r="V107" s="64">
        <v>-41945</v>
      </c>
      <c r="W107" s="65" t="e">
        <v>#N/A</v>
      </c>
      <c r="X107" s="62"/>
      <c r="Y107" s="62"/>
      <c r="Z107" s="53" t="e">
        <v>#N/A</v>
      </c>
      <c r="AA107" s="62" t="e">
        <v>#N/A</v>
      </c>
      <c r="AB107" s="65" t="e">
        <v>#N/A</v>
      </c>
      <c r="AC107" s="65" t="e">
        <v>#N/A</v>
      </c>
      <c r="AD107" s="66" t="e">
        <v>#N/A</v>
      </c>
      <c r="AE107" s="65" t="e">
        <v>#N/A</v>
      </c>
    </row>
    <row r="108" spans="1:38" ht="30" customHeight="1" x14ac:dyDescent="0.25">
      <c r="A108" s="54" t="s">
        <v>42</v>
      </c>
      <c r="B108" s="55">
        <v>11.042301582660393</v>
      </c>
      <c r="C108" s="55">
        <v>3.4702050706439862</v>
      </c>
      <c r="D108" s="70"/>
      <c r="E108" s="68">
        <v>51103.214775134598</v>
      </c>
      <c r="F108" s="68">
        <v>119827.98820986788</v>
      </c>
      <c r="G108" s="68">
        <v>95930.556315177324</v>
      </c>
      <c r="H108" s="55">
        <v>612.66390311639918</v>
      </c>
      <c r="I108" s="55">
        <v>4.4667762493181309</v>
      </c>
      <c r="J108" s="55">
        <v>277.71307335289629</v>
      </c>
      <c r="K108" s="55">
        <v>517.35228907399392</v>
      </c>
      <c r="L108" s="69">
        <v>2239.8080613113152</v>
      </c>
      <c r="M108" s="69">
        <v>1078.7323040673177</v>
      </c>
      <c r="N108" s="69">
        <v>123.01021629739681</v>
      </c>
      <c r="O108" s="69">
        <v>97.70989942762985</v>
      </c>
      <c r="P108" s="70">
        <v>0.36162306759481788</v>
      </c>
      <c r="Q108" s="69">
        <v>9.3353158470055533</v>
      </c>
      <c r="R108" s="55">
        <v>1.5414803327196924</v>
      </c>
      <c r="S108" s="55">
        <v>2.8962532396672112</v>
      </c>
      <c r="T108" s="55">
        <v>10.360102179598298</v>
      </c>
      <c r="U108" s="55">
        <v>5.9648465143198734</v>
      </c>
      <c r="V108" s="69">
        <v>20938.564191800291</v>
      </c>
      <c r="W108" s="70">
        <v>2.2899369889051089E-2</v>
      </c>
      <c r="X108" s="70"/>
      <c r="Y108" s="70"/>
      <c r="Z108" s="55">
        <v>173.44431212211714</v>
      </c>
      <c r="AA108" s="70">
        <v>3408.681765910721</v>
      </c>
      <c r="AB108" s="70">
        <v>0.69140583601673056</v>
      </c>
      <c r="AC108" s="70">
        <v>0.518826699355455</v>
      </c>
      <c r="AD108" s="61">
        <v>50735.091683912593</v>
      </c>
      <c r="AE108" s="70">
        <v>47.895249465622442</v>
      </c>
    </row>
    <row r="109" spans="1:38" ht="30" customHeight="1" x14ac:dyDescent="0.25">
      <c r="A109" s="52" t="s">
        <v>43</v>
      </c>
      <c r="B109" s="53">
        <v>121.93242424242422</v>
      </c>
      <c r="C109" s="53">
        <v>12.042323232323232</v>
      </c>
      <c r="D109" s="65"/>
      <c r="E109" s="63">
        <v>2611538560.3535352</v>
      </c>
      <c r="F109" s="63">
        <v>14358746758.424234</v>
      </c>
      <c r="G109" s="63">
        <v>9202671634.9394073</v>
      </c>
      <c r="H109" s="53">
        <v>375357.0581818205</v>
      </c>
      <c r="I109" s="53">
        <v>19.952090061472546</v>
      </c>
      <c r="J109" s="53">
        <v>77124.551111111141</v>
      </c>
      <c r="K109" s="53">
        <v>267653.39101010142</v>
      </c>
      <c r="L109" s="63">
        <v>5016740.1515151514</v>
      </c>
      <c r="M109" s="63">
        <v>1163663.3838383839</v>
      </c>
      <c r="N109" s="63">
        <v>15131.513313532347</v>
      </c>
      <c r="O109" s="63">
        <v>9547.2244461575392</v>
      </c>
      <c r="P109" s="65">
        <v>0.13077124301668622</v>
      </c>
      <c r="Q109" s="63">
        <v>87.148121963353006</v>
      </c>
      <c r="R109" s="53">
        <v>2.3761616161616139</v>
      </c>
      <c r="S109" s="53">
        <v>8.388282828282815</v>
      </c>
      <c r="T109" s="53">
        <v>107.33171717171743</v>
      </c>
      <c r="U109" s="53">
        <v>35.579393939393945</v>
      </c>
      <c r="V109" s="63">
        <v>438423470.41414142</v>
      </c>
      <c r="W109" s="65">
        <v>5.2438114131557966E-4</v>
      </c>
      <c r="X109" s="62"/>
      <c r="Y109" s="62"/>
      <c r="Z109" s="53">
        <v>30082.929407514388</v>
      </c>
      <c r="AA109" s="62">
        <v>11619111.381252231</v>
      </c>
      <c r="AB109" s="65">
        <v>0.47804203007799406</v>
      </c>
      <c r="AC109" s="65">
        <v>0.26918114396407572</v>
      </c>
      <c r="AD109" s="75">
        <v>2574049528.1750169</v>
      </c>
      <c r="AE109" s="65">
        <v>2293.9549213742071</v>
      </c>
    </row>
    <row r="110" spans="1:38" ht="30" customHeight="1" x14ac:dyDescent="0.25">
      <c r="A110" s="54" t="s">
        <v>44</v>
      </c>
      <c r="B110" s="55">
        <v>-1.1204474681637233</v>
      </c>
      <c r="C110" s="55">
        <v>-1.400895192450863</v>
      </c>
      <c r="D110" s="70"/>
      <c r="E110" s="68">
        <v>-0.55179332351521948</v>
      </c>
      <c r="F110" s="68">
        <v>0.66211193210816965</v>
      </c>
      <c r="G110" s="68">
        <v>0.46477783385343008</v>
      </c>
      <c r="H110" s="55">
        <v>0.65563527317041315</v>
      </c>
      <c r="I110" s="55">
        <v>-0.54426298348536895</v>
      </c>
      <c r="J110" s="55">
        <v>2.4229610194382265</v>
      </c>
      <c r="K110" s="55">
        <v>0.44317152844162599</v>
      </c>
      <c r="L110" s="69">
        <v>4.4417462473417366</v>
      </c>
      <c r="M110" s="69">
        <v>0.24805567281864827</v>
      </c>
      <c r="N110" s="69">
        <v>1.6169303289214052</v>
      </c>
      <c r="O110" s="69">
        <v>-0.3218881298581806</v>
      </c>
      <c r="P110" s="70">
        <v>-0.32324081126784154</v>
      </c>
      <c r="Q110" s="69">
        <v>-0.40312306806246667</v>
      </c>
      <c r="R110" s="55">
        <v>-0.6794171543245322</v>
      </c>
      <c r="S110" s="55">
        <v>-0.28276292802134462</v>
      </c>
      <c r="T110" s="55">
        <v>2.5863300902226736</v>
      </c>
      <c r="U110" s="55">
        <v>-3.9266946368424538E-2</v>
      </c>
      <c r="V110" s="69">
        <v>-8.4574667783969826E-2</v>
      </c>
      <c r="W110" s="70">
        <v>-0.74585733004980392</v>
      </c>
      <c r="X110" s="70"/>
      <c r="Y110" s="70"/>
      <c r="Z110" s="55">
        <v>-1.189278472327759</v>
      </c>
      <c r="AA110" s="70">
        <v>-1.0635401670165696</v>
      </c>
      <c r="AB110" s="70">
        <v>9.2729941643349356E-2</v>
      </c>
      <c r="AC110" s="70">
        <v>-0.56027608311400501</v>
      </c>
      <c r="AD110" s="61">
        <v>-0.57705751279171036</v>
      </c>
      <c r="AE110" s="70">
        <v>-0.2769710226050579</v>
      </c>
    </row>
    <row r="111" spans="1:38" ht="30" customHeight="1" x14ac:dyDescent="0.25">
      <c r="A111" s="52" t="s">
        <v>45</v>
      </c>
      <c r="B111" s="53">
        <v>-0.25145254298887942</v>
      </c>
      <c r="C111" s="53">
        <v>-3.3799272229405805E-2</v>
      </c>
      <c r="D111" s="65"/>
      <c r="E111" s="63">
        <v>4.6413580323964837E-2</v>
      </c>
      <c r="F111" s="63">
        <v>0.19766579257446218</v>
      </c>
      <c r="G111" s="63">
        <v>-0.16539780419572825</v>
      </c>
      <c r="H111" s="53">
        <v>-0.33303572520407054</v>
      </c>
      <c r="I111" s="53">
        <v>0.18988195212016196</v>
      </c>
      <c r="J111" s="53">
        <v>0.95582607470559977</v>
      </c>
      <c r="K111" s="53">
        <v>0.20723714262671702</v>
      </c>
      <c r="L111" s="64">
        <v>2.0563780182887657</v>
      </c>
      <c r="M111" s="64">
        <v>-0.56116853288936008</v>
      </c>
      <c r="N111" s="64">
        <v>-0.22573269232551743</v>
      </c>
      <c r="O111" s="64">
        <v>-0.60799349931823055</v>
      </c>
      <c r="P111" s="65">
        <v>0.21666444709289265</v>
      </c>
      <c r="Q111" s="64">
        <v>-0.40304925586034857</v>
      </c>
      <c r="R111" s="53">
        <v>0.53115795518438547</v>
      </c>
      <c r="S111" s="53">
        <v>0.49934179700615322</v>
      </c>
      <c r="T111" s="53">
        <v>0.21190431508234667</v>
      </c>
      <c r="U111" s="53">
        <v>0.93134028631373333</v>
      </c>
      <c r="V111" s="64">
        <v>-0.85390584201713826</v>
      </c>
      <c r="W111" s="65">
        <v>-0.25851884452714641</v>
      </c>
      <c r="X111" s="65"/>
      <c r="Y111" s="65"/>
      <c r="Z111" s="53">
        <v>8.9814750417813047E-2</v>
      </c>
      <c r="AA111" s="65">
        <v>-1.278807106078635E-2</v>
      </c>
      <c r="AB111" s="65">
        <v>0.64810768190793222</v>
      </c>
      <c r="AC111" s="65">
        <v>6.3325882364300923E-2</v>
      </c>
      <c r="AD111" s="66">
        <v>-7.2628308101558126E-2</v>
      </c>
      <c r="AE111" s="65">
        <v>-0.20479749560609109</v>
      </c>
    </row>
    <row r="112" spans="1:38" ht="30" customHeight="1" x14ac:dyDescent="0.25">
      <c r="A112" s="54" t="s">
        <v>46</v>
      </c>
      <c r="B112" s="55">
        <v>40</v>
      </c>
      <c r="C112" s="55">
        <v>10</v>
      </c>
      <c r="D112" s="67"/>
      <c r="E112" s="68">
        <v>217460</v>
      </c>
      <c r="F112" s="68">
        <v>654580</v>
      </c>
      <c r="G112" s="68">
        <v>529610</v>
      </c>
      <c r="H112" s="55">
        <v>3141</v>
      </c>
      <c r="I112" s="55">
        <v>19.644066581311439</v>
      </c>
      <c r="J112" s="55">
        <v>1792</v>
      </c>
      <c r="K112" s="55">
        <v>2504</v>
      </c>
      <c r="L112" s="69">
        <v>12330</v>
      </c>
      <c r="M112" s="69">
        <v>4760</v>
      </c>
      <c r="N112" s="69">
        <v>802.74285888671875</v>
      </c>
      <c r="O112" s="69">
        <v>373.9066162109375</v>
      </c>
      <c r="P112" s="70">
        <v>1.739032260344777</v>
      </c>
      <c r="Q112" s="69">
        <v>41.452633998676006</v>
      </c>
      <c r="R112" s="55">
        <v>6</v>
      </c>
      <c r="S112" s="55">
        <v>12</v>
      </c>
      <c r="T112" s="55">
        <v>72</v>
      </c>
      <c r="U112" s="55">
        <v>22</v>
      </c>
      <c r="V112" s="69">
        <v>84380</v>
      </c>
      <c r="W112" s="70">
        <v>9.7684871831015929E-2</v>
      </c>
      <c r="X112" s="67"/>
      <c r="Y112" s="67"/>
      <c r="Z112" s="55">
        <v>626.11795775297321</v>
      </c>
      <c r="AA112" s="67">
        <v>14035.730472425175</v>
      </c>
      <c r="AB112" s="70">
        <v>3.0802211641349331</v>
      </c>
      <c r="AC112" s="70">
        <v>2.2221863306620251</v>
      </c>
      <c r="AD112" s="61">
        <v>214803.70073437714</v>
      </c>
      <c r="AE112" s="70">
        <v>214.27269235856232</v>
      </c>
    </row>
    <row r="113" spans="1:31" ht="30" customHeight="1" x14ac:dyDescent="0.25">
      <c r="A113" s="52" t="s">
        <v>47</v>
      </c>
      <c r="B113" s="53">
        <v>1</v>
      </c>
      <c r="C113" s="53">
        <v>1</v>
      </c>
      <c r="D113" s="62"/>
      <c r="E113" s="63">
        <v>112890</v>
      </c>
      <c r="F113" s="63">
        <v>1978580</v>
      </c>
      <c r="G113" s="63">
        <v>-2346420</v>
      </c>
      <c r="H113" s="53">
        <v>3763</v>
      </c>
      <c r="I113" s="53">
        <v>26.24676445211389</v>
      </c>
      <c r="J113" s="53">
        <v>1201</v>
      </c>
      <c r="K113" s="53">
        <v>2324</v>
      </c>
      <c r="L113" s="64">
        <v>13810</v>
      </c>
      <c r="M113" s="64">
        <v>-8950</v>
      </c>
      <c r="N113" s="64">
        <v>844.70098876953125</v>
      </c>
      <c r="O113" s="64">
        <v>-847.393310546875</v>
      </c>
      <c r="P113" s="65">
        <v>1.2527529037546159</v>
      </c>
      <c r="Q113" s="64">
        <v>16.351390498261878</v>
      </c>
      <c r="R113" s="53">
        <v>5</v>
      </c>
      <c r="S113" s="53">
        <v>10</v>
      </c>
      <c r="T113" s="53">
        <v>38</v>
      </c>
      <c r="U113" s="53">
        <v>17</v>
      </c>
      <c r="V113" s="64">
        <v>-117815</v>
      </c>
      <c r="W113" s="65">
        <v>1.048111591275219</v>
      </c>
      <c r="X113" s="62"/>
      <c r="Y113" s="62"/>
      <c r="Z113" s="62">
        <v>107.41404167940932</v>
      </c>
      <c r="AA113" s="71">
        <v>1855.0799134235879</v>
      </c>
      <c r="AB113" s="72">
        <v>1.2145952917731E-2</v>
      </c>
      <c r="AC113" s="65">
        <v>0.922625702906675</v>
      </c>
      <c r="AD113" s="73">
        <v>93426.780973948204</v>
      </c>
      <c r="AE113" s="74">
        <v>-71.178937131278346</v>
      </c>
    </row>
    <row r="114" spans="1:31" ht="30" customHeight="1" x14ac:dyDescent="0.25">
      <c r="A114" s="54" t="s">
        <v>48</v>
      </c>
      <c r="B114" s="55">
        <v>41</v>
      </c>
      <c r="C114" s="55">
        <v>11</v>
      </c>
      <c r="D114" s="67"/>
      <c r="E114" s="68">
        <v>330350</v>
      </c>
      <c r="F114" s="68">
        <v>2633160</v>
      </c>
      <c r="G114" s="68">
        <v>-1816810</v>
      </c>
      <c r="H114" s="55">
        <v>6904</v>
      </c>
      <c r="I114" s="55">
        <v>45.890831033425329</v>
      </c>
      <c r="J114" s="55">
        <v>2993</v>
      </c>
      <c r="K114" s="55">
        <v>4828</v>
      </c>
      <c r="L114" s="69">
        <v>26140</v>
      </c>
      <c r="M114" s="69">
        <v>-4190</v>
      </c>
      <c r="N114" s="69">
        <v>1647.44384765625</v>
      </c>
      <c r="O114" s="69">
        <v>-473.4866943359375</v>
      </c>
      <c r="P114" s="70">
        <v>2.9917851640993929</v>
      </c>
      <c r="Q114" s="69">
        <v>57.804024496937885</v>
      </c>
      <c r="R114" s="55">
        <v>11</v>
      </c>
      <c r="S114" s="55">
        <v>22</v>
      </c>
      <c r="T114" s="55">
        <v>110</v>
      </c>
      <c r="U114" s="55">
        <v>39</v>
      </c>
      <c r="V114" s="69">
        <v>-33435</v>
      </c>
      <c r="W114" s="70">
        <v>1.145796463106235</v>
      </c>
      <c r="X114" s="67"/>
      <c r="Y114" s="67"/>
      <c r="Z114" s="55">
        <v>733.53199943238258</v>
      </c>
      <c r="AA114" s="71">
        <v>15890.810385848763</v>
      </c>
      <c r="AB114" s="72">
        <v>3.0923671170526639</v>
      </c>
      <c r="AC114" s="70">
        <v>3.1448120335687002</v>
      </c>
      <c r="AD114" s="73">
        <v>308230.48170832533</v>
      </c>
      <c r="AE114" s="76">
        <v>143.09375522728399</v>
      </c>
    </row>
    <row r="115" spans="1:31" ht="30" customHeight="1" x14ac:dyDescent="0.25">
      <c r="A115" s="56" t="s">
        <v>49</v>
      </c>
      <c r="B115" s="57">
        <v>2.1910321984844265</v>
      </c>
      <c r="C115" s="57">
        <v>0.68856397266529357</v>
      </c>
      <c r="D115" s="77"/>
      <c r="E115" s="78">
        <v>10139.98650373835</v>
      </c>
      <c r="F115" s="78">
        <v>23776.472548051708</v>
      </c>
      <c r="G115" s="78">
        <v>19034.703601569021</v>
      </c>
      <c r="H115" s="57">
        <v>121.56581021886572</v>
      </c>
      <c r="I115" s="57">
        <v>0.88630531528406287</v>
      </c>
      <c r="J115" s="57">
        <v>55.104298782397876</v>
      </c>
      <c r="K115" s="57">
        <v>102.65391819226546</v>
      </c>
      <c r="L115" s="79">
        <v>444.42651235538193</v>
      </c>
      <c r="M115" s="79">
        <v>214.04389239542448</v>
      </c>
      <c r="N115" s="79">
        <v>24.407895639560643</v>
      </c>
      <c r="O115" s="79">
        <v>19.387763878210702</v>
      </c>
      <c r="P115" s="77">
        <v>7.1753862080631822E-2</v>
      </c>
      <c r="Q115" s="79">
        <v>1.8523291952041725</v>
      </c>
      <c r="R115" s="57">
        <v>0.30586314067194831</v>
      </c>
      <c r="S115" s="57">
        <v>0.57467947742347569</v>
      </c>
      <c r="T115" s="57">
        <v>2.0556690364926324</v>
      </c>
      <c r="U115" s="57">
        <v>1.1835549567324641</v>
      </c>
      <c r="V115" s="79">
        <v>4154.6654011250475</v>
      </c>
      <c r="W115" s="77">
        <v>4.543731791450273E-3</v>
      </c>
      <c r="X115" s="77"/>
      <c r="Y115" s="77"/>
      <c r="Z115" s="57">
        <v>34.415114426895023</v>
      </c>
      <c r="AA115" s="77">
        <v>676.3564142483574</v>
      </c>
      <c r="AB115" s="77">
        <v>0.13718991802501748</v>
      </c>
      <c r="AC115" s="77">
        <v>0.10294647317967232</v>
      </c>
      <c r="AD115" s="80">
        <v>10066.942895951041</v>
      </c>
      <c r="AE115" s="77">
        <v>9.5034565890148297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A6DEB-0672-4DA0-812C-2F9DA47C9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Opti_Medias_+30_INS</vt:lpstr>
      <vt:lpstr>Opti_Medias_+30_OOS</vt:lpstr>
      <vt:lpstr>Opti_Medias_+30_ALL_Data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Sánchez</dc:creator>
  <cp:lastModifiedBy>Sergi Sánchez</cp:lastModifiedBy>
  <dcterms:created xsi:type="dcterms:W3CDTF">2024-04-16T13:32:19Z</dcterms:created>
  <dcterms:modified xsi:type="dcterms:W3CDTF">2024-04-16T18:28:58Z</dcterms:modified>
</cp:coreProperties>
</file>