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CURSOS/CURSO DE TRADING ALGORÍTMICO/PRÁCTICAS/CLASES/Tendencial Oro/Optis Sergi/"/>
    </mc:Choice>
  </mc:AlternateContent>
  <xr:revisionPtr revIDLastSave="5527" documentId="8_{C731E9F7-277D-47AE-B73A-E3D80A988738}" xr6:coauthVersionLast="47" xr6:coauthVersionMax="47" xr10:uidLastSave="{9FEEE1CF-2D49-4ADF-B65D-F3B6D6BA8231}"/>
  <bookViews>
    <workbookView xWindow="-28920" yWindow="-120" windowWidth="29040" windowHeight="15720" xr2:uid="{87622A66-B005-4C27-99B3-2827634FA326}"/>
  </bookViews>
  <sheets>
    <sheet name="Opti_Salidas_+30_INS" sheetId="8" r:id="rId1"/>
    <sheet name="Opti_Salidas_+30_OOS" sheetId="7" r:id="rId2"/>
    <sheet name="Opti_Salidas_+30_ALL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8" l="1"/>
  <c r="AI4" i="8"/>
  <c r="AI5" i="8"/>
  <c r="AI15" i="8"/>
  <c r="AI6" i="8"/>
  <c r="AI26" i="8"/>
  <c r="AI7" i="8"/>
  <c r="AI28" i="8"/>
  <c r="AI9" i="8"/>
  <c r="AI8" i="8"/>
  <c r="AI14" i="8"/>
  <c r="AI3" i="8"/>
  <c r="AI17" i="8"/>
  <c r="AI10" i="8"/>
  <c r="AI16" i="8"/>
  <c r="AI11" i="8"/>
  <c r="AI13" i="8"/>
  <c r="AI21" i="8"/>
  <c r="AI20" i="8"/>
  <c r="AI23" i="8"/>
  <c r="AI24" i="8"/>
  <c r="AI25" i="8"/>
  <c r="AI12" i="8"/>
  <c r="AI19" i="8"/>
  <c r="AI18" i="8"/>
  <c r="AI22" i="8"/>
  <c r="AI27" i="8"/>
  <c r="AI30" i="8"/>
  <c r="AI29" i="8"/>
  <c r="AI31" i="8"/>
  <c r="AI32" i="8"/>
  <c r="AI34" i="8"/>
  <c r="AI33" i="8"/>
  <c r="AH2" i="8"/>
  <c r="AH4" i="8"/>
  <c r="AH5" i="8"/>
  <c r="AH15" i="8"/>
  <c r="AH6" i="8"/>
  <c r="AH26" i="8"/>
  <c r="AH7" i="8"/>
  <c r="AH28" i="8"/>
  <c r="AH9" i="8"/>
  <c r="AH8" i="8"/>
  <c r="AH14" i="8"/>
  <c r="AH3" i="8"/>
  <c r="AH17" i="8"/>
  <c r="AH10" i="8"/>
  <c r="AH16" i="8"/>
  <c r="AH11" i="8"/>
  <c r="AH13" i="8"/>
  <c r="AH21" i="8"/>
  <c r="AH20" i="8"/>
  <c r="AH23" i="8"/>
  <c r="AH24" i="8"/>
  <c r="AH25" i="8"/>
  <c r="AH12" i="8"/>
  <c r="AH19" i="8"/>
  <c r="AH18" i="8"/>
  <c r="AH22" i="8"/>
  <c r="AH27" i="8"/>
  <c r="AH30" i="8"/>
  <c r="AH29" i="8"/>
  <c r="AH31" i="8"/>
  <c r="AH32" i="8"/>
  <c r="AH34" i="8"/>
  <c r="AH33" i="8"/>
  <c r="AF2" i="8"/>
  <c r="AF4" i="8"/>
  <c r="AF5" i="8"/>
  <c r="AF15" i="8"/>
  <c r="AF6" i="8"/>
  <c r="AF26" i="8"/>
  <c r="AF7" i="8"/>
  <c r="AF28" i="8"/>
  <c r="AF9" i="8"/>
  <c r="AF8" i="8"/>
  <c r="AF14" i="8"/>
  <c r="AF3" i="8"/>
  <c r="AF17" i="8"/>
  <c r="AF10" i="8"/>
  <c r="AF16" i="8"/>
  <c r="AF11" i="8"/>
  <c r="AF13" i="8"/>
  <c r="AF21" i="8"/>
  <c r="AF20" i="8"/>
  <c r="AF23" i="8"/>
  <c r="AF24" i="8"/>
  <c r="AF25" i="8"/>
  <c r="AF12" i="8"/>
  <c r="AF19" i="8"/>
  <c r="AF18" i="8"/>
  <c r="AF22" i="8"/>
  <c r="AF27" i="8"/>
  <c r="AF30" i="8"/>
  <c r="AF29" i="8"/>
  <c r="AF31" i="8"/>
  <c r="AF32" i="8"/>
  <c r="AF34" i="8"/>
  <c r="AF33" i="8"/>
  <c r="AI8" i="7"/>
  <c r="AI2" i="7"/>
  <c r="AI3" i="7"/>
  <c r="AI5" i="7"/>
  <c r="AI6" i="7"/>
  <c r="AI4" i="7"/>
  <c r="AI7" i="7"/>
  <c r="AI10" i="7"/>
  <c r="AI9" i="7"/>
  <c r="AI11" i="7"/>
  <c r="AI13" i="7"/>
  <c r="AI12" i="7"/>
  <c r="AI14" i="7"/>
  <c r="AI19" i="7"/>
  <c r="AI15" i="7"/>
  <c r="AI18" i="7"/>
  <c r="AI17" i="7"/>
  <c r="AI20" i="7"/>
  <c r="AI22" i="7"/>
  <c r="AI21" i="7"/>
  <c r="AI23" i="7"/>
  <c r="AI25" i="7"/>
  <c r="AI26" i="7"/>
  <c r="AI16" i="7"/>
  <c r="AI24" i="7"/>
  <c r="AI28" i="7"/>
  <c r="AI27" i="7"/>
  <c r="AI29" i="7"/>
  <c r="AI31" i="7"/>
  <c r="AI30" i="7"/>
  <c r="AI32" i="7"/>
  <c r="AI33" i="7"/>
  <c r="AI34" i="7"/>
  <c r="AH8" i="7"/>
  <c r="AH2" i="7"/>
  <c r="AH3" i="7"/>
  <c r="AH5" i="7"/>
  <c r="AH6" i="7"/>
  <c r="AH4" i="7"/>
  <c r="AH7" i="7"/>
  <c r="AH10" i="7"/>
  <c r="AH9" i="7"/>
  <c r="AH11" i="7"/>
  <c r="AH13" i="7"/>
  <c r="AH12" i="7"/>
  <c r="AH14" i="7"/>
  <c r="AH19" i="7"/>
  <c r="AH15" i="7"/>
  <c r="AH18" i="7"/>
  <c r="AH17" i="7"/>
  <c r="AH20" i="7"/>
  <c r="AH22" i="7"/>
  <c r="AH21" i="7"/>
  <c r="AH23" i="7"/>
  <c r="AH25" i="7"/>
  <c r="AH26" i="7"/>
  <c r="AH16" i="7"/>
  <c r="AH24" i="7"/>
  <c r="AH28" i="7"/>
  <c r="AH27" i="7"/>
  <c r="AH29" i="7"/>
  <c r="AH31" i="7"/>
  <c r="AH30" i="7"/>
  <c r="AH32" i="7"/>
  <c r="AH33" i="7"/>
  <c r="AH34" i="7"/>
  <c r="AF8" i="7"/>
  <c r="AF2" i="7"/>
  <c r="AF3" i="7"/>
  <c r="AF5" i="7"/>
  <c r="AF6" i="7"/>
  <c r="AF4" i="7"/>
  <c r="AF7" i="7"/>
  <c r="AF10" i="7"/>
  <c r="AF9" i="7"/>
  <c r="AF11" i="7"/>
  <c r="AF13" i="7"/>
  <c r="AF12" i="7"/>
  <c r="AF14" i="7"/>
  <c r="AF19" i="7"/>
  <c r="AF15" i="7"/>
  <c r="AF18" i="7"/>
  <c r="AF17" i="7"/>
  <c r="AF20" i="7"/>
  <c r="AF22" i="7"/>
  <c r="AF21" i="7"/>
  <c r="AF23" i="7"/>
  <c r="AF25" i="7"/>
  <c r="AF26" i="7"/>
  <c r="AF16" i="7"/>
  <c r="AF24" i="7"/>
  <c r="AF28" i="7"/>
  <c r="AF27" i="7"/>
  <c r="AF29" i="7"/>
  <c r="AF31" i="7"/>
  <c r="AF30" i="7"/>
  <c r="AF32" i="7"/>
  <c r="AF33" i="7"/>
  <c r="AF34" i="7"/>
  <c r="AI4" i="5"/>
  <c r="AI23" i="5"/>
  <c r="AI26" i="5"/>
  <c r="AI29" i="5"/>
  <c r="AI3" i="5"/>
  <c r="AI2" i="5"/>
  <c r="AI8" i="5"/>
  <c r="AI27" i="5"/>
  <c r="AI28" i="5"/>
  <c r="AI14" i="5"/>
  <c r="AI11" i="5"/>
  <c r="AI22" i="5"/>
  <c r="AI10" i="5"/>
  <c r="AI15" i="5"/>
  <c r="AI12" i="5"/>
  <c r="AI21" i="5"/>
  <c r="AI5" i="5"/>
  <c r="AI16" i="5"/>
  <c r="AI17" i="5"/>
  <c r="AI18" i="5"/>
  <c r="AI20" i="5"/>
  <c r="AI13" i="5"/>
  <c r="AI6" i="5"/>
  <c r="AI9" i="5"/>
  <c r="AI24" i="5"/>
  <c r="AI7" i="5"/>
  <c r="AI25" i="5"/>
  <c r="AI19" i="5"/>
  <c r="AI30" i="5"/>
  <c r="AI31" i="5"/>
  <c r="AI32" i="5"/>
  <c r="AI33" i="5"/>
  <c r="AI34" i="5"/>
  <c r="AH4" i="5"/>
  <c r="AH23" i="5"/>
  <c r="AH26" i="5"/>
  <c r="AH29" i="5"/>
  <c r="AH3" i="5"/>
  <c r="AH2" i="5"/>
  <c r="AH8" i="5"/>
  <c r="AH27" i="5"/>
  <c r="AH28" i="5"/>
  <c r="AH14" i="5"/>
  <c r="AH11" i="5"/>
  <c r="AH22" i="5"/>
  <c r="AH10" i="5"/>
  <c r="AH15" i="5"/>
  <c r="AH12" i="5"/>
  <c r="AH21" i="5"/>
  <c r="AH5" i="5"/>
  <c r="AH16" i="5"/>
  <c r="AH17" i="5"/>
  <c r="AH18" i="5"/>
  <c r="AH20" i="5"/>
  <c r="AH13" i="5"/>
  <c r="AH6" i="5"/>
  <c r="AH9" i="5"/>
  <c r="AH24" i="5"/>
  <c r="AH7" i="5"/>
  <c r="AH25" i="5"/>
  <c r="AH19" i="5"/>
  <c r="AH30" i="5"/>
  <c r="AH31" i="5"/>
  <c r="AH32" i="5"/>
  <c r="AH33" i="5"/>
  <c r="AH34" i="5"/>
  <c r="AF4" i="5"/>
  <c r="AF23" i="5"/>
  <c r="AF26" i="5"/>
  <c r="AF29" i="5"/>
  <c r="AF3" i="5"/>
  <c r="AF2" i="5"/>
  <c r="AF8" i="5"/>
  <c r="AF27" i="5"/>
  <c r="AF28" i="5"/>
  <c r="AF14" i="5"/>
  <c r="AF11" i="5"/>
  <c r="AF22" i="5"/>
  <c r="AF10" i="5"/>
  <c r="AF15" i="5"/>
  <c r="AF12" i="5"/>
  <c r="AF21" i="5"/>
  <c r="AF5" i="5"/>
  <c r="AF16" i="5"/>
  <c r="AF17" i="5"/>
  <c r="AF18" i="5"/>
  <c r="AF20" i="5"/>
  <c r="AF13" i="5"/>
  <c r="AF6" i="5"/>
  <c r="AF9" i="5"/>
  <c r="AF24" i="5"/>
  <c r="AF7" i="5"/>
  <c r="AF25" i="5"/>
  <c r="AF19" i="5"/>
  <c r="AF30" i="5"/>
  <c r="AF31" i="5"/>
  <c r="AF32" i="5"/>
  <c r="AF33" i="5"/>
  <c r="AF34" i="5"/>
  <c r="AE4" i="5"/>
  <c r="AE23" i="5"/>
  <c r="AE26" i="5"/>
  <c r="AE29" i="5"/>
  <c r="AE3" i="5"/>
  <c r="AE2" i="5"/>
  <c r="AE8" i="5"/>
  <c r="AE27" i="5"/>
  <c r="AE28" i="5"/>
  <c r="AE14" i="5"/>
  <c r="AE11" i="5"/>
  <c r="AE22" i="5"/>
  <c r="AE10" i="5"/>
  <c r="AE15" i="5"/>
  <c r="AE12" i="5"/>
  <c r="AE21" i="5"/>
  <c r="AE5" i="5"/>
  <c r="AE16" i="5"/>
  <c r="AE17" i="5"/>
  <c r="AE18" i="5"/>
  <c r="AE20" i="5"/>
  <c r="AE13" i="5"/>
  <c r="AE6" i="5"/>
  <c r="AE9" i="5"/>
  <c r="AE24" i="5"/>
  <c r="AE7" i="5"/>
  <c r="AE25" i="5"/>
  <c r="AE19" i="5"/>
  <c r="AE30" i="5"/>
  <c r="AE31" i="5"/>
  <c r="AE32" i="5"/>
  <c r="AE33" i="5"/>
  <c r="AE34" i="5"/>
  <c r="AE8" i="7"/>
  <c r="AE2" i="7"/>
  <c r="AE3" i="7"/>
  <c r="AE5" i="7"/>
  <c r="AE6" i="7"/>
  <c r="AE4" i="7"/>
  <c r="AJ4" i="7" s="1"/>
  <c r="AK4" i="7" s="1"/>
  <c r="AE7" i="7"/>
  <c r="AJ7" i="7" s="1"/>
  <c r="AK7" i="7" s="1"/>
  <c r="AE10" i="7"/>
  <c r="AE9" i="7"/>
  <c r="AE11" i="7"/>
  <c r="AE13" i="7"/>
  <c r="AE12" i="7"/>
  <c r="AE14" i="7"/>
  <c r="AE19" i="7"/>
  <c r="AE15" i="7"/>
  <c r="AE18" i="7"/>
  <c r="AE17" i="7"/>
  <c r="AE20" i="7"/>
  <c r="AJ20" i="7" s="1"/>
  <c r="AK20" i="7" s="1"/>
  <c r="AE22" i="7"/>
  <c r="AJ22" i="7" s="1"/>
  <c r="AK22" i="7" s="1"/>
  <c r="AE21" i="7"/>
  <c r="AE23" i="7"/>
  <c r="AE25" i="7"/>
  <c r="AE26" i="7"/>
  <c r="AE16" i="7"/>
  <c r="AE24" i="7"/>
  <c r="AE28" i="7"/>
  <c r="AE27" i="7"/>
  <c r="AE29" i="7"/>
  <c r="AE31" i="7"/>
  <c r="AE30" i="7"/>
  <c r="AJ30" i="7" s="1"/>
  <c r="AK30" i="7" s="1"/>
  <c r="AE32" i="7"/>
  <c r="AJ32" i="7" s="1"/>
  <c r="AK32" i="7" s="1"/>
  <c r="AE33" i="7"/>
  <c r="AE34" i="7"/>
  <c r="AE2" i="8"/>
  <c r="AE4" i="8"/>
  <c r="AE5" i="8"/>
  <c r="AE15" i="8"/>
  <c r="AE6" i="8"/>
  <c r="AE26" i="8"/>
  <c r="AE7" i="8"/>
  <c r="AE28" i="8"/>
  <c r="AE9" i="8"/>
  <c r="AE8" i="8"/>
  <c r="AE14" i="8"/>
  <c r="AE3" i="8"/>
  <c r="AE17" i="8"/>
  <c r="AE10" i="8"/>
  <c r="AE16" i="8"/>
  <c r="AE11" i="8"/>
  <c r="AE13" i="8"/>
  <c r="AE21" i="8"/>
  <c r="AE20" i="8"/>
  <c r="AE23" i="8"/>
  <c r="AE24" i="8"/>
  <c r="AE25" i="8"/>
  <c r="AE12" i="8"/>
  <c r="AE19" i="8"/>
  <c r="AE18" i="8"/>
  <c r="AE22" i="8"/>
  <c r="AE27" i="8"/>
  <c r="AE30" i="8"/>
  <c r="AE29" i="8"/>
  <c r="AE31" i="8"/>
  <c r="AE32" i="8"/>
  <c r="AE34" i="8"/>
  <c r="AE33" i="8"/>
  <c r="AJ8" i="7" l="1"/>
  <c r="AK8" i="7" s="1"/>
  <c r="AJ24" i="7"/>
  <c r="AK24" i="7" s="1"/>
  <c r="AJ14" i="7"/>
  <c r="AK14" i="7" s="1"/>
  <c r="AJ33" i="7"/>
  <c r="AK33" i="7" s="1"/>
  <c r="AJ21" i="7"/>
  <c r="AK21" i="7" s="1"/>
  <c r="AJ10" i="7"/>
  <c r="AK10" i="7" s="1"/>
  <c r="AJ9" i="8"/>
  <c r="AK9" i="8" s="1"/>
  <c r="AJ25" i="8"/>
  <c r="AK25" i="8" s="1"/>
  <c r="AJ8" i="8"/>
  <c r="AK8" i="8" s="1"/>
  <c r="AJ4" i="8"/>
  <c r="AK4" i="8" s="1"/>
  <c r="AJ22" i="8"/>
  <c r="AK22" i="8" s="1"/>
  <c r="AJ10" i="8"/>
  <c r="AK10" i="8" s="1"/>
  <c r="AJ11" i="8"/>
  <c r="AK11" i="8" s="1"/>
  <c r="AJ19" i="8"/>
  <c r="AK19" i="8" s="1"/>
  <c r="AJ3" i="8"/>
  <c r="AK3" i="8" s="1"/>
  <c r="AJ30" i="8"/>
  <c r="AK30" i="8" s="1"/>
  <c r="AJ15" i="8"/>
  <c r="AK15" i="8" s="1"/>
  <c r="AJ18" i="8"/>
  <c r="AK18" i="8" s="1"/>
  <c r="AJ17" i="8"/>
  <c r="AK17" i="8" s="1"/>
  <c r="AJ2" i="8"/>
  <c r="AK2" i="8" s="1"/>
  <c r="AJ30" i="5"/>
  <c r="AK30" i="5" s="1"/>
  <c r="AJ12" i="5"/>
  <c r="AK12" i="5" s="1"/>
  <c r="AJ26" i="5"/>
  <c r="AK26" i="5" s="1"/>
  <c r="AJ25" i="5"/>
  <c r="AK25" i="5" s="1"/>
  <c r="AJ3" i="5"/>
  <c r="AK3" i="5" s="1"/>
  <c r="AJ14" i="5"/>
  <c r="AK14" i="5" s="1"/>
  <c r="AJ5" i="5"/>
  <c r="AK5" i="5" s="1"/>
  <c r="AJ13" i="5"/>
  <c r="AK13" i="5" s="1"/>
  <c r="AJ19" i="5"/>
  <c r="AK19" i="5" s="1"/>
  <c r="AJ21" i="5"/>
  <c r="AK21" i="5" s="1"/>
  <c r="AJ29" i="5"/>
  <c r="AK29" i="5" s="1"/>
  <c r="AJ24" i="8"/>
  <c r="AK24" i="8" s="1"/>
  <c r="AJ34" i="8"/>
  <c r="AK34" i="8" s="1"/>
  <c r="AJ23" i="8"/>
  <c r="AK23" i="8" s="1"/>
  <c r="AJ28" i="8"/>
  <c r="AK28" i="8" s="1"/>
  <c r="AJ20" i="8"/>
  <c r="AK20" i="8" s="1"/>
  <c r="AJ7" i="8"/>
  <c r="AK7" i="8" s="1"/>
  <c r="AJ33" i="8"/>
  <c r="AK33" i="8" s="1"/>
  <c r="AJ32" i="8"/>
  <c r="AK32" i="8" s="1"/>
  <c r="AJ31" i="8"/>
  <c r="AK31" i="8" s="1"/>
  <c r="AJ21" i="8"/>
  <c r="AK21" i="8" s="1"/>
  <c r="AJ26" i="8"/>
  <c r="AK26" i="8" s="1"/>
  <c r="AJ29" i="8"/>
  <c r="AK29" i="8" s="1"/>
  <c r="AJ13" i="8"/>
  <c r="AK13" i="8" s="1"/>
  <c r="AJ6" i="8"/>
  <c r="AK6" i="8" s="1"/>
  <c r="AJ27" i="8"/>
  <c r="AK27" i="8" s="1"/>
  <c r="AJ16" i="8"/>
  <c r="AK16" i="8" s="1"/>
  <c r="AJ5" i="8"/>
  <c r="AK5" i="8" s="1"/>
  <c r="AJ12" i="8"/>
  <c r="AK12" i="8" s="1"/>
  <c r="AJ14" i="8"/>
  <c r="AK14" i="8" s="1"/>
  <c r="AJ6" i="7"/>
  <c r="AK6" i="7" s="1"/>
  <c r="AJ29" i="7"/>
  <c r="AK29" i="7" s="1"/>
  <c r="AJ18" i="7"/>
  <c r="AK18" i="7" s="1"/>
  <c r="AJ5" i="7"/>
  <c r="AK5" i="7" s="1"/>
  <c r="AJ17" i="7"/>
  <c r="AK17" i="7" s="1"/>
  <c r="AJ27" i="7"/>
  <c r="AK27" i="7" s="1"/>
  <c r="AJ15" i="7"/>
  <c r="AK15" i="7" s="1"/>
  <c r="AJ3" i="7"/>
  <c r="AK3" i="7" s="1"/>
  <c r="AJ31" i="7"/>
  <c r="AK31" i="7" s="1"/>
  <c r="AJ28" i="7"/>
  <c r="AK28" i="7" s="1"/>
  <c r="AJ19" i="7"/>
  <c r="AK19" i="7" s="1"/>
  <c r="AJ2" i="7"/>
  <c r="AK2" i="7" s="1"/>
  <c r="AJ16" i="7"/>
  <c r="AK16" i="7" s="1"/>
  <c r="AJ12" i="7"/>
  <c r="AK12" i="7" s="1"/>
  <c r="AJ13" i="7"/>
  <c r="AK13" i="7" s="1"/>
  <c r="AJ25" i="7"/>
  <c r="AK25" i="7" s="1"/>
  <c r="AJ11" i="7"/>
  <c r="AK11" i="7" s="1"/>
  <c r="AJ26" i="7"/>
  <c r="AK26" i="7" s="1"/>
  <c r="AJ34" i="7"/>
  <c r="AK34" i="7" s="1"/>
  <c r="AJ23" i="7"/>
  <c r="AK23" i="7" s="1"/>
  <c r="AJ9" i="7"/>
  <c r="AK9" i="7" s="1"/>
  <c r="AJ23" i="5"/>
  <c r="AK23" i="5" s="1"/>
  <c r="AJ15" i="5"/>
  <c r="AK15" i="5" s="1"/>
  <c r="AJ24" i="5"/>
  <c r="AK24" i="5" s="1"/>
  <c r="AJ10" i="5"/>
  <c r="AK10" i="5" s="1"/>
  <c r="AJ4" i="5"/>
  <c r="AK4" i="5" s="1"/>
  <c r="AJ7" i="5"/>
  <c r="AK7" i="5" s="1"/>
  <c r="AJ9" i="5"/>
  <c r="AK9" i="5" s="1"/>
  <c r="AJ22" i="5"/>
  <c r="AK22" i="5" s="1"/>
  <c r="AJ6" i="5"/>
  <c r="AK6" i="5" s="1"/>
  <c r="AJ11" i="5"/>
  <c r="AK11" i="5" s="1"/>
  <c r="AJ34" i="5"/>
  <c r="AK34" i="5" s="1"/>
  <c r="AJ20" i="5"/>
  <c r="AK20" i="5" s="1"/>
  <c r="AJ28" i="5"/>
  <c r="AK28" i="5" s="1"/>
  <c r="AJ33" i="5"/>
  <c r="AK33" i="5" s="1"/>
  <c r="AJ18" i="5"/>
  <c r="AK18" i="5" s="1"/>
  <c r="AJ27" i="5"/>
  <c r="AK27" i="5" s="1"/>
  <c r="AJ32" i="5"/>
  <c r="AK32" i="5" s="1"/>
  <c r="AJ17" i="5"/>
  <c r="AK17" i="5" s="1"/>
  <c r="AJ8" i="5"/>
  <c r="AK8" i="5" s="1"/>
  <c r="AJ31" i="5"/>
  <c r="AK31" i="5" s="1"/>
  <c r="AJ16" i="5"/>
  <c r="AK16" i="5" s="1"/>
  <c r="AJ2" i="5"/>
  <c r="AK2" i="5" s="1"/>
</calcChain>
</file>

<file path=xl/sharedStrings.xml><?xml version="1.0" encoding="utf-8"?>
<sst xmlns="http://schemas.openxmlformats.org/spreadsheetml/2006/main" count="163" uniqueCount="57">
  <si>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</si>
  <si>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</si>
  <si>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</si>
  <si>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</si>
  <si>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</si>
  <si>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</si>
  <si>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</si>
  <si>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</si>
  <si>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</si>
  <si>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</si>
  <si>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</si>
  <si>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</si>
  <si>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</si>
  <si>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</si>
  <si>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</si>
  <si>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</si>
  <si>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</si>
  <si>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</si>
  <si>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</si>
  <si>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</si>
  <si>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</si>
  <si>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</si>
  <si>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</si>
  <si>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</si>
  <si>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</si>
  <si>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</si>
  <si>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</si>
  <si>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</si>
  <si>
    <t>MEJORES</t>
  </si>
  <si>
    <t>VAR TS Index</t>
  </si>
  <si>
    <t>VAR Expectancy Score</t>
  </si>
  <si>
    <t>Columna1</t>
  </si>
  <si>
    <t>VAR Perfect Profit Correlation</t>
  </si>
  <si>
    <t>VAR Robustness Index</t>
  </si>
  <si>
    <t>SUMA</t>
  </si>
  <si>
    <t>SUMA SIN ROB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</si>
  <si>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</si>
  <si>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</si>
  <si>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</si>
  <si>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</si>
  <si>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</si>
  <si>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</si>
  <si>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</si>
  <si>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</si>
  <si>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</si>
  <si>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</si>
  <si>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</si>
  <si>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Nivel de confianza(95.0%)</t>
  </si>
  <si>
    <t xml:space="preserve"> 04º/ </t>
  </si>
  <si>
    <t xml:space="preserve"> 01º/ 01º</t>
  </si>
  <si>
    <t xml:space="preserve"> 02º/ 02º</t>
  </si>
  <si>
    <t xml:space="preserve"> 03º/ 03º</t>
  </si>
  <si>
    <t xml:space="preserve"> 05º/ 04º</t>
  </si>
  <si>
    <t>CURSO-Salidas_02: Salida</t>
  </si>
  <si>
    <t xml:space="preserve"> 04º/ 04º</t>
  </si>
  <si>
    <t xml:space="preserve"> 05º/ 05º</t>
  </si>
  <si>
    <t xml:space="preserve"> / 05º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</si>
</sst>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_-* #,##0.00_€_-;\-* #,##0.00_€_-;_-* &quot;-&quot;??_€_-;_-@_-"/>
    <numFmt numFmtId="165" formatCode="_-* #,##0.00&quot;€&quot;_-;\-* #,##0.00&quot;€&quot;_-;_-* &quot;-&quot;??&quot;€&quot;_-;_-@_-"/>
    <numFmt numFmtId="166" formatCode="#,##0.00_ ;[Red]\-#,##0.00\ "/>
    <numFmt numFmtId="167" formatCode="&quot;$&quot;#,##0.0_);[Red]\(&quot;$&quot;#,##0.0\)"/>
    <numFmt numFmtId="168" formatCode="[$$-409]#,##0.00_);[Red]\([$$-409]#,##0.00\)"/>
    <numFmt numFmtId="169" formatCode="#,##0.0_);[Red]\(#,##0.0\)"/>
  </numFmts>
  <fonts count="7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  <font>
      <sz val="11"/>
      <name val="Myriad Pro"/>
      <family val="2"/>
    </font>
    <font>
      <b/>
      <sz val="11"/>
      <color theme="1"/>
      <name val="Myriad Pro"/>
      <family val="2"/>
      <scheme val="minor"/>
    </font>
    <font>
      <sz val="11"/>
      <name val="Myriad Pro"/>
      <family val="2"/>
      <scheme val="minor"/>
    </font>
    <font>
      <b/>
      <sz val="11"/>
      <name val="Myriad Pro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1" applyNumberFormat="1" applyFont="1" applyFill="1" applyAlignment="1">
      <alignment horizontal="center" vertical="center" wrapText="1"/>
    </xf>
    <xf numFmtId="0" fontId="2" fillId="0" borderId="0" xfId="2" applyNumberFormat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 wrapText="1"/>
    </xf>
    <xf numFmtId="6" fontId="2" fillId="0" borderId="0" xfId="2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2" fillId="0" borderId="0" xfId="2" applyNumberFormat="1" applyFont="1" applyFill="1" applyBorder="1" applyAlignment="1">
      <alignment horizontal="center" vertical="center"/>
    </xf>
    <xf numFmtId="168" fontId="2" fillId="0" borderId="0" xfId="2" applyNumberFormat="1" applyFont="1" applyFill="1" applyBorder="1" applyAlignment="1">
      <alignment horizontal="center" vertical="center"/>
    </xf>
    <xf numFmtId="38" fontId="2" fillId="0" borderId="0" xfId="1" applyNumberFormat="1" applyFont="1" applyFill="1" applyBorder="1" applyAlignment="1">
      <alignment horizontal="center" vertical="center"/>
    </xf>
    <xf numFmtId="38" fontId="2" fillId="0" borderId="0" xfId="2" applyNumberFormat="1" applyFont="1" applyFill="1" applyBorder="1" applyAlignment="1">
      <alignment horizontal="center" vertical="center"/>
    </xf>
    <xf numFmtId="6" fontId="2" fillId="0" borderId="0" xfId="2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168" fontId="2" fillId="0" borderId="0" xfId="2" applyNumberFormat="1" applyFont="1" applyFill="1" applyAlignment="1">
      <alignment horizontal="center" vertical="center"/>
    </xf>
    <xf numFmtId="38" fontId="2" fillId="0" borderId="0" xfId="1" applyNumberFormat="1" applyFont="1" applyFill="1" applyAlignment="1">
      <alignment horizontal="center" vertical="center"/>
    </xf>
    <xf numFmtId="38" fontId="2" fillId="0" borderId="0" xfId="2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 wrapText="1"/>
    </xf>
    <xf numFmtId="0" fontId="2" fillId="3" borderId="0" xfId="1" applyNumberFormat="1" applyFont="1" applyFill="1" applyAlignment="1">
      <alignment horizontal="center" vertical="center" wrapText="1"/>
    </xf>
    <xf numFmtId="0" fontId="3" fillId="0" borderId="0" xfId="2" applyNumberFormat="1" applyFont="1" applyAlignment="1">
      <alignment horizontal="center" vertical="center" wrapText="1"/>
    </xf>
    <xf numFmtId="0" fontId="3" fillId="4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6" fontId="2" fillId="4" borderId="0" xfId="2" applyNumberFormat="1" applyFont="1" applyFill="1" applyBorder="1" applyAlignment="1">
      <alignment horizontal="center" vertical="center"/>
    </xf>
    <xf numFmtId="166" fontId="2" fillId="4" borderId="0" xfId="1" applyNumberFormat="1" applyFont="1" applyFill="1" applyBorder="1" applyAlignment="1">
      <alignment horizontal="center" vertical="center"/>
    </xf>
    <xf numFmtId="167" fontId="2" fillId="4" borderId="0" xfId="2" applyNumberFormat="1" applyFont="1" applyFill="1" applyBorder="1" applyAlignment="1">
      <alignment horizontal="center" vertical="center"/>
    </xf>
    <xf numFmtId="168" fontId="2" fillId="4" borderId="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6" fontId="2" fillId="2" borderId="0" xfId="2" applyNumberFormat="1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167" fontId="2" fillId="2" borderId="0" xfId="2" applyNumberFormat="1" applyFont="1" applyFill="1" applyAlignment="1">
      <alignment horizontal="center" vertical="center"/>
    </xf>
    <xf numFmtId="168" fontId="2" fillId="2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6" fontId="2" fillId="3" borderId="0" xfId="2" applyNumberFormat="1" applyFon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167" fontId="2" fillId="3" borderId="0" xfId="2" applyNumberFormat="1" applyFont="1" applyFill="1" applyAlignment="1">
      <alignment horizontal="center" vertical="center"/>
    </xf>
    <xf numFmtId="168" fontId="2" fillId="3" borderId="0" xfId="2" applyNumberFormat="1" applyFont="1" applyFill="1" applyAlignment="1">
      <alignment horizontal="center" vertical="center"/>
    </xf>
    <xf numFmtId="6" fontId="2" fillId="2" borderId="0" xfId="2" applyNumberFormat="1" applyFont="1" applyFill="1" applyBorder="1" applyAlignment="1">
      <alignment horizontal="center" vertical="center"/>
    </xf>
    <xf numFmtId="166" fontId="2" fillId="2" borderId="0" xfId="1" applyNumberFormat="1" applyFont="1" applyFill="1" applyBorder="1" applyAlignment="1">
      <alignment horizontal="center" vertical="center"/>
    </xf>
    <xf numFmtId="167" fontId="2" fillId="2" borderId="0" xfId="2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38" fontId="5" fillId="5" borderId="2" xfId="0" applyNumberFormat="1" applyFont="1" applyFill="1" applyBorder="1" applyAlignment="1">
      <alignment horizontal="center" vertical="center" wrapText="1"/>
    </xf>
    <xf numFmtId="6" fontId="0" fillId="5" borderId="2" xfId="0" applyNumberForma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40" fontId="5" fillId="5" borderId="2" xfId="0" applyNumberFormat="1" applyFont="1" applyFill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40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8" fontId="5" fillId="5" borderId="1" xfId="0" applyNumberFormat="1" applyFont="1" applyFill="1" applyBorder="1" applyAlignment="1">
      <alignment horizontal="center" vertical="center" wrapText="1"/>
    </xf>
    <xf numFmtId="6" fontId="0" fillId="5" borderId="1" xfId="0" applyNumberFormat="1" applyFill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40" fontId="5" fillId="5" borderId="1" xfId="0" applyNumberFormat="1" applyFont="1" applyFill="1" applyBorder="1" applyAlignment="1">
      <alignment horizontal="center" vertical="center" wrapText="1"/>
    </xf>
    <xf numFmtId="38" fontId="6" fillId="6" borderId="1" xfId="0" applyNumberFormat="1" applyFont="1" applyFill="1" applyBorder="1" applyAlignment="1">
      <alignment horizontal="center" vertical="center" wrapText="1"/>
    </xf>
    <xf numFmtId="40" fontId="6" fillId="7" borderId="1" xfId="0" applyNumberFormat="1" applyFont="1" applyFill="1" applyBorder="1" applyAlignment="1">
      <alignment horizontal="center" vertical="center" wrapText="1"/>
    </xf>
    <xf numFmtId="38" fontId="6" fillId="8" borderId="1" xfId="0" applyNumberFormat="1" applyFont="1" applyFill="1" applyBorder="1" applyAlignment="1">
      <alignment horizontal="center" vertical="center" wrapText="1"/>
    </xf>
    <xf numFmtId="40" fontId="5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0" fontId="5" fillId="10" borderId="1" xfId="0" applyNumberFormat="1" applyFont="1" applyFill="1" applyBorder="1" applyAlignment="1">
      <alignment horizontal="center" vertical="center" wrapText="1"/>
    </xf>
    <xf numFmtId="40" fontId="5" fillId="0" borderId="3" xfId="0" applyNumberFormat="1" applyFont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6" fontId="2" fillId="9" borderId="0" xfId="1" applyNumberFormat="1" applyFont="1" applyFill="1" applyAlignment="1">
      <alignment horizontal="center" vertical="center"/>
    </xf>
    <xf numFmtId="166" fontId="2" fillId="11" borderId="0" xfId="1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6" fontId="2" fillId="11" borderId="0" xfId="2" applyNumberFormat="1" applyFont="1" applyFill="1" applyAlignment="1">
      <alignment horizontal="center" vertical="center"/>
    </xf>
    <xf numFmtId="167" fontId="2" fillId="11" borderId="0" xfId="2" applyNumberFormat="1" applyFont="1" applyFill="1" applyAlignment="1">
      <alignment horizontal="center" vertical="center"/>
    </xf>
    <xf numFmtId="168" fontId="2" fillId="11" borderId="0" xfId="2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6" fontId="2" fillId="9" borderId="0" xfId="2" applyNumberFormat="1" applyFont="1" applyFill="1" applyAlignment="1">
      <alignment horizontal="center" vertical="center"/>
    </xf>
    <xf numFmtId="167" fontId="2" fillId="9" borderId="0" xfId="2" applyNumberFormat="1" applyFont="1" applyFill="1" applyAlignment="1">
      <alignment horizontal="center" vertical="center"/>
    </xf>
    <xf numFmtId="168" fontId="2" fillId="9" borderId="0" xfId="2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2" applyNumberFormat="1" applyFont="1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40" fontId="2" fillId="0" borderId="0" xfId="2" applyNumberFormat="1" applyFont="1" applyFill="1" applyBorder="1" applyAlignment="1">
      <alignment horizontal="center" vertical="center"/>
    </xf>
    <xf numFmtId="40" fontId="2" fillId="0" borderId="0" xfId="2" applyNumberFormat="1" applyFont="1" applyFill="1" applyAlignment="1">
      <alignment horizontal="center" vertical="center"/>
    </xf>
    <xf numFmtId="40" fontId="2" fillId="4" borderId="0" xfId="2" applyNumberFormat="1" applyFont="1" applyFill="1" applyBorder="1" applyAlignment="1">
      <alignment horizontal="center" vertical="center"/>
    </xf>
    <xf numFmtId="40" fontId="2" fillId="2" borderId="0" xfId="2" applyNumberFormat="1" applyFont="1" applyFill="1" applyAlignment="1">
      <alignment horizontal="center" vertical="center"/>
    </xf>
    <xf numFmtId="40" fontId="2" fillId="3" borderId="0" xfId="2" applyNumberFormat="1" applyFont="1" applyFill="1" applyAlignment="1">
      <alignment horizontal="center" vertical="center"/>
    </xf>
    <xf numFmtId="168" fontId="2" fillId="2" borderId="0" xfId="2" applyNumberFormat="1" applyFont="1" applyFill="1" applyBorder="1" applyAlignment="1">
      <alignment horizontal="center" vertical="center"/>
    </xf>
    <xf numFmtId="40" fontId="2" fillId="2" borderId="0" xfId="1" applyNumberFormat="1" applyFont="1" applyFill="1" applyAlignment="1">
      <alignment horizontal="center" vertical="center"/>
    </xf>
    <xf numFmtId="40" fontId="2" fillId="0" borderId="0" xfId="1" applyNumberFormat="1" applyFont="1" applyFill="1" applyAlignment="1">
      <alignment horizontal="center" vertical="center"/>
    </xf>
    <xf numFmtId="40" fontId="2" fillId="4" borderId="0" xfId="1" applyNumberFormat="1" applyFont="1" applyFill="1" applyBorder="1" applyAlignment="1">
      <alignment horizontal="center" vertical="center"/>
    </xf>
    <xf numFmtId="40" fontId="2" fillId="0" borderId="0" xfId="1" applyNumberFormat="1" applyFont="1" applyFill="1" applyBorder="1" applyAlignment="1">
      <alignment horizontal="center" vertical="center"/>
    </xf>
    <xf numFmtId="40" fontId="2" fillId="3" borderId="0" xfId="1" applyNumberFormat="1" applyFont="1" applyFill="1" applyAlignment="1">
      <alignment horizontal="center" vertical="center"/>
    </xf>
    <xf numFmtId="40" fontId="2" fillId="11" borderId="0" xfId="1" applyNumberFormat="1" applyFont="1" applyFill="1" applyAlignment="1">
      <alignment horizontal="center" vertical="center"/>
    </xf>
    <xf numFmtId="40" fontId="2" fillId="11" borderId="0" xfId="2" applyNumberFormat="1" applyFont="1" applyFill="1" applyAlignment="1">
      <alignment horizontal="center" vertical="center"/>
    </xf>
    <xf numFmtId="40" fontId="2" fillId="9" borderId="0" xfId="1" applyNumberFormat="1" applyFont="1" applyFill="1" applyAlignment="1">
      <alignment horizontal="center" vertical="center"/>
    </xf>
    <xf numFmtId="40" fontId="2" fillId="9" borderId="0" xfId="2" applyNumberFormat="1" applyFont="1" applyFill="1" applyAlignment="1">
      <alignment horizontal="center" vertical="center"/>
    </xf>
  </cellXfs>
  <cellStyles count="3">
    <cellStyle name="Millares 2" xfId="1" xr:uid="{DBB278E2-12E4-4F5B-B6BF-684EED6510F8}"/>
    <cellStyle name="Moneda 2" xfId="2" xr:uid="{2E7E3E8F-DBC6-476D-A958-E8DC81898D0D}"/>
    <cellStyle name="Normal" xfId="0" builtinId="0"/>
  </cellStyles>
  <dxfs count="3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BBB59"/>
      <color rgb="FFF79646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C1DEAC-BC98-4758-8255-0222D3DAD5B4}" name="Opti_Salidas__30_INS" displayName="Opti_Salidas__30_INS" ref="A1:AK34" totalsRowShown="0" headerRowDxfId="279" dataDxfId="280" headerRowCellStyle="Moneda 2" dataCellStyle="Millares 2">
  <autoFilter ref="A1:AK34" xr:uid="{7DC1DEAC-BC98-4758-8255-0222D3DAD5B4}"/>
  <sortState xmlns:xlrd2="http://schemas.microsoft.com/office/spreadsheetml/2017/richdata2" ref="A2:AK34">
    <sortCondition descending="1" ref="AJ1:AJ34"/>
  </sortState>
  <tableColumns count="37">
    <tableColumn id="37" xr3:uid="{068662FD-DCE1-4629-8294-11BBFFEEB5AB}" name="MEJORES" dataDxfId="0" dataCellStyle="Millares 2"/>
    <tableColumn id="1" xr3:uid="{A5C78577-FA92-4CC9-B265-2567A02A6188}" name="CURSO-Salidas_02: Salida" dataDxfId="305"/>
    <tableColumn id="2" xr3:uid="{1DD3A5D6-00FE-4C85-83FF-055AC7B4C2DB}" name="Test" dataDxfId="304"/>
    <tableColumn id="3" xr3:uid="{8BFE3FB7-E8B0-48F1-9CF2-DF5F65485B9C}" name="All: Net Profit" dataDxfId="303"/>
    <tableColumn id="4" xr3:uid="{BDBA7CFF-10AD-47F3-A615-143D370262E0}" name="All: Gross Profit" dataDxfId="302" dataCellStyle="Moneda 2"/>
    <tableColumn id="5" xr3:uid="{CD538EE5-FF82-4456-9FC1-9D231135B04F}" name="All: Gross Loss" dataDxfId="301" dataCellStyle="Moneda 2"/>
    <tableColumn id="6" xr3:uid="{2C128C73-A26A-4DE9-B7A2-6F59B4B3752E}" name="All: Total Trades" dataDxfId="300" dataCellStyle="Moneda 2"/>
    <tableColumn id="7" xr3:uid="{6A540078-5C81-4B67-94F2-8793D4AACAF7}" name="All: % Profitable" dataDxfId="299"/>
    <tableColumn id="8" xr3:uid="{10614A9A-BEBF-41BB-9CAE-1DE2C87040EA}" name="All: Winning Trades" dataDxfId="298" dataCellStyle="Millares 2"/>
    <tableColumn id="9" xr3:uid="{B51BF22D-6003-49C7-A884-EAC124039D9F}" name="All: Losing Trades" dataDxfId="297"/>
    <tableColumn id="10" xr3:uid="{D9DF14D1-8A24-43FD-BBF7-9C207BBE9639}" name="All: Max Winning Trade" dataDxfId="296"/>
    <tableColumn id="11" xr3:uid="{608028DD-899A-4A7F-8EC1-C9432EEFF404}" name="All: Max Losing Trade" dataDxfId="295" dataCellStyle="Moneda 2"/>
    <tableColumn id="12" xr3:uid="{151109A0-A7C2-4A6D-826E-3C900FD576F9}" name="All: Avg Winning Trade" dataDxfId="294" dataCellStyle="Moneda 2"/>
    <tableColumn id="13" xr3:uid="{8CE063B5-BE01-44E6-9CF6-24AA33519FC5}" name="All: Avg Losing Trade" dataDxfId="293" dataCellStyle="Moneda 2"/>
    <tableColumn id="14" xr3:uid="{34222B96-310D-4B32-A552-9E76801E7B93}" name="All: Win/Loss Ratio" dataDxfId="292" dataCellStyle="Moneda 2"/>
    <tableColumn id="15" xr3:uid="{BA41E76B-F6EA-4485-810C-7569A4312279}" name="All: Avg Trade" dataDxfId="291" dataCellStyle="Millares 2"/>
    <tableColumn id="16" xr3:uid="{CDA2AB58-FB71-4D88-BB55-6D99C33B9AEF}" name="All: Max Consecutive Winners" dataDxfId="290" dataCellStyle="Moneda 2"/>
    <tableColumn id="17" xr3:uid="{33EEC32A-2CFB-4F0D-A0CB-FCBD030D2747}" name="All: Max Consecutive Losers" dataDxfId="289"/>
    <tableColumn id="18" xr3:uid="{92315B33-CFC9-4D59-9BBF-7BCE0D55AE8B}" name="All: Avg Bars in Winner" dataDxfId="288"/>
    <tableColumn id="19" xr3:uid="{B19F4C73-2E27-40EA-8B7A-6B2ADC7BF66E}" name="All: Avg Bars in Loser" dataDxfId="287"/>
    <tableColumn id="20" xr3:uid="{20DF79DC-A92A-4459-8098-54B825D298E2}" name="All: Max Intraday Drawdown" dataDxfId="286"/>
    <tableColumn id="21" xr3:uid="{DC7F3DCB-B74F-47FD-8217-565FBD940AD6}" name="All: ProfitFactor" dataDxfId="285" dataCellStyle="Moneda 2"/>
    <tableColumn id="22" xr3:uid="{692D1B8B-9CB5-4753-97A4-36FB77A10F89}" name="All: Max Contracts Held" dataDxfId="284" dataCellStyle="Millares 2"/>
    <tableColumn id="23" xr3:uid="{942AE2E4-57BB-40AA-B86D-BE04F1240B58}" name="All: Required Account Size" dataDxfId="283"/>
    <tableColumn id="24" xr3:uid="{437D2F35-4346-415C-84FE-38BE555ED0C8}" name="All: Return on Account" dataDxfId="282" dataCellStyle="Moneda 2"/>
    <tableColumn id="25" xr3:uid="{D73FDAE1-83CF-481D-A226-32D785D97D89}" name="All: TS Index" dataDxfId="212" dataCellStyle="Millares 2"/>
    <tableColumn id="26" xr3:uid="{25213811-6039-41E9-8E9F-2593F4CD8F89}" name="All: Expectancy Score" dataDxfId="210" dataCellStyle="Millares 2"/>
    <tableColumn id="27" xr3:uid="{3F8E7D1C-17DF-4D3C-9739-A3317271978C}" name="All: Pessimistic Return On Capital" dataDxfId="211" dataCellStyle="Millares 2"/>
    <tableColumn id="28" xr3:uid="{7D24145A-DF71-444A-9013-FF75B9EDF35D}" name="All: Perfect Profit Correlation" dataDxfId="281" dataCellStyle="Millares 2"/>
    <tableColumn id="29" xr3:uid="{FAECC760-0B69-40DB-8A93-980CB3042C83}" name="All: Robustness Index" dataDxfId="219" dataCellStyle="Moneda 2"/>
    <tableColumn id="30" xr3:uid="{0BE9A50D-F62E-4109-913F-5C826D8365AD}" name="VAR TS Index" dataDxfId="20" dataCellStyle="Millares 2">
      <calculatedColumnFormula>(Opti_Salidas__30_INS[[#This Row],[All: TS Index]]-Z$47) /ABS(Z$47)</calculatedColumnFormula>
    </tableColumn>
    <tableColumn id="31" xr3:uid="{CDF70A12-6A67-457C-A8E1-4D9752A2F526}" name="VAR Expectancy Score" dataDxfId="7" dataCellStyle="Millares 2">
      <calculatedColumnFormula>(Opti_Salidas__30_INS[[#This Row],[All: Expectancy Score]]-AA$47) /ABS(AA$47)</calculatedColumnFormula>
    </tableColumn>
    <tableColumn id="32" xr3:uid="{24892D34-1DD7-42CA-A49C-47890462FDC4}" name="Columna1" dataDxfId="225" dataCellStyle="Millares 2"/>
    <tableColumn id="33" xr3:uid="{3487BB5C-74D9-4EEB-B943-5B11B13658CE}" name="VAR Perfect Profit Correlation" dataDxfId="6" dataCellStyle="Millares 2">
      <calculatedColumnFormula>(Opti_Salidas__30_INS[[#This Row],[All: Perfect Profit Correlation]]-AC$47) /ABS(AC$47)</calculatedColumnFormula>
    </tableColumn>
    <tableColumn id="34" xr3:uid="{BB2A2AFE-3DF7-40D0-AE3F-7C276D5D4A57}" name="VAR Robustness Index" dataDxfId="5" dataCellStyle="Millares 2">
      <calculatedColumnFormula>(Opti_Salidas__30_INS[[#This Row],[All: Robustness Index]]-AD$47) /ABS(AD$47)</calculatedColumnFormula>
    </tableColumn>
    <tableColumn id="35" xr3:uid="{B10A157C-052D-4BAB-A6A2-458CBE157DB9}" name="SUMA" dataDxfId="4" dataCellStyle="Millares 2">
      <calculatedColumnFormula>SUM(Opti_Salidas__30_INS[[#This Row],[VAR TS Index]:[VAR Robustness Index]])</calculatedColumnFormula>
    </tableColumn>
    <tableColumn id="36" xr3:uid="{74BC49AE-F0BB-424A-9B23-E409929E4753}" name="SUMA SIN ROB" dataDxfId="3" dataCellStyle="Millares 2">
      <calculatedColumnFormula>Opti_Salidas__30_INS[[#This Row],[SUMA]]-Opti_Salidas__30_INS[[#This Row],[VAR Robustness Index]]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A20726-541B-4858-874C-7A58CF737742}" name="Tabla11" displayName="Tabla11" ref="A37:AD48" headerRowCount="0" totalsRowShown="0" headerRowDxfId="209" dataDxfId="21" tableBorderDxfId="208">
  <tableColumns count="30">
    <tableColumn id="1" xr3:uid="{433C6090-F657-4C88-85BE-7B8F8CC8DBC4}" name="Columna1" headerRowDxfId="207" dataDxfId="43"/>
    <tableColumn id="2" xr3:uid="{9E5C2ACC-93A0-4DDA-8C96-734B05C4B5F1}" name="Columna2" headerRowDxfId="206" dataDxfId="42"/>
    <tableColumn id="3" xr3:uid="{F013E265-F711-4836-BA45-2C7A0A35B4A6}" name="Columna3" headerRowDxfId="205" dataDxfId="204"/>
    <tableColumn id="4" xr3:uid="{A572DD6A-9366-46BA-90B9-9B092E9496B2}" name="Columna4" headerRowDxfId="203" dataDxfId="41"/>
    <tableColumn id="5" xr3:uid="{64C5A998-E06C-4184-B775-B20D6B030074}" name="Columna5" headerRowDxfId="202" dataDxfId="40"/>
    <tableColumn id="6" xr3:uid="{817E0776-3202-4BF9-9994-485F8625AE8A}" name="Columna6" headerRowDxfId="201" dataDxfId="39"/>
    <tableColumn id="7" xr3:uid="{9BB23CD0-7FE7-455A-A681-375850C3B307}" name="Columna7" headerRowDxfId="200" dataDxfId="38"/>
    <tableColumn id="8" xr3:uid="{BF7B7DBD-3AFB-465D-AAE6-BD2530484A45}" name="Columna8" headerRowDxfId="199" dataDxfId="37"/>
    <tableColumn id="9" xr3:uid="{164A7525-4935-4EE1-A2D1-E35F3DA691E5}" name="Columna9" headerRowDxfId="198" dataDxfId="36"/>
    <tableColumn id="10" xr3:uid="{5819D0B9-7302-4CF9-8A6E-59E01C0EDA88}" name="Columna10" headerRowDxfId="197" dataDxfId="35"/>
    <tableColumn id="11" xr3:uid="{15047FA5-AAC2-4DFC-BE0C-2697D9C898ED}" name="Columna11" headerRowDxfId="196" dataDxfId="34"/>
    <tableColumn id="12" xr3:uid="{853BE871-74BE-4EC5-907A-76B3002A5D4C}" name="Columna12" headerRowDxfId="195" dataDxfId="33"/>
    <tableColumn id="13" xr3:uid="{8CCEEB5C-E4B9-4A78-A344-74425F457B10}" name="Columna13" headerRowDxfId="194" dataDxfId="32"/>
    <tableColumn id="14" xr3:uid="{0135F5FC-A884-4BCF-B418-92AA0295E253}" name="Columna14" headerRowDxfId="193" dataDxfId="31"/>
    <tableColumn id="15" xr3:uid="{85E05196-0483-4B66-BA9F-34C129661FCC}" name="Columna15" headerRowDxfId="192" dataDxfId="30"/>
    <tableColumn id="16" xr3:uid="{28BBA2D9-D153-4FCA-B49A-B6F1F2191C72}" name="Columna16" headerRowDxfId="191" dataDxfId="29"/>
    <tableColumn id="17" xr3:uid="{E6C5EAA2-BEBA-48F3-870C-B6E35298B3F0}" name="Columna17" headerRowDxfId="190" dataDxfId="28"/>
    <tableColumn id="18" xr3:uid="{EF54A078-0140-4281-B86D-DEEB068235D7}" name="Columna18" headerRowDxfId="189" dataDxfId="27"/>
    <tableColumn id="19" xr3:uid="{15DF65BC-D191-4EEE-A884-D2C14141AA52}" name="Columna19" headerRowDxfId="188" dataDxfId="26"/>
    <tableColumn id="20" xr3:uid="{65D4B006-BF27-47A7-B42F-80D0057AC729}" name="Columna20" headerRowDxfId="187" dataDxfId="25"/>
    <tableColumn id="21" xr3:uid="{130F5117-44FE-494C-807D-B3C6C79C8182}" name="Columna21" headerRowDxfId="186" dataDxfId="24"/>
    <tableColumn id="22" xr3:uid="{1D4AC359-DBD6-4745-82E4-2E0AD8CEA3D3}" name="Columna22" headerRowDxfId="185" dataDxfId="23"/>
    <tableColumn id="23" xr3:uid="{041897F4-752B-4E41-BC5B-B80CA3F9FCB0}" name="Columna23" headerRowDxfId="184" dataDxfId="183"/>
    <tableColumn id="24" xr3:uid="{BE8A4B2F-29E8-4AD5-9431-6298A4E0969D}" name="Columna24" headerRowDxfId="182" dataDxfId="181"/>
    <tableColumn id="25" xr3:uid="{AD0CD704-AC3E-488C-BE4A-D8351F2ACA6A}" name="Columna25" headerRowDxfId="180" dataDxfId="179"/>
    <tableColumn id="26" xr3:uid="{225DDFF4-BC13-46BF-B927-459A6A91D4B3}" name="Columna26" headerRowDxfId="178" dataDxfId="177"/>
    <tableColumn id="27" xr3:uid="{025BC6A1-E825-4D95-BB40-999BCCA2BD1A}" name="Columna27" headerRowDxfId="176" dataDxfId="175"/>
    <tableColumn id="28" xr3:uid="{CC03D728-1059-4D90-9088-78561B56C6BA}" name="Columna28" headerRowDxfId="174" dataDxfId="22"/>
    <tableColumn id="29" xr3:uid="{A52C892F-A327-431F-BDA3-7816CD96730E}" name="Columna29" headerRowDxfId="173" dataDxfId="172"/>
    <tableColumn id="30" xr3:uid="{A3A24AE4-2C3B-4B8B-BAFD-16826132E889}" name="Columna30" headerRowDxfId="171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0D8497-0630-4E0E-B21C-B41F55269AD3}" name="Opti_Salidas__30_OOS" displayName="Opti_Salidas__30_OOS" ref="A1:AK34" totalsRowShown="0" headerRowDxfId="252" dataDxfId="253" headerRowCellStyle="Moneda 2" dataCellStyle="Millares 2">
  <autoFilter ref="A1:AK34" xr:uid="{090D8497-0630-4E0E-B21C-B41F55269AD3}"/>
  <sortState xmlns:xlrd2="http://schemas.microsoft.com/office/spreadsheetml/2017/richdata2" ref="A2:AK34">
    <sortCondition descending="1" ref="AJ1:AJ34"/>
  </sortState>
  <tableColumns count="37">
    <tableColumn id="37" xr3:uid="{1867EDA4-DC2B-4D7B-A39E-1E36D5675607}" name="MEJORES" dataDxfId="1" dataCellStyle="Millares 2"/>
    <tableColumn id="1" xr3:uid="{7FD689AF-5855-4815-8F1A-C5AC9484F41B}" name="CURSO-Salidas_02: Salida" dataDxfId="278"/>
    <tableColumn id="2" xr3:uid="{EF2212DA-822C-4921-8288-AE3F64076347}" name="Test" dataDxfId="277"/>
    <tableColumn id="3" xr3:uid="{AF516686-CEF9-4C59-90F5-CCB3C01AF2EA}" name="All: Net Profit" dataDxfId="276"/>
    <tableColumn id="4" xr3:uid="{378882E2-DA24-4F16-8324-84FA19B1F2AB}" name="All: Gross Profit" dataDxfId="275" dataCellStyle="Moneda 2"/>
    <tableColumn id="5" xr3:uid="{D1783AD5-78A9-4C84-BA1A-84FF018A795A}" name="All: Gross Loss" dataDxfId="274" dataCellStyle="Moneda 2"/>
    <tableColumn id="6" xr3:uid="{C09AFA91-53B1-42F3-86E9-C24E8FDDD4B8}" name="All: Total Trades" dataDxfId="273" dataCellStyle="Moneda 2"/>
    <tableColumn id="7" xr3:uid="{C728F247-2D66-4FC8-86E7-33692460A9B4}" name="All: % Profitable" dataDxfId="272"/>
    <tableColumn id="8" xr3:uid="{7D134E2B-B68A-4A39-87D6-7BA52B9AF9DE}" name="All: Winning Trades" dataDxfId="271" dataCellStyle="Millares 2"/>
    <tableColumn id="9" xr3:uid="{235A25EB-95F1-4352-949A-81030B6FD4E8}" name="All: Losing Trades" dataDxfId="270"/>
    <tableColumn id="10" xr3:uid="{F6433B7B-9BFE-4646-A54F-5B4B9F7E3414}" name="All: Max Winning Trade" dataDxfId="269"/>
    <tableColumn id="11" xr3:uid="{46CDE8CC-B228-48AE-B2B1-7252B4066C47}" name="All: Max Losing Trade" dataDxfId="268" dataCellStyle="Moneda 2"/>
    <tableColumn id="12" xr3:uid="{75BB04BF-219E-4846-B9D9-A04045F69392}" name="All: Avg Winning Trade" dataDxfId="267" dataCellStyle="Moneda 2"/>
    <tableColumn id="13" xr3:uid="{35907115-C8CF-43E8-A2E9-0F0931B9AAAA}" name="All: Avg Losing Trade" dataDxfId="266" dataCellStyle="Moneda 2"/>
    <tableColumn id="14" xr3:uid="{8FC8A099-EE7A-4C3C-9147-780DA9E7B76D}" name="All: Win/Loss Ratio" dataDxfId="265" dataCellStyle="Moneda 2"/>
    <tableColumn id="15" xr3:uid="{268EF8C5-5A27-4118-B82C-CE0AD47BF3EF}" name="All: Avg Trade" dataDxfId="264" dataCellStyle="Millares 2"/>
    <tableColumn id="16" xr3:uid="{E63154F0-7915-4A9A-BD39-61EC4BE8E7F8}" name="All: Max Consecutive Winners" dataDxfId="263" dataCellStyle="Moneda 2"/>
    <tableColumn id="17" xr3:uid="{CBE0ACF6-FD4B-44BF-B65D-79B23CDF318A}" name="All: Max Consecutive Losers" dataDxfId="262"/>
    <tableColumn id="18" xr3:uid="{59A285DA-E8D1-4C1B-9965-111EC15780F0}" name="All: Avg Bars in Winner" dataDxfId="261"/>
    <tableColumn id="19" xr3:uid="{041F9BB4-A6D8-4844-84D9-171AB13BA3CB}" name="All: Avg Bars in Loser" dataDxfId="260"/>
    <tableColumn id="20" xr3:uid="{25224B93-41AE-409A-9F7E-94B40F8DE132}" name="All: Max Intraday Drawdown" dataDxfId="259"/>
    <tableColumn id="21" xr3:uid="{E53B0E34-5D67-42DA-984B-A273E7CEEDD0}" name="All: ProfitFactor" dataDxfId="258" dataCellStyle="Moneda 2"/>
    <tableColumn id="22" xr3:uid="{83FA3E15-78B2-4049-8DA0-42DEBF94C51B}" name="All: Max Contracts Held" dataDxfId="257" dataCellStyle="Millares 2"/>
    <tableColumn id="23" xr3:uid="{F200200B-5AED-4F9F-8882-48819F539EEA}" name="All: Required Account Size" dataDxfId="256"/>
    <tableColumn id="24" xr3:uid="{30489705-EA5D-4DAC-BF18-5F672B6EF3AD}" name="All: Return on Account" dataDxfId="255" dataCellStyle="Moneda 2"/>
    <tableColumn id="25" xr3:uid="{FD8425ED-7FB8-4AB1-9930-AE556FA5C16C}" name="All: TS Index" dataDxfId="218" dataCellStyle="Millares 2"/>
    <tableColumn id="26" xr3:uid="{F73229B9-97A6-45BD-BBE1-BC65F22A2863}" name="All: Expectancy Score" dataDxfId="216" dataCellStyle="Millares 2"/>
    <tableColumn id="27" xr3:uid="{5C23CD22-E984-405C-B756-80382B7AD2B2}" name="All: Pessimistic Return On Capital" dataDxfId="217" dataCellStyle="Millares 2"/>
    <tableColumn id="28" xr3:uid="{E6368B3E-2425-43D3-AFE2-FE4C4E7CB913}" name="All: Perfect Profit Correlation" dataDxfId="254" dataCellStyle="Millares 2"/>
    <tableColumn id="29" xr3:uid="{564ADD2D-2B3F-4ED8-A372-0A45E6DA4789}" name="All: Robustness Index" dataDxfId="220" dataCellStyle="Moneda 2"/>
    <tableColumn id="30" xr3:uid="{8B6E2F06-6511-459B-810C-08C367D4EBF2}" name="VAR TS Index" dataDxfId="19" dataCellStyle="Millares 2">
      <calculatedColumnFormula>(Opti_Salidas__30_OOS[[#This Row],[All: TS Index]]-Z$47) /ABS(Z$47)</calculatedColumnFormula>
    </tableColumn>
    <tableColumn id="31" xr3:uid="{51446917-C98F-4D81-A540-4A43BA716B5A}" name="VAR Expectancy Score" dataDxfId="12" dataCellStyle="Millares 2">
      <calculatedColumnFormula>(Opti_Salidas__30_OOS[[#This Row],[All: Expectancy Score]]-AA$47) /ABS(AA$47)</calculatedColumnFormula>
    </tableColumn>
    <tableColumn id="32" xr3:uid="{F6656398-2589-4CD7-974C-9B0FA981C453}" name="Columna1" dataDxfId="224" dataCellStyle="Millares 2"/>
    <tableColumn id="33" xr3:uid="{DEDDCEEE-FD91-478C-AB50-F214F7F4A566}" name="VAR Perfect Profit Correlation" dataDxfId="11" dataCellStyle="Millares 2">
      <calculatedColumnFormula>(Opti_Salidas__30_OOS[[#This Row],[All: Perfect Profit Correlation]]-AC$47) /ABS(AC$47)</calculatedColumnFormula>
    </tableColumn>
    <tableColumn id="34" xr3:uid="{AC73B23E-757A-4D63-8D12-9E94A539B643}" name="VAR Robustness Index" dataDxfId="10" dataCellStyle="Millares 2">
      <calculatedColumnFormula>(Opti_Salidas__30_OOS[[#This Row],[All: Robustness Index]]-AD$47) /ABS(AD$47)</calculatedColumnFormula>
    </tableColumn>
    <tableColumn id="35" xr3:uid="{9BF43013-5959-46FD-8DC5-934A6D705853}" name="SUMA" dataDxfId="9" dataCellStyle="Millares 2">
      <calculatedColumnFormula>SUM(Opti_Salidas__30_OOS[[#This Row],[VAR TS Index]:[VAR Robustness Index]])</calculatedColumnFormula>
    </tableColumn>
    <tableColumn id="36" xr3:uid="{F8023943-E875-4F37-8378-710177B480FB}" name="SUMA SIN ROB" dataDxfId="8" dataCellStyle="Millares 2">
      <calculatedColumnFormula>Opti_Salidas__30_OOS[[#This Row],[SUMA]]-Opti_Salidas__30_OOS[[#This Row],[VAR Robustness Index]]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589408-3DDD-41FA-B37E-5C69DBA284D4}" name="Tabla12" displayName="Tabla12" ref="A37:AD48" headerRowCount="0" totalsRowShown="0" headerRowDxfId="169" dataDxfId="44" tableBorderDxfId="168">
  <tableColumns count="30">
    <tableColumn id="1" xr3:uid="{E0B9F18F-850F-414B-9A34-53A8E5A79C87}" name="Columna1" headerRowDxfId="167" dataDxfId="66"/>
    <tableColumn id="2" xr3:uid="{5D4B86E6-8E03-4018-9AD3-9094DDA95ED5}" name="Columna2" headerRowDxfId="166" dataDxfId="65"/>
    <tableColumn id="3" xr3:uid="{E028D5F4-697C-49CD-936B-4EDCB6305B04}" name="Columna3" headerRowDxfId="165" dataDxfId="164"/>
    <tableColumn id="4" xr3:uid="{375F5D5E-0DD9-4BA3-85A3-F2ED1D5CD363}" name="Columna4" headerRowDxfId="163" dataDxfId="64"/>
    <tableColumn id="5" xr3:uid="{B416C64A-DC56-49E5-8FED-6860E3083A46}" name="Columna5" headerRowDxfId="162" dataDxfId="63"/>
    <tableColumn id="6" xr3:uid="{3F4EE485-51F0-456E-A622-0CEC6B31C920}" name="Columna6" headerRowDxfId="161" dataDxfId="62"/>
    <tableColumn id="7" xr3:uid="{986547C3-3703-4666-8910-BC9A213FAB1D}" name="Columna7" headerRowDxfId="160" dataDxfId="61"/>
    <tableColumn id="8" xr3:uid="{57688C7E-24C0-4328-8793-BBED4A40C0E2}" name="Columna8" headerRowDxfId="159" dataDxfId="60"/>
    <tableColumn id="9" xr3:uid="{140C0CC3-75CE-4053-80C7-608D894639A2}" name="Columna9" headerRowDxfId="158" dataDxfId="59"/>
    <tableColumn id="10" xr3:uid="{C73AC793-D1B7-447F-B237-DED108F4F8BE}" name="Columna10" headerRowDxfId="157" dataDxfId="58"/>
    <tableColumn id="11" xr3:uid="{3DB016A9-681D-4D29-9D99-EC482F4537AB}" name="Columna11" headerRowDxfId="156" dataDxfId="57"/>
    <tableColumn id="12" xr3:uid="{2D3789B4-F31F-4541-8315-D92F83E331F2}" name="Columna12" headerRowDxfId="155" dataDxfId="56"/>
    <tableColumn id="13" xr3:uid="{850EAF2B-983A-4388-8124-9BD1BDB1C4C8}" name="Columna13" headerRowDxfId="154" dataDxfId="55"/>
    <tableColumn id="14" xr3:uid="{6635B123-5038-48F0-A8EA-A82EEDC545DB}" name="Columna14" headerRowDxfId="153" dataDxfId="54"/>
    <tableColumn id="15" xr3:uid="{35DD4985-DB95-4FBF-8A86-D60EBF444BB5}" name="Columna15" headerRowDxfId="152" dataDxfId="53"/>
    <tableColumn id="16" xr3:uid="{42C251BB-3035-4241-B14D-85EF25AC3FFE}" name="Columna16" headerRowDxfId="151" dataDxfId="52"/>
    <tableColumn id="17" xr3:uid="{F91B7483-B760-493B-A604-4F8F1510A585}" name="Columna17" headerRowDxfId="150" dataDxfId="51"/>
    <tableColumn id="18" xr3:uid="{5F77D396-5AB1-40E4-9E8C-AFA6C8A211D0}" name="Columna18" headerRowDxfId="149" dataDxfId="50"/>
    <tableColumn id="19" xr3:uid="{744DFF6E-194B-4F3D-A4FF-60F6D0A765F6}" name="Columna19" headerRowDxfId="148" dataDxfId="49"/>
    <tableColumn id="20" xr3:uid="{27C66ADB-0919-44DE-BDEA-EECD26603E59}" name="Columna20" headerRowDxfId="147" dataDxfId="48"/>
    <tableColumn id="21" xr3:uid="{B7C62B6A-BBE3-4BB8-8B11-9A207C5EBCEC}" name="Columna21" headerRowDxfId="146" dataDxfId="47"/>
    <tableColumn id="22" xr3:uid="{6202798A-0FAA-40C1-851C-8FC4142B7C45}" name="Columna22" headerRowDxfId="145" dataDxfId="46"/>
    <tableColumn id="23" xr3:uid="{2675A558-48FF-42A3-8970-6D2DDFDF2066}" name="Columna23" headerRowDxfId="144" dataDxfId="143"/>
    <tableColumn id="24" xr3:uid="{D6D8BC2F-EEB9-4C9F-B491-613D850E8810}" name="Columna24" headerRowDxfId="142" dataDxfId="141"/>
    <tableColumn id="25" xr3:uid="{4C397FD7-C93C-44F0-B185-F7DD31BCCA64}" name="Columna25" headerRowDxfId="140" dataDxfId="139"/>
    <tableColumn id="26" xr3:uid="{315AA5F7-61C9-497F-A638-2D96812C0A89}" name="Columna26" headerRowDxfId="138" dataDxfId="137"/>
    <tableColumn id="27" xr3:uid="{6018D8E4-8672-447F-9F53-C831FFF9E976}" name="Columna27" headerRowDxfId="136" dataDxfId="135"/>
    <tableColumn id="28" xr3:uid="{87FE50F5-B573-4C27-92DF-89A2E147D16C}" name="Columna28" headerRowDxfId="134" dataDxfId="45"/>
    <tableColumn id="29" xr3:uid="{7112C567-B0F3-430D-B8C7-8D44B8006B9D}" name="Columna29" headerRowDxfId="133" dataDxfId="132"/>
    <tableColumn id="30" xr3:uid="{241BA50F-62D1-458D-8EBD-A132AF4E4949}" name="Columna30" headerRowDxfId="131" dataDxfId="1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809B11-C901-4BAF-A780-9A1141F5F7C9}" name="Opti_Salidas__30_ALL_Data" displayName="Opti_Salidas__30_ALL_Data" ref="A1:AK34" totalsRowShown="0" headerRowDxfId="226" dataDxfId="227" headerRowCellStyle="Moneda 2" dataCellStyle="Millares 2">
  <autoFilter ref="A1:AK34" xr:uid="{D5809B11-C901-4BAF-A780-9A1141F5F7C9}"/>
  <sortState xmlns:xlrd2="http://schemas.microsoft.com/office/spreadsheetml/2017/richdata2" ref="A2:AK34">
    <sortCondition descending="1" ref="AK1:AK34"/>
  </sortState>
  <tableColumns count="37">
    <tableColumn id="37" xr3:uid="{B62206C3-9063-47CD-8B7B-DAB1392D35F6}" name="MEJORES" dataDxfId="2" dataCellStyle="Millares 2"/>
    <tableColumn id="1" xr3:uid="{B561B33F-6710-4A8C-8E53-AA68822396A3}" name="CURSO-Salidas_02: Salida" dataDxfId="251"/>
    <tableColumn id="2" xr3:uid="{93431A5F-4096-4DD0-866A-8DF16ADCAEC9}" name="Test" dataDxfId="250"/>
    <tableColumn id="3" xr3:uid="{61D2AACF-BE50-4A8A-9A0C-82C63A21E418}" name="All: Net Profit" dataDxfId="249"/>
    <tableColumn id="4" xr3:uid="{C14CF28D-F8D6-4704-8F95-3F263DCB8C31}" name="All: Gross Profit" dataDxfId="248" dataCellStyle="Moneda 2"/>
    <tableColumn id="5" xr3:uid="{A4C6228A-3E9B-41E9-9EBD-72552DDB972E}" name="All: Gross Loss" dataDxfId="247" dataCellStyle="Moneda 2"/>
    <tableColumn id="6" xr3:uid="{8AEE6EF3-D8B1-4D42-AC34-541D220DB8A9}" name="All: Total Trades" dataDxfId="246" dataCellStyle="Moneda 2"/>
    <tableColumn id="7" xr3:uid="{1674B9E4-E206-4AB0-9CDD-5C9F8D3332C6}" name="All: % Profitable" dataDxfId="245"/>
    <tableColumn id="8" xr3:uid="{6FF63ECD-AE09-4DCE-B760-43975D84E66D}" name="All: Winning Trades" dataDxfId="244" dataCellStyle="Millares 2"/>
    <tableColumn id="9" xr3:uid="{269AB64F-6E1D-4520-96EA-FC5EF5365382}" name="All: Losing Trades" dataDxfId="243"/>
    <tableColumn id="10" xr3:uid="{2386049C-1767-4866-B136-63860042002F}" name="All: Max Winning Trade" dataDxfId="242"/>
    <tableColumn id="11" xr3:uid="{93B99226-3EBF-4220-BA1D-FA990BB93351}" name="All: Max Losing Trade" dataDxfId="241" dataCellStyle="Moneda 2"/>
    <tableColumn id="12" xr3:uid="{A04ABAF0-3312-4245-BDDF-B574FDCE4810}" name="All: Avg Winning Trade" dataDxfId="240" dataCellStyle="Moneda 2"/>
    <tableColumn id="13" xr3:uid="{7865DB44-7E92-4498-883F-6D6D3215C2C9}" name="All: Avg Losing Trade" dataDxfId="239" dataCellStyle="Moneda 2"/>
    <tableColumn id="14" xr3:uid="{EA454F18-182A-4CEA-AF0A-E01C1C952B32}" name="All: Win/Loss Ratio" dataDxfId="238" dataCellStyle="Moneda 2"/>
    <tableColumn id="15" xr3:uid="{8157EFAF-B2B4-46A6-9DDD-A038F3E9B7B2}" name="All: Avg Trade" dataDxfId="237" dataCellStyle="Millares 2"/>
    <tableColumn id="16" xr3:uid="{F9507B45-A4FE-4AB0-B1B5-D20B94921E55}" name="All: Max Consecutive Winners" dataDxfId="236" dataCellStyle="Moneda 2"/>
    <tableColumn id="17" xr3:uid="{6E553077-F406-44DD-B439-E2F956497825}" name="All: Max Consecutive Losers" dataDxfId="235"/>
    <tableColumn id="18" xr3:uid="{C69A70E4-A7F6-428C-8FA1-873738A3C4E3}" name="All: Avg Bars in Winner" dataDxfId="234"/>
    <tableColumn id="19" xr3:uid="{9A6090DD-A6AA-427A-A9E4-0C86EB03DFF8}" name="All: Avg Bars in Loser" dataDxfId="233"/>
    <tableColumn id="20" xr3:uid="{9A87DA41-7636-4AE5-9C27-69F844600FDF}" name="All: Max Intraday Drawdown" dataDxfId="232"/>
    <tableColumn id="21" xr3:uid="{5A37375E-293C-4AC6-A522-8551E0E529B3}" name="All: ProfitFactor" dataDxfId="231" dataCellStyle="Moneda 2"/>
    <tableColumn id="22" xr3:uid="{1AC1726A-616A-492B-8164-97119C248DC6}" name="All: Max Contracts Held" dataDxfId="230" dataCellStyle="Millares 2"/>
    <tableColumn id="23" xr3:uid="{C1907E01-CFEB-4B16-A83D-8303F8E5F40D}" name="All: Required Account Size" dataDxfId="229"/>
    <tableColumn id="24" xr3:uid="{DA72588C-2A66-4888-837E-F3FAF5D6BDA6}" name="All: Return on Account" dataDxfId="228" dataCellStyle="Moneda 2"/>
    <tableColumn id="25" xr3:uid="{C1B3F0E3-AA63-4482-B287-A68C1A7F7F83}" name="All: TS Index" dataDxfId="215" dataCellStyle="Millares 2"/>
    <tableColumn id="26" xr3:uid="{301AD4EC-A819-4338-999F-BB9D641E660B}" name="All: Expectancy Score" dataDxfId="213" dataCellStyle="Millares 2"/>
    <tableColumn id="27" xr3:uid="{6CC115E9-9FFB-4C7E-AC4E-FA294C29DDC8}" name="All: Pessimistic Return On Capital" dataDxfId="214" dataCellStyle="Millares 2"/>
    <tableColumn id="28" xr3:uid="{73CF4403-54FC-478D-ABF9-B41901E26949}" name="All: Perfect Profit Correlation" dataDxfId="222" dataCellStyle="Millares 2"/>
    <tableColumn id="29" xr3:uid="{9CBDACEA-E58A-4C46-96A2-DA06A3475FAC}" name="All: Robustness Index" dataDxfId="221" dataCellStyle="Moneda 2"/>
    <tableColumn id="30" xr3:uid="{F11CFC8F-AE28-4A7D-A1DA-2139624FA9D7}" name="VAR TS Index" dataDxfId="18" dataCellStyle="Millares 2">
      <calculatedColumnFormula>(Opti_Salidas__30_ALL_Data[[#This Row],[All: TS Index]]-Z$47) /ABS(Z$47)</calculatedColumnFormula>
    </tableColumn>
    <tableColumn id="31" xr3:uid="{A130D5FB-BB3B-46B5-A159-4FDB06781EF2}" name="VAR Expectancy Score" dataDxfId="17" dataCellStyle="Millares 2">
      <calculatedColumnFormula>(Opti_Salidas__30_ALL_Data[[#This Row],[All: Expectancy Score]]-AA$47) /ABS(AA$47)</calculatedColumnFormula>
    </tableColumn>
    <tableColumn id="32" xr3:uid="{C2C5A788-0835-480E-8F05-9D4C45849BBC}" name="Columna1" dataDxfId="223" dataCellStyle="Millares 2"/>
    <tableColumn id="33" xr3:uid="{976717AD-7463-4821-8299-D61105885F9C}" name="VAR Perfect Profit Correlation" dataDxfId="16" dataCellStyle="Millares 2">
      <calculatedColumnFormula>(Opti_Salidas__30_ALL_Data[[#This Row],[All: Perfect Profit Correlation]]-AC$47) /ABS(AC$47)</calculatedColumnFormula>
    </tableColumn>
    <tableColumn id="34" xr3:uid="{B8A848E0-EE12-4DBE-8514-8945EAF60D98}" name="VAR Robustness Index" dataDxfId="15" dataCellStyle="Millares 2">
      <calculatedColumnFormula>(Opti_Salidas__30_ALL_Data[[#This Row],[All: Robustness Index]]-AD$47) /ABS(AD$47)</calculatedColumnFormula>
    </tableColumn>
    <tableColumn id="35" xr3:uid="{5086D116-A92C-4B02-B103-FD5CDB98927E}" name="SUMA" dataDxfId="14" dataCellStyle="Millares 2">
      <calculatedColumnFormula>SUM(Opti_Salidas__30_ALL_Data[[#This Row],[VAR TS Index]:[VAR Robustness Index]])</calculatedColumnFormula>
    </tableColumn>
    <tableColumn id="36" xr3:uid="{2DC4DD2E-00B0-4C4E-B39A-4CE01D581D24}" name="SUMA SIN ROB" dataDxfId="13" dataCellStyle="Millares 2">
      <calculatedColumnFormula>Opti_Salidas__30_ALL_Data[[#This Row],[SUMA]]-Opti_Salidas__30_ALL_Data[[#This Row],[VAR Robustness Index]]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A9A050-DB6C-47CB-BC5D-020FB8BFB5DB}" name="Tabla13" displayName="Tabla13" ref="A37:AD48" headerRowCount="0" totalsRowShown="0" headerRowDxfId="129" dataDxfId="128" tableBorderDxfId="127">
  <tableColumns count="30">
    <tableColumn id="1" xr3:uid="{B07B7D11-736D-4702-BAD7-A20D667A14E3}" name="Columna1" headerRowDxfId="126" dataDxfId="88"/>
    <tableColumn id="2" xr3:uid="{86B6E5A8-5174-4BC2-A390-0FFA3C24719F}" name="Columna2" headerRowDxfId="125" dataDxfId="87"/>
    <tableColumn id="3" xr3:uid="{1CAD4041-50E3-42A5-ACA1-8668E7B82664}" name="Columna3" headerRowDxfId="124" dataDxfId="123"/>
    <tableColumn id="4" xr3:uid="{0B7C6DD4-6AA0-4145-B8BB-69EB9E2C66DA}" name="Columna4" headerRowDxfId="122" dataDxfId="86"/>
    <tableColumn id="5" xr3:uid="{1C86454A-37F5-461B-9D50-071856C0EEAC}" name="Columna5" headerRowDxfId="121" dataDxfId="85"/>
    <tableColumn id="6" xr3:uid="{B8E7A3DF-F4B4-440E-A023-E7B2D318FAD3}" name="Columna6" headerRowDxfId="120" dataDxfId="84"/>
    <tableColumn id="7" xr3:uid="{16775333-7A57-4097-826C-F5B5A496404D}" name="Columna7" headerRowDxfId="119" dataDxfId="83"/>
    <tableColumn id="8" xr3:uid="{061B24A5-7966-48E2-BEBA-62B1C27FC023}" name="Columna8" headerRowDxfId="118" dataDxfId="82"/>
    <tableColumn id="9" xr3:uid="{9DF6F713-CD44-4AF9-8263-E56A5AB159F2}" name="Columna9" headerRowDxfId="117" dataDxfId="81"/>
    <tableColumn id="10" xr3:uid="{27807F32-370E-4386-83AD-A0CE782271F2}" name="Columna10" headerRowDxfId="116" dataDxfId="80"/>
    <tableColumn id="11" xr3:uid="{3BF431B8-C767-4261-8C59-8333AB5F040F}" name="Columna11" headerRowDxfId="115" dataDxfId="79"/>
    <tableColumn id="12" xr3:uid="{4E9E9C4C-38FF-4846-B058-C0E26518E10D}" name="Columna12" headerRowDxfId="114" dataDxfId="78"/>
    <tableColumn id="13" xr3:uid="{53B6AC00-62C2-432F-A16F-005C5C27635D}" name="Columna13" headerRowDxfId="113" dataDxfId="77"/>
    <tableColumn id="14" xr3:uid="{21BFA295-271B-4CFD-B7D0-92E404B3B9E4}" name="Columna14" headerRowDxfId="112" dataDxfId="76"/>
    <tableColumn id="15" xr3:uid="{7EEB0575-5D35-4065-942C-7A65C484BC3C}" name="Columna15" headerRowDxfId="111" dataDxfId="75"/>
    <tableColumn id="16" xr3:uid="{4D6FCE19-AA7F-48B4-9FCC-3E519921756F}" name="Columna16" headerRowDxfId="110" dataDxfId="74"/>
    <tableColumn id="17" xr3:uid="{7BEA4898-5C97-4809-ACD3-3A77739E24DA}" name="Columna17" headerRowDxfId="109" dataDxfId="73"/>
    <tableColumn id="18" xr3:uid="{7232C8DC-C73A-4B91-950F-DE9AAC67A02C}" name="Columna18" headerRowDxfId="108" dataDxfId="72"/>
    <tableColumn id="19" xr3:uid="{D8E8FA93-ECB5-4444-98F9-CCB0D8D153B2}" name="Columna19" headerRowDxfId="107" dataDxfId="71"/>
    <tableColumn id="20" xr3:uid="{5265A637-07B9-4A5A-969F-8B52AD5E94DC}" name="Columna20" headerRowDxfId="106" dataDxfId="70"/>
    <tableColumn id="21" xr3:uid="{F1ED647F-8BAE-4B35-B440-C48B0A007773}" name="Columna21" headerRowDxfId="105" dataDxfId="69"/>
    <tableColumn id="22" xr3:uid="{74695FCD-8E64-473E-9AFD-0EC680A8B4DB}" name="Columna22" headerRowDxfId="104" dataDxfId="68"/>
    <tableColumn id="23" xr3:uid="{9D6B06A4-1112-4985-89DE-AC67D36D3422}" name="Columna23" headerRowDxfId="103" dataDxfId="102"/>
    <tableColumn id="24" xr3:uid="{3E2E3443-52EC-4561-A5DB-7FE116042F55}" name="Columna24" headerRowDxfId="101" dataDxfId="100"/>
    <tableColumn id="25" xr3:uid="{29A8149F-5CD5-403B-B330-F3D024815718}" name="Columna25" headerRowDxfId="99" dataDxfId="98"/>
    <tableColumn id="26" xr3:uid="{0A4F5761-EE18-415E-B3B9-08A90A3A68DE}" name="Columna26" headerRowDxfId="97" dataDxfId="96"/>
    <tableColumn id="27" xr3:uid="{3A65FEA4-C463-4F83-8E92-108BFBB0FD56}" name="Columna27" headerRowDxfId="95" dataDxfId="94"/>
    <tableColumn id="28" xr3:uid="{99A18F6C-76D2-4A59-9331-FCE9D512BEC3}" name="Columna28" headerRowDxfId="93" dataDxfId="67"/>
    <tableColumn id="29" xr3:uid="{A6EBF93F-B0DE-4FDB-A54C-7317D8A56852}" name="Columna29" headerRowDxfId="92" dataDxfId="91"/>
    <tableColumn id="30" xr3:uid="{63033CAD-5AAB-41F1-BE7E-BA20D5F5999C}" name="Columna30" headerRowDxfId="90" dataDxfId="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B58E-3F26-40FA-8C9B-0613B9DFD016}">
  <dimension ref="A1:AL101"/>
  <sheetViews>
    <sheetView tabSelected="1" workbookViewId="0">
      <pane xSplit="2" ySplit="1" topLeftCell="R2" activePane="bottomRight" state="frozen"/>
      <selection activeCell="M49" sqref="M49"/>
      <selection pane="topRight" activeCell="M49" sqref="M49"/>
      <selection pane="bottomLeft" activeCell="M49" sqref="M49"/>
      <selection pane="bottomRight" activeCell="A2" sqref="A2:A6"/>
    </sheetView>
  </sheetViews>
  <sheetFormatPr baseColWidth="10" defaultColWidth="1.375" defaultRowHeight="15" x14ac:dyDescent="0.25"/>
  <cols>
    <col min="1" max="1" width="11.125" style="82" customWidth="1"/>
    <col min="2" max="2" width="12.75" style="82" bestFit="1" customWidth="1"/>
    <col min="3" max="3" width="11.75" style="82" bestFit="1" customWidth="1"/>
    <col min="4" max="4" width="8.5" style="82" bestFit="1" customWidth="1"/>
    <col min="5" max="6" width="12.125" style="82" bestFit="1" customWidth="1"/>
    <col min="7" max="7" width="10.625" style="82" bestFit="1" customWidth="1"/>
    <col min="8" max="8" width="7.625" style="82" bestFit="1" customWidth="1"/>
    <col min="9" max="9" width="11.5" style="82" bestFit="1" customWidth="1"/>
    <col min="10" max="10" width="8.375" style="82" bestFit="1" customWidth="1"/>
    <col min="11" max="11" width="7.625" style="82" bestFit="1" customWidth="1"/>
    <col min="12" max="15" width="9.25" style="82" bestFit="1" customWidth="1"/>
    <col min="16" max="16" width="8.625" style="82" bestFit="1" customWidth="1"/>
    <col min="17" max="17" width="7.375" style="82" bestFit="1" customWidth="1"/>
    <col min="18" max="18" width="11" style="82" bestFit="1" customWidth="1"/>
    <col min="19" max="19" width="9.875" style="82" bestFit="1" customWidth="1"/>
    <col min="20" max="20" width="10" style="82" bestFit="1" customWidth="1"/>
    <col min="21" max="21" width="9.125" style="82" bestFit="1" customWidth="1"/>
    <col min="22" max="22" width="11" style="82" bestFit="1" customWidth="1"/>
    <col min="23" max="23" width="7.5" style="82" bestFit="1" customWidth="1"/>
    <col min="24" max="24" width="8.625" style="82" bestFit="1" customWidth="1"/>
    <col min="25" max="25" width="10.125" style="82" bestFit="1" customWidth="1"/>
    <col min="26" max="26" width="8.875" style="82" bestFit="1" customWidth="1"/>
    <col min="27" max="27" width="7.375" style="82" bestFit="1" customWidth="1"/>
    <col min="28" max="28" width="9.25" style="82" bestFit="1" customWidth="1"/>
    <col min="29" max="29" width="12.375" style="82" bestFit="1" customWidth="1"/>
    <col min="30" max="30" width="10.125" style="82" bestFit="1" customWidth="1"/>
    <col min="31" max="31" width="9.25" style="82" bestFit="1" customWidth="1"/>
    <col min="32" max="32" width="10.125" style="82" bestFit="1" customWidth="1"/>
    <col min="33" max="33" width="13.875" style="82" bestFit="1" customWidth="1"/>
    <col min="34" max="34" width="13" style="82" bestFit="1" customWidth="1"/>
    <col min="35" max="35" width="14" style="82" bestFit="1" customWidth="1"/>
    <col min="36" max="36" width="13.125" style="82" bestFit="1" customWidth="1"/>
    <col min="37" max="37" width="9.625" style="82" bestFit="1" customWidth="1"/>
    <col min="38" max="38" width="12.625" style="82" bestFit="1" customWidth="1"/>
    <col min="39" max="16384" width="1.375" style="82"/>
  </cols>
  <sheetData>
    <row r="1" spans="1:38" ht="83.25" customHeight="1" x14ac:dyDescent="0.25">
      <c r="A1" s="81" t="s">
        <v>28</v>
      </c>
      <c r="B1" s="80" t="s">
        <v>53</v>
      </c>
      <c r="C1" s="80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80" t="s">
        <v>6</v>
      </c>
      <c r="J1" s="80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80" t="s">
        <v>14</v>
      </c>
      <c r="R1" s="80" t="s">
        <v>15</v>
      </c>
      <c r="S1" s="80" t="s">
        <v>16</v>
      </c>
      <c r="T1" s="80" t="s">
        <v>17</v>
      </c>
      <c r="U1" s="2" t="s">
        <v>18</v>
      </c>
      <c r="V1" s="2" t="s">
        <v>19</v>
      </c>
      <c r="W1" s="80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81" t="s">
        <v>29</v>
      </c>
      <c r="AF1" s="81" t="s">
        <v>30</v>
      </c>
      <c r="AG1" s="81" t="s">
        <v>31</v>
      </c>
      <c r="AH1" s="81" t="s">
        <v>32</v>
      </c>
      <c r="AI1" s="81" t="s">
        <v>33</v>
      </c>
      <c r="AJ1" s="81" t="s">
        <v>34</v>
      </c>
      <c r="AK1" s="81" t="s">
        <v>35</v>
      </c>
      <c r="AL1" s="1"/>
    </row>
    <row r="2" spans="1:38" x14ac:dyDescent="0.25">
      <c r="A2" s="70" t="s">
        <v>49</v>
      </c>
      <c r="B2" s="26">
        <v>17</v>
      </c>
      <c r="C2" s="26">
        <v>18</v>
      </c>
      <c r="D2" s="26">
        <v>218600</v>
      </c>
      <c r="E2" s="36">
        <v>1516590</v>
      </c>
      <c r="F2" s="36">
        <v>-1297990</v>
      </c>
      <c r="G2" s="36">
        <v>3702</v>
      </c>
      <c r="H2" s="26">
        <v>36.16963803349541</v>
      </c>
      <c r="I2" s="37">
        <v>1339</v>
      </c>
      <c r="J2" s="26">
        <v>2345</v>
      </c>
      <c r="K2" s="26">
        <v>11980</v>
      </c>
      <c r="L2" s="38">
        <v>-4300</v>
      </c>
      <c r="M2" s="38">
        <v>1132.6287841796875</v>
      </c>
      <c r="N2" s="38">
        <v>-553.51385498046875</v>
      </c>
      <c r="O2" s="38">
        <v>2.0462519121940561</v>
      </c>
      <c r="P2" s="37">
        <v>59.04916261480281</v>
      </c>
      <c r="Q2" s="89">
        <v>9</v>
      </c>
      <c r="R2" s="21">
        <v>17</v>
      </c>
      <c r="S2" s="21">
        <v>61</v>
      </c>
      <c r="T2" s="21">
        <v>23</v>
      </c>
      <c r="U2" s="21">
        <v>-29985</v>
      </c>
      <c r="V2" s="24">
        <v>1.168414240479511</v>
      </c>
      <c r="W2" s="23">
        <v>1</v>
      </c>
      <c r="X2" s="21">
        <v>29985</v>
      </c>
      <c r="Y2" s="24">
        <v>729.03118225779554</v>
      </c>
      <c r="Z2" s="23">
        <v>9761.7275304318828</v>
      </c>
      <c r="AA2" s="92">
        <v>1.506317902191477</v>
      </c>
      <c r="AB2" s="23">
        <v>2.0395847010639678</v>
      </c>
      <c r="AC2" s="23">
        <v>215117.18669265881</v>
      </c>
      <c r="AD2" s="86">
        <v>111.51268598378006</v>
      </c>
      <c r="AE2" s="5">
        <f>(Opti_Salidas__30_INS[[#This Row],[All: TS Index]]-Z$47) /ABS(Z$47)</f>
        <v>0</v>
      </c>
      <c r="AF2" s="5">
        <f>(Opti_Salidas__30_INS[[#This Row],[All: Expectancy Score]]-AA$47) /ABS(AA$47)</f>
        <v>-0.94714962733460029</v>
      </c>
      <c r="AG2" s="5"/>
      <c r="AH2" s="5">
        <f>(Opti_Salidas__30_INS[[#This Row],[All: Perfect Profit Correlation]]-AC$47) /ABS(AC$47)</f>
        <v>0</v>
      </c>
      <c r="AI2" s="5">
        <f>(Opti_Salidas__30_INS[[#This Row],[All: Robustness Index]]-AD$47) /ABS(AD$47)</f>
        <v>-0.74788618122893991</v>
      </c>
      <c r="AJ2" s="11">
        <f>SUM(Opti_Salidas__30_INS[[#This Row],[VAR TS Index]:[VAR Robustness Index]])</f>
        <v>-1.6950358085635402</v>
      </c>
      <c r="AK2" s="11">
        <f>Opti_Salidas__30_INS[[#This Row],[SUMA]]-Opti_Salidas__30_INS[[#This Row],[VAR Robustness Index]]</f>
        <v>-0.94714962733460029</v>
      </c>
      <c r="AL2" s="11"/>
    </row>
    <row r="3" spans="1:38" x14ac:dyDescent="0.25">
      <c r="A3" s="70" t="s">
        <v>50</v>
      </c>
      <c r="B3" s="31">
        <v>20</v>
      </c>
      <c r="C3" s="31">
        <v>21</v>
      </c>
      <c r="D3" s="31">
        <v>104790</v>
      </c>
      <c r="E3" s="32">
        <v>1153990</v>
      </c>
      <c r="F3" s="32">
        <v>-1049200</v>
      </c>
      <c r="G3" s="32">
        <v>3703</v>
      </c>
      <c r="H3" s="31">
        <v>31.271941668917094</v>
      </c>
      <c r="I3" s="33">
        <v>1158</v>
      </c>
      <c r="J3" s="31">
        <v>2523</v>
      </c>
      <c r="K3" s="31">
        <v>15660</v>
      </c>
      <c r="L3" s="34">
        <v>-3940</v>
      </c>
      <c r="M3" s="34">
        <v>996.537109375</v>
      </c>
      <c r="N3" s="34">
        <v>-415.85415649414063</v>
      </c>
      <c r="O3" s="34">
        <v>2.3963620269574988</v>
      </c>
      <c r="P3" s="33">
        <v>28.298676748582231</v>
      </c>
      <c r="Q3" s="35">
        <v>5</v>
      </c>
      <c r="R3" s="31">
        <v>21</v>
      </c>
      <c r="S3" s="31">
        <v>47</v>
      </c>
      <c r="T3" s="31">
        <v>16</v>
      </c>
      <c r="U3" s="31">
        <v>-22805</v>
      </c>
      <c r="V3" s="34">
        <v>1.099876096073199</v>
      </c>
      <c r="W3" s="33">
        <v>1</v>
      </c>
      <c r="X3" s="31">
        <v>22805</v>
      </c>
      <c r="Y3" s="34">
        <v>459.50449462837099</v>
      </c>
      <c r="Z3" s="33">
        <v>5321.0620477965358</v>
      </c>
      <c r="AA3" s="94">
        <v>28.501556871284649</v>
      </c>
      <c r="AB3" s="33">
        <v>0.91766574795760703</v>
      </c>
      <c r="AC3" s="33">
        <v>102572.02303973712</v>
      </c>
      <c r="AD3" s="88">
        <v>98.687637165539542</v>
      </c>
      <c r="AE3" s="11">
        <f>(Opti_Salidas__30_INS[[#This Row],[All: TS Index]]-Z$47) /ABS(Z$47)</f>
        <v>-0.45490569868824038</v>
      </c>
      <c r="AF3" s="11">
        <f>(Opti_Salidas__30_INS[[#This Row],[All: Expectancy Score]]-AA$47) /ABS(AA$47)</f>
        <v>0</v>
      </c>
      <c r="AG3" s="11"/>
      <c r="AH3" s="11">
        <f>(Opti_Salidas__30_INS[[#This Row],[All: Perfect Profit Correlation]]-AC$47) /ABS(AC$47)</f>
        <v>-0.52318071551259493</v>
      </c>
      <c r="AI3" s="11">
        <f>(Opti_Salidas__30_INS[[#This Row],[All: Robustness Index]]-AD$47) /ABS(AD$47)</f>
        <v>-0.77688173455963627</v>
      </c>
      <c r="AJ3" s="11">
        <f>SUM(Opti_Salidas__30_INS[[#This Row],[VAR TS Index]:[VAR Robustness Index]])</f>
        <v>-1.7549681487604716</v>
      </c>
      <c r="AK3" s="11">
        <f>Opti_Salidas__30_INS[[#This Row],[SUMA]]-Opti_Salidas__30_INS[[#This Row],[VAR Robustness Index]]</f>
        <v>-0.97808641420083531</v>
      </c>
      <c r="AL3" s="11"/>
    </row>
    <row r="4" spans="1:38" x14ac:dyDescent="0.25">
      <c r="A4" s="70" t="s">
        <v>51</v>
      </c>
      <c r="B4" s="72">
        <v>6</v>
      </c>
      <c r="C4" s="72">
        <v>7</v>
      </c>
      <c r="D4" s="72">
        <v>210070</v>
      </c>
      <c r="E4" s="73">
        <v>1536840</v>
      </c>
      <c r="F4" s="73">
        <v>-1326770</v>
      </c>
      <c r="G4" s="73">
        <v>3702</v>
      </c>
      <c r="H4" s="72">
        <v>36.628849270664503</v>
      </c>
      <c r="I4" s="71">
        <v>1356</v>
      </c>
      <c r="J4" s="72">
        <v>2327</v>
      </c>
      <c r="K4" s="72">
        <v>11410</v>
      </c>
      <c r="L4" s="74">
        <v>-4310</v>
      </c>
      <c r="M4" s="74">
        <v>1133.36279296875</v>
      </c>
      <c r="N4" s="74">
        <v>-570.163330078125</v>
      </c>
      <c r="O4" s="74">
        <v>1.987786188938973</v>
      </c>
      <c r="P4" s="71">
        <v>56.745002701242569</v>
      </c>
      <c r="Q4" s="75">
        <v>9</v>
      </c>
      <c r="R4" s="72">
        <v>17</v>
      </c>
      <c r="S4" s="72">
        <v>59</v>
      </c>
      <c r="T4" s="72">
        <v>23</v>
      </c>
      <c r="U4" s="72">
        <v>-34795</v>
      </c>
      <c r="V4" s="74">
        <v>1.1583318887222349</v>
      </c>
      <c r="W4" s="71">
        <v>1</v>
      </c>
      <c r="X4" s="72">
        <v>34795</v>
      </c>
      <c r="Y4" s="74">
        <v>603.73616898979742</v>
      </c>
      <c r="Z4" s="71">
        <v>8186.6624515016529</v>
      </c>
      <c r="AA4" s="95">
        <v>1.578767116579133</v>
      </c>
      <c r="AB4" s="71">
        <v>1.958392552553555</v>
      </c>
      <c r="AC4" s="71">
        <v>205800.34935001546</v>
      </c>
      <c r="AD4" s="96">
        <v>117.99564691624012</v>
      </c>
      <c r="AE4" s="11">
        <f>(Opti_Salidas__30_INS[[#This Row],[All: TS Index]]-Z$47) /ABS(Z$47)</f>
        <v>-0.16135105943287326</v>
      </c>
      <c r="AF4" s="11">
        <f>(Opti_Salidas__30_INS[[#This Row],[All: Expectancy Score]]-AA$47) /ABS(AA$47)</f>
        <v>-0.94460768849543997</v>
      </c>
      <c r="AG4" s="11"/>
      <c r="AH4" s="11">
        <f>(Opti_Salidas__30_INS[[#This Row],[All: Perfect Profit Correlation]]-AC$47) /ABS(AC$47)</f>
        <v>-4.3310520585946768E-2</v>
      </c>
      <c r="AI4" s="11">
        <f>(Opti_Salidas__30_INS[[#This Row],[All: Robustness Index]]-AD$47) /ABS(AD$47)</f>
        <v>-0.73322915792072341</v>
      </c>
      <c r="AJ4" s="11">
        <f>SUM(Opti_Salidas__30_INS[[#This Row],[VAR TS Index]:[VAR Robustness Index]])</f>
        <v>-1.8824984264349833</v>
      </c>
      <c r="AK4" s="11">
        <f>Opti_Salidas__30_INS[[#This Row],[SUMA]]-Opti_Salidas__30_INS[[#This Row],[VAR Robustness Index]]</f>
        <v>-1.14926926851426</v>
      </c>
      <c r="AL4" s="11"/>
    </row>
    <row r="5" spans="1:38" x14ac:dyDescent="0.25">
      <c r="A5" s="70" t="s">
        <v>54</v>
      </c>
      <c r="B5" s="72">
        <v>26</v>
      </c>
      <c r="C5" s="72">
        <v>27</v>
      </c>
      <c r="D5" s="72">
        <v>206830</v>
      </c>
      <c r="E5" s="73">
        <v>1522190</v>
      </c>
      <c r="F5" s="73">
        <v>-1315360</v>
      </c>
      <c r="G5" s="73">
        <v>3702</v>
      </c>
      <c r="H5" s="72">
        <v>36.682874122096166</v>
      </c>
      <c r="I5" s="71">
        <v>1358</v>
      </c>
      <c r="J5" s="72">
        <v>2326</v>
      </c>
      <c r="K5" s="72">
        <v>3990</v>
      </c>
      <c r="L5" s="74">
        <v>-4310</v>
      </c>
      <c r="M5" s="74">
        <v>1120.90576171875</v>
      </c>
      <c r="N5" s="74">
        <v>-565.50299072265625</v>
      </c>
      <c r="O5" s="74">
        <v>1.982139405286512</v>
      </c>
      <c r="P5" s="71">
        <v>55.869800108049702</v>
      </c>
      <c r="Q5" s="75">
        <v>9</v>
      </c>
      <c r="R5" s="72">
        <v>17</v>
      </c>
      <c r="S5" s="72">
        <v>57</v>
      </c>
      <c r="T5" s="72">
        <v>23</v>
      </c>
      <c r="U5" s="72">
        <v>-37555</v>
      </c>
      <c r="V5" s="74">
        <v>1.1572421238292181</v>
      </c>
      <c r="W5" s="71">
        <v>1</v>
      </c>
      <c r="X5" s="72">
        <v>37555</v>
      </c>
      <c r="Y5" s="74">
        <v>550.73891625615761</v>
      </c>
      <c r="Z5" s="71">
        <v>7479.0344827586205</v>
      </c>
      <c r="AA5" s="95">
        <v>0.81999845410027605</v>
      </c>
      <c r="AB5" s="71">
        <v>1.927968756600698</v>
      </c>
      <c r="AC5" s="71">
        <v>201687.45383252867</v>
      </c>
      <c r="AD5" s="96">
        <v>87.849538095145363</v>
      </c>
      <c r="AE5" s="11">
        <f>(Opti_Salidas__30_INS[[#This Row],[All: TS Index]]-Z$47) /ABS(Z$47)</f>
        <v>-0.23384109426912783</v>
      </c>
      <c r="AF5" s="11">
        <f>(Opti_Salidas__30_INS[[#This Row],[All: Expectancy Score]]-AA$47) /ABS(AA$47)</f>
        <v>-0.97122969605472942</v>
      </c>
      <c r="AG5" s="11"/>
      <c r="AH5" s="11">
        <f>(Opti_Salidas__30_INS[[#This Row],[All: Perfect Profit Correlation]]-AC$47) /ABS(AC$47)</f>
        <v>-6.2429846106705572E-2</v>
      </c>
      <c r="AI5" s="11">
        <f>(Opti_Salidas__30_INS[[#This Row],[All: Robustness Index]]-AD$47) /ABS(AD$47)</f>
        <v>-0.80138508609090142</v>
      </c>
      <c r="AJ5" s="11">
        <f>SUM(Opti_Salidas__30_INS[[#This Row],[VAR TS Index]:[VAR Robustness Index]])</f>
        <v>-2.0688857225214643</v>
      </c>
      <c r="AK5" s="11">
        <f>Opti_Salidas__30_INS[[#This Row],[SUMA]]-Opti_Salidas__30_INS[[#This Row],[VAR Robustness Index]]</f>
        <v>-1.267500636430563</v>
      </c>
      <c r="AL5" s="11"/>
    </row>
    <row r="6" spans="1:38" x14ac:dyDescent="0.25">
      <c r="A6" s="70" t="s">
        <v>55</v>
      </c>
      <c r="B6" s="72">
        <v>9</v>
      </c>
      <c r="C6" s="72">
        <v>10</v>
      </c>
      <c r="D6" s="72">
        <v>199820</v>
      </c>
      <c r="E6" s="73">
        <v>1517600</v>
      </c>
      <c r="F6" s="73">
        <v>-1317780</v>
      </c>
      <c r="G6" s="73">
        <v>3702</v>
      </c>
      <c r="H6" s="72">
        <v>36.70988654781199</v>
      </c>
      <c r="I6" s="71">
        <v>1359</v>
      </c>
      <c r="J6" s="72">
        <v>2325</v>
      </c>
      <c r="K6" s="72">
        <v>22940</v>
      </c>
      <c r="L6" s="74">
        <v>-4310</v>
      </c>
      <c r="M6" s="74">
        <v>1116.7034912109375</v>
      </c>
      <c r="N6" s="74">
        <v>-566.787109375</v>
      </c>
      <c r="O6" s="74">
        <v>1.970234454418581</v>
      </c>
      <c r="P6" s="71">
        <v>53.97622906537007</v>
      </c>
      <c r="Q6" s="75">
        <v>9</v>
      </c>
      <c r="R6" s="72">
        <v>17</v>
      </c>
      <c r="S6" s="72">
        <v>60</v>
      </c>
      <c r="T6" s="72">
        <v>23</v>
      </c>
      <c r="U6" s="72">
        <v>-44765</v>
      </c>
      <c r="V6" s="74">
        <v>1.1516338083746911</v>
      </c>
      <c r="W6" s="71">
        <v>1</v>
      </c>
      <c r="X6" s="72">
        <v>44765</v>
      </c>
      <c r="Y6" s="74">
        <v>446.37551658661903</v>
      </c>
      <c r="Z6" s="71">
        <v>6066.243270412152</v>
      </c>
      <c r="AA6" s="95">
        <v>1.906740870531094</v>
      </c>
      <c r="AB6" s="71">
        <v>1.859826385845998</v>
      </c>
      <c r="AC6" s="71">
        <v>193274.93503875929</v>
      </c>
      <c r="AD6" s="96">
        <v>100.76375748013011</v>
      </c>
      <c r="AE6" s="11">
        <f>(Opti_Salidas__30_INS[[#This Row],[All: TS Index]]-Z$47) /ABS(Z$47)</f>
        <v>-0.37856867531890981</v>
      </c>
      <c r="AF6" s="11">
        <f>(Opti_Salidas__30_INS[[#This Row],[All: Expectancy Score]]-AA$47) /ABS(AA$47)</f>
        <v>-0.93310046608534081</v>
      </c>
      <c r="AG6" s="11"/>
      <c r="AH6" s="11">
        <f>(Opti_Salidas__30_INS[[#This Row],[All: Perfect Profit Correlation]]-AC$47) /ABS(AC$47)</f>
        <v>-0.10153652522941313</v>
      </c>
      <c r="AI6" s="11">
        <f>(Opti_Salidas__30_INS[[#This Row],[All: Robustness Index]]-AD$47) /ABS(AD$47)</f>
        <v>-0.77218793119437845</v>
      </c>
      <c r="AJ6" s="11">
        <f>SUM(Opti_Salidas__30_INS[[#This Row],[VAR TS Index]:[VAR Robustness Index]])</f>
        <v>-2.1853935978280425</v>
      </c>
      <c r="AK6" s="11">
        <f>Opti_Salidas__30_INS[[#This Row],[SUMA]]-Opti_Salidas__30_INS[[#This Row],[VAR Robustness Index]]</f>
        <v>-1.4132056666336641</v>
      </c>
      <c r="AL6" s="11"/>
    </row>
    <row r="7" spans="1:38" x14ac:dyDescent="0.25">
      <c r="A7" s="11"/>
      <c r="B7" s="83">
        <v>24</v>
      </c>
      <c r="C7" s="83">
        <v>25</v>
      </c>
      <c r="D7" s="83">
        <v>183680</v>
      </c>
      <c r="E7" s="10">
        <v>1505380</v>
      </c>
      <c r="F7" s="10">
        <v>-1321700</v>
      </c>
      <c r="G7" s="10">
        <v>3702</v>
      </c>
      <c r="H7" s="83">
        <v>36.304700162074553</v>
      </c>
      <c r="I7" s="11">
        <v>1344</v>
      </c>
      <c r="J7" s="83">
        <v>2339</v>
      </c>
      <c r="K7" s="83">
        <v>6290</v>
      </c>
      <c r="L7" s="12">
        <v>-4310</v>
      </c>
      <c r="M7" s="12">
        <v>1120.074462890625</v>
      </c>
      <c r="N7" s="12">
        <v>-565.070556640625</v>
      </c>
      <c r="O7" s="12">
        <v>1.9821851443641449</v>
      </c>
      <c r="P7" s="11">
        <v>49.616423554835222</v>
      </c>
      <c r="Q7" s="13">
        <v>9</v>
      </c>
      <c r="R7" s="83">
        <v>17</v>
      </c>
      <c r="S7" s="83">
        <v>65</v>
      </c>
      <c r="T7" s="83">
        <v>24</v>
      </c>
      <c r="U7" s="83">
        <v>-41635</v>
      </c>
      <c r="V7" s="12">
        <v>1.1389725353711131</v>
      </c>
      <c r="W7" s="11">
        <v>1</v>
      </c>
      <c r="X7" s="83">
        <v>41635</v>
      </c>
      <c r="Y7" s="12">
        <v>441.16728713822505</v>
      </c>
      <c r="Z7" s="11">
        <v>5929.2883391377445</v>
      </c>
      <c r="AA7" s="91">
        <v>0.95895443913802103</v>
      </c>
      <c r="AB7" s="11">
        <v>1.6994601890775609</v>
      </c>
      <c r="AC7" s="11">
        <v>177399.81697087068</v>
      </c>
      <c r="AD7" s="85">
        <v>129.99419023123681</v>
      </c>
      <c r="AE7" s="11">
        <f>(Opti_Salidas__30_INS[[#This Row],[All: TS Index]]-Z$47) /ABS(Z$47)</f>
        <v>-0.39259845958070722</v>
      </c>
      <c r="AF7" s="11">
        <f>(Opti_Salidas__30_INS[[#This Row],[All: Expectancy Score]]-AA$47) /ABS(AA$47)</f>
        <v>-0.96635431378472625</v>
      </c>
      <c r="AG7" s="11"/>
      <c r="AH7" s="11">
        <f>(Opti_Salidas__30_INS[[#This Row],[All: Perfect Profit Correlation]]-AC$47) /ABS(AC$47)</f>
        <v>-0.17533406001481186</v>
      </c>
      <c r="AI7" s="11">
        <f>(Opti_Salidas__30_INS[[#This Row],[All: Robustness Index]]-AD$47) /ABS(AD$47)</f>
        <v>-0.70610221224501979</v>
      </c>
      <c r="AJ7" s="11">
        <f>SUM(Opti_Salidas__30_INS[[#This Row],[VAR TS Index]:[VAR Robustness Index]])</f>
        <v>-2.2403890456252649</v>
      </c>
      <c r="AK7" s="11">
        <f>Opti_Salidas__30_INS[[#This Row],[SUMA]]-Opti_Salidas__30_INS[[#This Row],[VAR Robustness Index]]</f>
        <v>-1.5342868333802451</v>
      </c>
      <c r="AL7" s="11"/>
    </row>
    <row r="8" spans="1:38" x14ac:dyDescent="0.25">
      <c r="A8" s="11"/>
      <c r="B8" s="83">
        <v>19</v>
      </c>
      <c r="C8" s="83">
        <v>20</v>
      </c>
      <c r="D8" s="83">
        <v>172780</v>
      </c>
      <c r="E8" s="10">
        <v>1486040</v>
      </c>
      <c r="F8" s="10">
        <v>-1313260</v>
      </c>
      <c r="G8" s="10">
        <v>3703</v>
      </c>
      <c r="H8" s="83">
        <v>36.834998649743454</v>
      </c>
      <c r="I8" s="11">
        <v>1364</v>
      </c>
      <c r="J8" s="83">
        <v>2322</v>
      </c>
      <c r="K8" s="83">
        <v>16820</v>
      </c>
      <c r="L8" s="12">
        <v>-4310</v>
      </c>
      <c r="M8" s="12">
        <v>1089.47216796875</v>
      </c>
      <c r="N8" s="12">
        <v>-565.57275390625</v>
      </c>
      <c r="O8" s="12">
        <v>1.926316571023049</v>
      </c>
      <c r="P8" s="11">
        <v>46.659465298406694</v>
      </c>
      <c r="Q8" s="13">
        <v>9</v>
      </c>
      <c r="R8" s="83">
        <v>17</v>
      </c>
      <c r="S8" s="83">
        <v>53</v>
      </c>
      <c r="T8" s="83">
        <v>23</v>
      </c>
      <c r="U8" s="83">
        <v>-43465</v>
      </c>
      <c r="V8" s="12">
        <v>1.1315657219438651</v>
      </c>
      <c r="W8" s="11">
        <v>1</v>
      </c>
      <c r="X8" s="83">
        <v>43465</v>
      </c>
      <c r="Y8" s="12">
        <v>397.51524214885541</v>
      </c>
      <c r="Z8" s="11">
        <v>5422.1079029103876</v>
      </c>
      <c r="AA8" s="91">
        <v>3.081422161832672</v>
      </c>
      <c r="AB8" s="11">
        <v>1.597965432343718</v>
      </c>
      <c r="AC8" s="11">
        <v>165703.72610196748</v>
      </c>
      <c r="AD8" s="85">
        <v>134.91332884191837</v>
      </c>
      <c r="AE8" s="11">
        <f>(Opti_Salidas__30_INS[[#This Row],[All: TS Index]]-Z$47) /ABS(Z$47)</f>
        <v>-0.44455447194083891</v>
      </c>
      <c r="AF8" s="11">
        <f>(Opti_Salidas__30_INS[[#This Row],[All: Expectancy Score]]-AA$47) /ABS(AA$47)</f>
        <v>-0.89188583010575084</v>
      </c>
      <c r="AG8" s="11"/>
      <c r="AH8" s="11">
        <f>(Opti_Salidas__30_INS[[#This Row],[All: Perfect Profit Correlation]]-AC$47) /ABS(AC$47)</f>
        <v>-0.2297048476247</v>
      </c>
      <c r="AI8" s="11">
        <f>(Opti_Salidas__30_INS[[#This Row],[All: Robustness Index]]-AD$47) /ABS(AD$47)</f>
        <v>-0.69498076171890222</v>
      </c>
      <c r="AJ8" s="11">
        <f>SUM(Opti_Salidas__30_INS[[#This Row],[VAR TS Index]:[VAR Robustness Index]])</f>
        <v>-2.261125911390192</v>
      </c>
      <c r="AK8" s="11">
        <f>Opti_Salidas__30_INS[[#This Row],[SUMA]]-Opti_Salidas__30_INS[[#This Row],[VAR Robustness Index]]</f>
        <v>-1.5661451496712897</v>
      </c>
      <c r="AL8" s="11"/>
    </row>
    <row r="9" spans="1:38" x14ac:dyDescent="0.25">
      <c r="A9" s="11"/>
      <c r="B9" s="83">
        <v>16</v>
      </c>
      <c r="C9" s="83">
        <v>17</v>
      </c>
      <c r="D9" s="83">
        <v>167120</v>
      </c>
      <c r="E9" s="10">
        <v>1488320</v>
      </c>
      <c r="F9" s="10">
        <v>-1321200</v>
      </c>
      <c r="G9" s="10">
        <v>3702</v>
      </c>
      <c r="H9" s="83">
        <v>36.790923824959478</v>
      </c>
      <c r="I9" s="11">
        <v>1362</v>
      </c>
      <c r="J9" s="83">
        <v>2322</v>
      </c>
      <c r="K9" s="83">
        <v>3590</v>
      </c>
      <c r="L9" s="12">
        <v>-4710</v>
      </c>
      <c r="M9" s="12">
        <v>1092.7459716796875</v>
      </c>
      <c r="N9" s="12">
        <v>-568.99224853515625</v>
      </c>
      <c r="O9" s="12">
        <v>1.920493599856431</v>
      </c>
      <c r="P9" s="11">
        <v>45.143165856293898</v>
      </c>
      <c r="Q9" s="13">
        <v>9</v>
      </c>
      <c r="R9" s="83">
        <v>17</v>
      </c>
      <c r="S9" s="83">
        <v>55</v>
      </c>
      <c r="T9" s="83">
        <v>23</v>
      </c>
      <c r="U9" s="83">
        <v>-40415</v>
      </c>
      <c r="V9" s="12">
        <v>1.1264910687254011</v>
      </c>
      <c r="W9" s="11">
        <v>1</v>
      </c>
      <c r="X9" s="83">
        <v>40415</v>
      </c>
      <c r="Y9" s="12">
        <v>413.50983545713223</v>
      </c>
      <c r="Z9" s="11">
        <v>5632.0039589261414</v>
      </c>
      <c r="AA9" s="91">
        <v>1.689824621545797</v>
      </c>
      <c r="AB9" s="11">
        <v>1.5421000614077409</v>
      </c>
      <c r="AC9" s="11">
        <v>161581.13573485528</v>
      </c>
      <c r="AD9" s="85">
        <v>85.686131477930175</v>
      </c>
      <c r="AE9" s="11">
        <f>(Opti_Salidas__30_INS[[#This Row],[All: TS Index]]-Z$47) /ABS(Z$47)</f>
        <v>-0.42305253436253532</v>
      </c>
      <c r="AF9" s="11">
        <f>(Opti_Salidas__30_INS[[#This Row],[All: Expectancy Score]]-AA$47) /ABS(AA$47)</f>
        <v>-0.94071114679183376</v>
      </c>
      <c r="AG9" s="11"/>
      <c r="AH9" s="11">
        <f>(Opti_Salidas__30_INS[[#This Row],[All: Perfect Profit Correlation]]-AC$47) /ABS(AC$47)</f>
        <v>-0.24886924090491799</v>
      </c>
      <c r="AI9" s="11">
        <f>(Opti_Salidas__30_INS[[#This Row],[All: Robustness Index]]-AD$47) /ABS(AD$47)</f>
        <v>-0.80627623097732304</v>
      </c>
      <c r="AJ9" s="11">
        <f>SUM(Opti_Salidas__30_INS[[#This Row],[VAR TS Index]:[VAR Robustness Index]])</f>
        <v>-2.4189091530366102</v>
      </c>
      <c r="AK9" s="11">
        <f>Opti_Salidas__30_INS[[#This Row],[SUMA]]-Opti_Salidas__30_INS[[#This Row],[VAR Robustness Index]]</f>
        <v>-1.6126329220592872</v>
      </c>
      <c r="AL9" s="11"/>
    </row>
    <row r="10" spans="1:38" x14ac:dyDescent="0.25">
      <c r="A10" s="11"/>
      <c r="B10" s="83">
        <v>12</v>
      </c>
      <c r="C10" s="83">
        <v>13</v>
      </c>
      <c r="D10" s="83">
        <v>136080</v>
      </c>
      <c r="E10" s="10">
        <v>1392990</v>
      </c>
      <c r="F10" s="10">
        <v>-1256910</v>
      </c>
      <c r="G10" s="10">
        <v>3702</v>
      </c>
      <c r="H10" s="83">
        <v>34.521880064829823</v>
      </c>
      <c r="I10" s="11">
        <v>1278</v>
      </c>
      <c r="J10" s="83">
        <v>2403</v>
      </c>
      <c r="K10" s="83">
        <v>18780</v>
      </c>
      <c r="L10" s="12">
        <v>-4300</v>
      </c>
      <c r="M10" s="12">
        <v>1089.9765625</v>
      </c>
      <c r="N10" s="12">
        <v>-523.05865478515625</v>
      </c>
      <c r="O10" s="12">
        <v>2.083851500263775</v>
      </c>
      <c r="P10" s="11">
        <v>36.758508914100489</v>
      </c>
      <c r="Q10" s="13">
        <v>9</v>
      </c>
      <c r="R10" s="83">
        <v>17</v>
      </c>
      <c r="S10" s="83">
        <v>66</v>
      </c>
      <c r="T10" s="83">
        <v>22</v>
      </c>
      <c r="U10" s="83">
        <v>-36635</v>
      </c>
      <c r="V10" s="12">
        <v>1.1082655082702819</v>
      </c>
      <c r="W10" s="11">
        <v>1</v>
      </c>
      <c r="X10" s="83">
        <v>36635</v>
      </c>
      <c r="Y10" s="12">
        <v>371.44806878667941</v>
      </c>
      <c r="Z10" s="11">
        <v>4747.106319093763</v>
      </c>
      <c r="AA10" s="91">
        <v>6.0966786720695634</v>
      </c>
      <c r="AB10" s="11">
        <v>1.2275483959109801</v>
      </c>
      <c r="AC10" s="11">
        <v>129331.20777634108</v>
      </c>
      <c r="AD10" s="85">
        <v>122.9783947629312</v>
      </c>
      <c r="AE10" s="11">
        <f>(Opti_Salidas__30_INS[[#This Row],[All: TS Index]]-Z$47) /ABS(Z$47)</f>
        <v>-0.513702231055435</v>
      </c>
      <c r="AF10" s="11">
        <f>(Opti_Salidas__30_INS[[#This Row],[All: Expectancy Score]]-AA$47) /ABS(AA$47)</f>
        <v>-0.78609313520652002</v>
      </c>
      <c r="AG10" s="11"/>
      <c r="AH10" s="11">
        <f>(Opti_Salidas__30_INS[[#This Row],[All: Perfect Profit Correlation]]-AC$47) /ABS(AC$47)</f>
        <v>-0.39878719239147292</v>
      </c>
      <c r="AI10" s="11">
        <f>(Opti_Salidas__30_INS[[#This Row],[All: Robustness Index]]-AD$47) /ABS(AD$47)</f>
        <v>-0.72196389624650192</v>
      </c>
      <c r="AJ10" s="11">
        <f>SUM(Opti_Salidas__30_INS[[#This Row],[VAR TS Index]:[VAR Robustness Index]])</f>
        <v>-2.42054645489993</v>
      </c>
      <c r="AK10" s="11">
        <f>Opti_Salidas__30_INS[[#This Row],[SUMA]]-Opti_Salidas__30_INS[[#This Row],[VAR Robustness Index]]</f>
        <v>-1.698582558653428</v>
      </c>
      <c r="AL10" s="11"/>
    </row>
    <row r="11" spans="1:38" x14ac:dyDescent="0.25">
      <c r="A11" s="11"/>
      <c r="B11" s="83">
        <v>29</v>
      </c>
      <c r="C11" s="83">
        <v>30</v>
      </c>
      <c r="D11" s="83">
        <v>155420</v>
      </c>
      <c r="E11" s="10">
        <v>1481150</v>
      </c>
      <c r="F11" s="10">
        <v>-1325730</v>
      </c>
      <c r="G11" s="10">
        <v>3702</v>
      </c>
      <c r="H11" s="83">
        <v>36.49378714208536</v>
      </c>
      <c r="I11" s="11">
        <v>1351</v>
      </c>
      <c r="J11" s="83">
        <v>2332</v>
      </c>
      <c r="K11" s="83">
        <v>8010</v>
      </c>
      <c r="L11" s="12">
        <v>-4310</v>
      </c>
      <c r="M11" s="12">
        <v>1096.3360595703125</v>
      </c>
      <c r="N11" s="12">
        <v>-568.494873046875</v>
      </c>
      <c r="O11" s="12">
        <v>1.9284889126518381</v>
      </c>
      <c r="P11" s="11">
        <v>41.982712047541867</v>
      </c>
      <c r="Q11" s="13">
        <v>9</v>
      </c>
      <c r="R11" s="83">
        <v>17</v>
      </c>
      <c r="S11" s="83">
        <v>67</v>
      </c>
      <c r="T11" s="83">
        <v>23</v>
      </c>
      <c r="U11" s="83">
        <v>-45225</v>
      </c>
      <c r="V11" s="12">
        <v>1.1172335241715881</v>
      </c>
      <c r="W11" s="11">
        <v>1</v>
      </c>
      <c r="X11" s="83">
        <v>45225</v>
      </c>
      <c r="Y11" s="12">
        <v>343.65948037589828</v>
      </c>
      <c r="Z11" s="11">
        <v>4642.8395798783858</v>
      </c>
      <c r="AA11" s="91">
        <v>3.7583784656468E-2</v>
      </c>
      <c r="AB11" s="11">
        <v>1.4257618825049261</v>
      </c>
      <c r="AC11" s="11">
        <v>148703.88435369969</v>
      </c>
      <c r="AD11" s="85">
        <v>176.30108938796738</v>
      </c>
      <c r="AE11" s="11">
        <f>(Opti_Salidas__30_INS[[#This Row],[All: TS Index]]-Z$47) /ABS(Z$47)</f>
        <v>-0.52438340801825523</v>
      </c>
      <c r="AF11" s="11">
        <f>(Opti_Salidas__30_INS[[#This Row],[All: Expectancy Score]]-AA$47) /ABS(AA$47)</f>
        <v>-0.99868134274818032</v>
      </c>
      <c r="AG11" s="11"/>
      <c r="AH11" s="11">
        <f>(Opti_Salidas__30_INS[[#This Row],[All: Perfect Profit Correlation]]-AC$47) /ABS(AC$47)</f>
        <v>-0.3087308055671294</v>
      </c>
      <c r="AI11" s="11">
        <f>(Opti_Salidas__30_INS[[#This Row],[All: Robustness Index]]-AD$47) /ABS(AD$47)</f>
        <v>-0.60140910868595165</v>
      </c>
      <c r="AJ11" s="11">
        <f>SUM(Opti_Salidas__30_INS[[#This Row],[VAR TS Index]:[VAR Robustness Index]])</f>
        <v>-2.4332046650195167</v>
      </c>
      <c r="AK11" s="11">
        <f>Opti_Salidas__30_INS[[#This Row],[SUMA]]-Opti_Salidas__30_INS[[#This Row],[VAR Robustness Index]]</f>
        <v>-1.8317955563335651</v>
      </c>
      <c r="AL11" s="11"/>
    </row>
    <row r="12" spans="1:38" x14ac:dyDescent="0.25">
      <c r="A12" s="11"/>
      <c r="B12" s="83">
        <v>4</v>
      </c>
      <c r="C12" s="83">
        <v>5</v>
      </c>
      <c r="D12" s="83">
        <v>142860</v>
      </c>
      <c r="E12" s="10">
        <v>1473960</v>
      </c>
      <c r="F12" s="10">
        <v>-1331100</v>
      </c>
      <c r="G12" s="10">
        <v>3702</v>
      </c>
      <c r="H12" s="83">
        <v>36.520799567801191</v>
      </c>
      <c r="I12" s="11">
        <v>1352</v>
      </c>
      <c r="J12" s="83">
        <v>2331</v>
      </c>
      <c r="K12" s="83">
        <v>7470</v>
      </c>
      <c r="L12" s="12">
        <v>-4310</v>
      </c>
      <c r="M12" s="12">
        <v>1090.2071533203125</v>
      </c>
      <c r="N12" s="12">
        <v>-571.04248046875</v>
      </c>
      <c r="O12" s="12">
        <v>1.909152454691982</v>
      </c>
      <c r="P12" s="11">
        <v>38.58995137763371</v>
      </c>
      <c r="Q12" s="13">
        <v>9</v>
      </c>
      <c r="R12" s="83">
        <v>17</v>
      </c>
      <c r="S12" s="83">
        <v>68</v>
      </c>
      <c r="T12" s="83">
        <v>23</v>
      </c>
      <c r="U12" s="83">
        <v>-45225</v>
      </c>
      <c r="V12" s="12">
        <v>1.107324768988055</v>
      </c>
      <c r="W12" s="11">
        <v>1</v>
      </c>
      <c r="X12" s="83">
        <v>45225</v>
      </c>
      <c r="Y12" s="12">
        <v>315.88723051409619</v>
      </c>
      <c r="Z12" s="11">
        <v>4270.7953565505804</v>
      </c>
      <c r="AA12" s="91">
        <v>0.55918758291565496</v>
      </c>
      <c r="AB12" s="11">
        <v>1.3034374916371469</v>
      </c>
      <c r="AC12" s="11">
        <v>135618.97652061377</v>
      </c>
      <c r="AD12" s="85">
        <v>193.10782991463859</v>
      </c>
      <c r="AE12" s="11">
        <f>(Opti_Salidas__30_INS[[#This Row],[All: TS Index]]-Z$47) /ABS(Z$47)</f>
        <v>-0.56249594723510687</v>
      </c>
      <c r="AF12" s="11">
        <f>(Opti_Salidas__30_INS[[#This Row],[All: Expectancy Score]]-AA$47) /ABS(AA$47)</f>
        <v>-0.9803804548137145</v>
      </c>
      <c r="AG12" s="11"/>
      <c r="AH12" s="11">
        <f>(Opti_Salidas__30_INS[[#This Row],[All: Perfect Profit Correlation]]-AC$47) /ABS(AC$47)</f>
        <v>-0.36955768804110173</v>
      </c>
      <c r="AI12" s="11">
        <f>(Opti_Salidas__30_INS[[#This Row],[All: Robustness Index]]-AD$47) /ABS(AD$47)</f>
        <v>-0.56341153470688232</v>
      </c>
      <c r="AJ12" s="11">
        <f>SUM(Opti_Salidas__30_INS[[#This Row],[VAR TS Index]:[VAR Robustness Index]])</f>
        <v>-2.4758456247968055</v>
      </c>
      <c r="AK12" s="11">
        <f>Opti_Salidas__30_INS[[#This Row],[SUMA]]-Opti_Salidas__30_INS[[#This Row],[VAR Robustness Index]]</f>
        <v>-1.9124340900899233</v>
      </c>
      <c r="AL12" s="11"/>
    </row>
    <row r="13" spans="1:38" x14ac:dyDescent="0.25">
      <c r="A13" s="11"/>
      <c r="B13" s="83">
        <v>27</v>
      </c>
      <c r="C13" s="83">
        <v>28</v>
      </c>
      <c r="D13" s="83">
        <v>151400</v>
      </c>
      <c r="E13" s="10">
        <v>1467330</v>
      </c>
      <c r="F13" s="10">
        <v>-1315930</v>
      </c>
      <c r="G13" s="10">
        <v>3702</v>
      </c>
      <c r="H13" s="83">
        <v>36.16963803349541</v>
      </c>
      <c r="I13" s="11">
        <v>1339</v>
      </c>
      <c r="J13" s="83">
        <v>2345</v>
      </c>
      <c r="K13" s="83">
        <v>18780</v>
      </c>
      <c r="L13" s="12">
        <v>-4310</v>
      </c>
      <c r="M13" s="12">
        <v>1095.8402099609375</v>
      </c>
      <c r="N13" s="12">
        <v>-561.1641845703125</v>
      </c>
      <c r="O13" s="12">
        <v>1.9527978443599889</v>
      </c>
      <c r="P13" s="11">
        <v>40.896812533765534</v>
      </c>
      <c r="Q13" s="13">
        <v>9</v>
      </c>
      <c r="R13" s="83">
        <v>17</v>
      </c>
      <c r="S13" s="83">
        <v>68</v>
      </c>
      <c r="T13" s="83">
        <v>24</v>
      </c>
      <c r="U13" s="83">
        <v>-45225</v>
      </c>
      <c r="V13" s="12">
        <v>1.115051712477108</v>
      </c>
      <c r="W13" s="11">
        <v>1</v>
      </c>
      <c r="X13" s="83">
        <v>45225</v>
      </c>
      <c r="Y13" s="12">
        <v>334.77059148700937</v>
      </c>
      <c r="Z13" s="11">
        <v>4482.5782200110561</v>
      </c>
      <c r="AA13" s="91">
        <v>2.6709075788767351</v>
      </c>
      <c r="AB13" s="11">
        <v>1.3847512142772671</v>
      </c>
      <c r="AC13" s="11">
        <v>143537.78638920016</v>
      </c>
      <c r="AD13" s="85">
        <v>132.94328878530263</v>
      </c>
      <c r="AE13" s="11">
        <f>(Opti_Salidas__30_INS[[#This Row],[All: TS Index]]-Z$47) /ABS(Z$47)</f>
        <v>-0.54080072343376129</v>
      </c>
      <c r="AF13" s="11">
        <f>(Opti_Salidas__30_INS[[#This Row],[All: Expectancy Score]]-AA$47) /ABS(AA$47)</f>
        <v>-0.90628906375399865</v>
      </c>
      <c r="AG13" s="11"/>
      <c r="AH13" s="11">
        <f>(Opti_Salidas__30_INS[[#This Row],[All: Perfect Profit Correlation]]-AC$47) /ABS(AC$47)</f>
        <v>-0.33274607856286825</v>
      </c>
      <c r="AI13" s="11">
        <f>(Opti_Salidas__30_INS[[#This Row],[All: Robustness Index]]-AD$47) /ABS(AD$47)</f>
        <v>-0.69943473318792049</v>
      </c>
      <c r="AJ13" s="11">
        <f>SUM(Opti_Salidas__30_INS[[#This Row],[VAR TS Index]:[VAR Robustness Index]])</f>
        <v>-2.4792705989385486</v>
      </c>
      <c r="AK13" s="11">
        <f>Opti_Salidas__30_INS[[#This Row],[SUMA]]-Opti_Salidas__30_INS[[#This Row],[VAR Robustness Index]]</f>
        <v>-1.7798358657506281</v>
      </c>
      <c r="AL13" s="11"/>
    </row>
    <row r="14" spans="1:38" x14ac:dyDescent="0.25">
      <c r="A14" s="11"/>
      <c r="B14" s="83">
        <v>5</v>
      </c>
      <c r="C14" s="83">
        <v>6</v>
      </c>
      <c r="D14" s="83">
        <v>160700</v>
      </c>
      <c r="E14" s="10">
        <v>1475880</v>
      </c>
      <c r="F14" s="10">
        <v>-1315180</v>
      </c>
      <c r="G14" s="10">
        <v>3702</v>
      </c>
      <c r="H14" s="83">
        <v>36.844948676391141</v>
      </c>
      <c r="I14" s="11">
        <v>1364</v>
      </c>
      <c r="J14" s="83">
        <v>2320</v>
      </c>
      <c r="K14" s="83">
        <v>3420</v>
      </c>
      <c r="L14" s="12">
        <v>-4310</v>
      </c>
      <c r="M14" s="12">
        <v>1082.0234375</v>
      </c>
      <c r="N14" s="12">
        <v>-566.887939453125</v>
      </c>
      <c r="O14" s="12">
        <v>1.908707810125269</v>
      </c>
      <c r="P14" s="11">
        <v>43.408968125337658</v>
      </c>
      <c r="Q14" s="13">
        <v>9</v>
      </c>
      <c r="R14" s="83">
        <v>17</v>
      </c>
      <c r="S14" s="83">
        <v>54</v>
      </c>
      <c r="T14" s="83">
        <v>23</v>
      </c>
      <c r="U14" s="83">
        <v>-40705</v>
      </c>
      <c r="V14" s="12">
        <v>1.122188597758482</v>
      </c>
      <c r="W14" s="11">
        <v>1</v>
      </c>
      <c r="X14" s="83">
        <v>40705</v>
      </c>
      <c r="Y14" s="12">
        <v>394.79179461982557</v>
      </c>
      <c r="Z14" s="11">
        <v>5384.960078614421</v>
      </c>
      <c r="AA14" s="91">
        <v>1.7619773014071911</v>
      </c>
      <c r="AB14" s="11">
        <v>1.480432470834244</v>
      </c>
      <c r="AC14" s="11">
        <v>154853.80825789913</v>
      </c>
      <c r="AD14" s="85">
        <v>74.516699450475855</v>
      </c>
      <c r="AE14" s="11">
        <f>(Opti_Salidas__30_INS[[#This Row],[All: TS Index]]-Z$47) /ABS(Z$47)</f>
        <v>-0.44835992790958618</v>
      </c>
      <c r="AF14" s="11">
        <f>(Opti_Salidas__30_INS[[#This Row],[All: Expectancy Score]]-AA$47) /ABS(AA$47)</f>
        <v>-0.93817961210454481</v>
      </c>
      <c r="AG14" s="11"/>
      <c r="AH14" s="11">
        <f>(Opti_Salidas__30_INS[[#This Row],[All: Perfect Profit Correlation]]-AC$47) /ABS(AC$47)</f>
        <v>-0.28014209074265595</v>
      </c>
      <c r="AI14" s="11">
        <f>(Opti_Salidas__30_INS[[#This Row],[All: Robustness Index]]-AD$47) /ABS(AD$47)</f>
        <v>-0.83152867770212779</v>
      </c>
      <c r="AJ14" s="11">
        <f>SUM(Opti_Salidas__30_INS[[#This Row],[VAR TS Index]:[VAR Robustness Index]])</f>
        <v>-2.4982103084589147</v>
      </c>
      <c r="AK14" s="11">
        <f>Opti_Salidas__30_INS[[#This Row],[SUMA]]-Opti_Salidas__30_INS[[#This Row],[VAR Robustness Index]]</f>
        <v>-1.6666816307567869</v>
      </c>
      <c r="AL14" s="11"/>
    </row>
    <row r="15" spans="1:38" x14ac:dyDescent="0.25">
      <c r="A15" s="11"/>
      <c r="B15" s="83">
        <v>11</v>
      </c>
      <c r="C15" s="83">
        <v>12</v>
      </c>
      <c r="D15" s="83">
        <v>145550</v>
      </c>
      <c r="E15" s="10">
        <v>1453840</v>
      </c>
      <c r="F15" s="10">
        <v>-1308290</v>
      </c>
      <c r="G15" s="10">
        <v>3703</v>
      </c>
      <c r="H15" s="83">
        <v>36.672967863894137</v>
      </c>
      <c r="I15" s="11">
        <v>1358</v>
      </c>
      <c r="J15" s="83">
        <v>2327</v>
      </c>
      <c r="K15" s="83">
        <v>7410</v>
      </c>
      <c r="L15" s="12">
        <v>-4300</v>
      </c>
      <c r="M15" s="12">
        <v>1070.5743408203125</v>
      </c>
      <c r="N15" s="12">
        <v>-562.22174072265625</v>
      </c>
      <c r="O15" s="12">
        <v>1.90418524094113</v>
      </c>
      <c r="P15" s="11">
        <v>39.305968133945449</v>
      </c>
      <c r="Q15" s="13">
        <v>9</v>
      </c>
      <c r="R15" s="83">
        <v>17</v>
      </c>
      <c r="S15" s="83">
        <v>42</v>
      </c>
      <c r="T15" s="83">
        <v>23</v>
      </c>
      <c r="U15" s="83">
        <v>-29845</v>
      </c>
      <c r="V15" s="12">
        <v>1.111252092425991</v>
      </c>
      <c r="W15" s="11">
        <v>1</v>
      </c>
      <c r="X15" s="83">
        <v>29845</v>
      </c>
      <c r="Y15" s="12">
        <v>487.68637962807838</v>
      </c>
      <c r="Z15" s="11">
        <v>6622.7810353493051</v>
      </c>
      <c r="AA15" s="91">
        <v>2.6782310763508992</v>
      </c>
      <c r="AB15" s="11">
        <v>1.3321921676935791</v>
      </c>
      <c r="AC15" s="11">
        <v>141404.91199564809</v>
      </c>
      <c r="AD15" s="85">
        <v>31.694017920768776</v>
      </c>
      <c r="AE15" s="11">
        <f>(Opti_Salidas__30_INS[[#This Row],[All: TS Index]]-Z$47) /ABS(Z$47)</f>
        <v>-0.32155645456165516</v>
      </c>
      <c r="AF15" s="11">
        <f>(Opti_Salidas__30_INS[[#This Row],[All: Expectancy Score]]-AA$47) /ABS(AA$47)</f>
        <v>-0.90603211296681063</v>
      </c>
      <c r="AG15" s="11"/>
      <c r="AH15" s="11">
        <f>(Opti_Salidas__30_INS[[#This Row],[All: Perfect Profit Correlation]]-AC$47) /ABS(AC$47)</f>
        <v>-0.34266102039687124</v>
      </c>
      <c r="AI15" s="11">
        <f>(Opti_Salidas__30_INS[[#This Row],[All: Robustness Index]]-AD$47) /ABS(AD$47)</f>
        <v>-0.92834447650767127</v>
      </c>
      <c r="AJ15" s="11">
        <f>SUM(Opti_Salidas__30_INS[[#This Row],[VAR TS Index]:[VAR Robustness Index]])</f>
        <v>-2.4985940644330085</v>
      </c>
      <c r="AK15" s="11">
        <f>Opti_Salidas__30_INS[[#This Row],[SUMA]]-Opti_Salidas__30_INS[[#This Row],[VAR Robustness Index]]</f>
        <v>-1.5702495879253373</v>
      </c>
      <c r="AL15" s="11"/>
    </row>
    <row r="16" spans="1:38" x14ac:dyDescent="0.25">
      <c r="A16" s="11"/>
      <c r="B16" s="83">
        <v>28</v>
      </c>
      <c r="C16" s="83">
        <v>29</v>
      </c>
      <c r="D16" s="83">
        <v>156140</v>
      </c>
      <c r="E16" s="10">
        <v>1480320</v>
      </c>
      <c r="F16" s="10">
        <v>-1324180</v>
      </c>
      <c r="G16" s="10">
        <v>3702</v>
      </c>
      <c r="H16" s="83">
        <v>36.466774716369528</v>
      </c>
      <c r="I16" s="11">
        <v>1350</v>
      </c>
      <c r="J16" s="83">
        <v>2333</v>
      </c>
      <c r="K16" s="83">
        <v>18780</v>
      </c>
      <c r="L16" s="12">
        <v>-4310</v>
      </c>
      <c r="M16" s="12">
        <v>1096.5333251953125</v>
      </c>
      <c r="N16" s="12">
        <v>-567.5867919921875</v>
      </c>
      <c r="O16" s="12">
        <v>1.931921849954545</v>
      </c>
      <c r="P16" s="11">
        <v>42.177201512695838</v>
      </c>
      <c r="Q16" s="13">
        <v>9</v>
      </c>
      <c r="R16" s="83">
        <v>17</v>
      </c>
      <c r="S16" s="83">
        <v>68</v>
      </c>
      <c r="T16" s="83">
        <v>23</v>
      </c>
      <c r="U16" s="83">
        <v>-45225</v>
      </c>
      <c r="V16" s="12">
        <v>1.1179144829252821</v>
      </c>
      <c r="W16" s="11">
        <v>1</v>
      </c>
      <c r="X16" s="83">
        <v>45225</v>
      </c>
      <c r="Y16" s="12">
        <v>345.25152017689334</v>
      </c>
      <c r="Z16" s="11">
        <v>4660.8955223880594</v>
      </c>
      <c r="AA16" s="91">
        <v>0.52134247230961395</v>
      </c>
      <c r="AB16" s="11">
        <v>1.432658813723612</v>
      </c>
      <c r="AC16" s="11">
        <v>148116.95695885224</v>
      </c>
      <c r="AD16" s="85">
        <v>130.4467183670989</v>
      </c>
      <c r="AE16" s="11">
        <f>(Opti_Salidas__30_INS[[#This Row],[All: TS Index]]-Z$47) /ABS(Z$47)</f>
        <v>-0.52253374130164332</v>
      </c>
      <c r="AF16" s="11">
        <f>(Opti_Salidas__30_INS[[#This Row],[All: Expectancy Score]]-AA$47) /ABS(AA$47)</f>
        <v>-0.98170828089623186</v>
      </c>
      <c r="AG16" s="11"/>
      <c r="AH16" s="11">
        <f>(Opti_Salidas__30_INS[[#This Row],[All: Perfect Profit Correlation]]-AC$47) /ABS(AC$47)</f>
        <v>-0.31145921329628956</v>
      </c>
      <c r="AI16" s="11">
        <f>(Opti_Salidas__30_INS[[#This Row],[All: Robustness Index]]-AD$47) /ABS(AD$47)</f>
        <v>-0.70507911253733146</v>
      </c>
      <c r="AJ16" s="11">
        <f>SUM(Opti_Salidas__30_INS[[#This Row],[VAR TS Index]:[VAR Robustness Index]])</f>
        <v>-2.5207803480314963</v>
      </c>
      <c r="AK16" s="11">
        <f>Opti_Salidas__30_INS[[#This Row],[SUMA]]-Opti_Salidas__30_INS[[#This Row],[VAR Robustness Index]]</f>
        <v>-1.8157012354941648</v>
      </c>
      <c r="AL16" s="11"/>
    </row>
    <row r="17" spans="1:38" x14ac:dyDescent="0.25">
      <c r="A17" s="11"/>
      <c r="B17" s="83">
        <v>18</v>
      </c>
      <c r="C17" s="83">
        <v>19</v>
      </c>
      <c r="D17" s="83">
        <v>132210</v>
      </c>
      <c r="E17" s="10">
        <v>1350020</v>
      </c>
      <c r="F17" s="10">
        <v>-1217810</v>
      </c>
      <c r="G17" s="10">
        <v>3702</v>
      </c>
      <c r="H17" s="83">
        <v>34.27876823338736</v>
      </c>
      <c r="I17" s="11">
        <v>1269</v>
      </c>
      <c r="J17" s="83">
        <v>2411</v>
      </c>
      <c r="K17" s="83">
        <v>3420</v>
      </c>
      <c r="L17" s="12">
        <v>-4610</v>
      </c>
      <c r="M17" s="12">
        <v>1063.8455810546875</v>
      </c>
      <c r="N17" s="12">
        <v>-505.10577392578125</v>
      </c>
      <c r="O17" s="12">
        <v>2.1061837658007172</v>
      </c>
      <c r="P17" s="11">
        <v>35.713128038897892</v>
      </c>
      <c r="Q17" s="13">
        <v>9</v>
      </c>
      <c r="R17" s="83">
        <v>17</v>
      </c>
      <c r="S17" s="83">
        <v>52</v>
      </c>
      <c r="T17" s="83">
        <v>21</v>
      </c>
      <c r="U17" s="83">
        <v>-31805</v>
      </c>
      <c r="V17" s="12">
        <v>1.1085637332588829</v>
      </c>
      <c r="W17" s="11">
        <v>1</v>
      </c>
      <c r="X17" s="83">
        <v>31805</v>
      </c>
      <c r="Y17" s="12">
        <v>415.68935701933657</v>
      </c>
      <c r="Z17" s="11">
        <v>5275.0979405753815</v>
      </c>
      <c r="AA17" s="91">
        <v>8.8883300256969004</v>
      </c>
      <c r="AB17" s="11">
        <v>1.19114272463765</v>
      </c>
      <c r="AC17" s="11">
        <v>127066.96451983537</v>
      </c>
      <c r="AD17" s="85">
        <v>15.442819218616036</v>
      </c>
      <c r="AE17" s="11">
        <f>(Opti_Salidas__30_INS[[#This Row],[All: TS Index]]-Z$47) /ABS(Z$47)</f>
        <v>-0.45961430247561946</v>
      </c>
      <c r="AF17" s="11">
        <f>(Opti_Salidas__30_INS[[#This Row],[All: Expectancy Score]]-AA$47) /ABS(AA$47)</f>
        <v>-0.68814580670672398</v>
      </c>
      <c r="AG17" s="11"/>
      <c r="AH17" s="11">
        <f>(Opti_Salidas__30_INS[[#This Row],[All: Perfect Profit Correlation]]-AC$47) /ABS(AC$47)</f>
        <v>-0.40931281933610508</v>
      </c>
      <c r="AI17" s="11">
        <f>(Opti_Salidas__30_INS[[#This Row],[All: Robustness Index]]-AD$47) /ABS(AD$47)</f>
        <v>-0.9650860519460297</v>
      </c>
      <c r="AJ17" s="11">
        <f>SUM(Opti_Salidas__30_INS[[#This Row],[VAR TS Index]:[VAR Robustness Index]])</f>
        <v>-2.5221589804644782</v>
      </c>
      <c r="AK17" s="11">
        <f>Opti_Salidas__30_INS[[#This Row],[SUMA]]-Opti_Salidas__30_INS[[#This Row],[VAR Robustness Index]]</f>
        <v>-1.5570729285184486</v>
      </c>
      <c r="AL17" s="11"/>
    </row>
    <row r="18" spans="1:38" x14ac:dyDescent="0.25">
      <c r="A18" s="11"/>
      <c r="B18" s="83">
        <v>30</v>
      </c>
      <c r="C18" s="83">
        <v>31</v>
      </c>
      <c r="D18" s="83">
        <v>139660</v>
      </c>
      <c r="E18" s="10">
        <v>1463460</v>
      </c>
      <c r="F18" s="10">
        <v>-1323800</v>
      </c>
      <c r="G18" s="10">
        <v>3702</v>
      </c>
      <c r="H18" s="83">
        <v>36.223662884927066</v>
      </c>
      <c r="I18" s="11">
        <v>1341</v>
      </c>
      <c r="J18" s="83">
        <v>2342</v>
      </c>
      <c r="K18" s="83">
        <v>7970</v>
      </c>
      <c r="L18" s="12">
        <v>-4030</v>
      </c>
      <c r="M18" s="12">
        <v>1091.3199462890625</v>
      </c>
      <c r="N18" s="12">
        <v>-565.243408203125</v>
      </c>
      <c r="O18" s="12">
        <v>1.9307079577598321</v>
      </c>
      <c r="P18" s="11">
        <v>37.725553754727173</v>
      </c>
      <c r="Q18" s="13">
        <v>9</v>
      </c>
      <c r="R18" s="83">
        <v>17</v>
      </c>
      <c r="S18" s="83">
        <v>68</v>
      </c>
      <c r="T18" s="83">
        <v>24</v>
      </c>
      <c r="U18" s="83">
        <v>-45225</v>
      </c>
      <c r="V18" s="12">
        <v>1.105499320138994</v>
      </c>
      <c r="W18" s="11">
        <v>1</v>
      </c>
      <c r="X18" s="83">
        <v>45225</v>
      </c>
      <c r="Y18" s="12">
        <v>308.81149806522939</v>
      </c>
      <c r="Z18" s="11">
        <v>4141.1621890547267</v>
      </c>
      <c r="AA18" s="91">
        <v>1.217849514787946</v>
      </c>
      <c r="AB18" s="11">
        <v>1.2705073793024551</v>
      </c>
      <c r="AC18" s="11">
        <v>131477.8218035427</v>
      </c>
      <c r="AD18" s="85">
        <v>168.52829332579915</v>
      </c>
      <c r="AE18" s="11">
        <f>(Opti_Salidas__30_INS[[#This Row],[All: TS Index]]-Z$47) /ABS(Z$47)</f>
        <v>-0.57577568354117836</v>
      </c>
      <c r="AF18" s="11">
        <f>(Opti_Salidas__30_INS[[#This Row],[All: Expectancy Score]]-AA$47) /ABS(AA$47)</f>
        <v>-0.95727077224981594</v>
      </c>
      <c r="AG18" s="11"/>
      <c r="AH18" s="11">
        <f>(Opti_Salidas__30_INS[[#This Row],[All: Perfect Profit Correlation]]-AC$47) /ABS(AC$47)</f>
        <v>-0.38880838009755558</v>
      </c>
      <c r="AI18" s="11">
        <f>(Opti_Salidas__30_INS[[#This Row],[All: Robustness Index]]-AD$47) /ABS(AD$47)</f>
        <v>-0.6189822599420064</v>
      </c>
      <c r="AJ18" s="11">
        <f>SUM(Opti_Salidas__30_INS[[#This Row],[VAR TS Index]:[VAR Robustness Index]])</f>
        <v>-2.5408370958305566</v>
      </c>
      <c r="AK18" s="11">
        <f>Opti_Salidas__30_INS[[#This Row],[SUMA]]-Opti_Salidas__30_INS[[#This Row],[VAR Robustness Index]]</f>
        <v>-1.9218548358885501</v>
      </c>
      <c r="AL18" s="11"/>
    </row>
    <row r="19" spans="1:38" x14ac:dyDescent="0.25">
      <c r="A19" s="11"/>
      <c r="B19" s="83">
        <v>15</v>
      </c>
      <c r="C19" s="83">
        <v>16</v>
      </c>
      <c r="D19" s="83">
        <v>138730</v>
      </c>
      <c r="E19" s="10">
        <v>1471840</v>
      </c>
      <c r="F19" s="10">
        <v>-1333110</v>
      </c>
      <c r="G19" s="10">
        <v>3702</v>
      </c>
      <c r="H19" s="83">
        <v>36.520799567801191</v>
      </c>
      <c r="I19" s="11">
        <v>1352</v>
      </c>
      <c r="J19" s="83">
        <v>2331</v>
      </c>
      <c r="K19" s="83">
        <v>7970</v>
      </c>
      <c r="L19" s="12">
        <v>-4030</v>
      </c>
      <c r="M19" s="12">
        <v>1088.6390380859375</v>
      </c>
      <c r="N19" s="12">
        <v>-571.90478515625</v>
      </c>
      <c r="O19" s="12">
        <v>1.90353196256001</v>
      </c>
      <c r="P19" s="11">
        <v>37.474338195569963</v>
      </c>
      <c r="Q19" s="13">
        <v>9</v>
      </c>
      <c r="R19" s="83">
        <v>17</v>
      </c>
      <c r="S19" s="83">
        <v>68</v>
      </c>
      <c r="T19" s="83">
        <v>23</v>
      </c>
      <c r="U19" s="83">
        <v>-45225</v>
      </c>
      <c r="V19" s="12">
        <v>1.1040649308759221</v>
      </c>
      <c r="W19" s="11">
        <v>1</v>
      </c>
      <c r="X19" s="83">
        <v>45225</v>
      </c>
      <c r="Y19" s="12">
        <v>306.75511332227751</v>
      </c>
      <c r="Z19" s="11">
        <v>4147.3291321171919</v>
      </c>
      <c r="AA19" s="91">
        <v>0.53925024780415898</v>
      </c>
      <c r="AB19" s="11">
        <v>1.2631303733711781</v>
      </c>
      <c r="AC19" s="11">
        <v>130774.00330135989</v>
      </c>
      <c r="AD19" s="85">
        <v>179.73291715544491</v>
      </c>
      <c r="AE19" s="11">
        <f>(Opti_Salidas__30_INS[[#This Row],[All: TS Index]]-Z$47) /ABS(Z$47)</f>
        <v>-0.57514393644075579</v>
      </c>
      <c r="AF19" s="11">
        <f>(Opti_Salidas__30_INS[[#This Row],[All: Expectancy Score]]-AA$47) /ABS(AA$47)</f>
        <v>-0.98107997221908061</v>
      </c>
      <c r="AG19" s="11"/>
      <c r="AH19" s="11">
        <f>(Opti_Salidas__30_INS[[#This Row],[All: Perfect Profit Correlation]]-AC$47) /ABS(AC$47)</f>
        <v>-0.39208017122221533</v>
      </c>
      <c r="AI19" s="11">
        <f>(Opti_Salidas__30_INS[[#This Row],[All: Robustness Index]]-AD$47) /ABS(AD$47)</f>
        <v>-0.59365024971676528</v>
      </c>
      <c r="AJ19" s="11">
        <f>SUM(Opti_Salidas__30_INS[[#This Row],[VAR TS Index]:[VAR Robustness Index]])</f>
        <v>-2.5419543295988172</v>
      </c>
      <c r="AK19" s="11">
        <f>Opti_Salidas__30_INS[[#This Row],[SUMA]]-Opti_Salidas__30_INS[[#This Row],[VAR Robustness Index]]</f>
        <v>-1.9483040798820519</v>
      </c>
      <c r="AL19" s="11"/>
    </row>
    <row r="20" spans="1:38" x14ac:dyDescent="0.25">
      <c r="A20" s="11"/>
      <c r="B20" s="83">
        <v>0</v>
      </c>
      <c r="C20" s="83">
        <v>1</v>
      </c>
      <c r="D20" s="83">
        <v>149790</v>
      </c>
      <c r="E20" s="10">
        <v>1480890</v>
      </c>
      <c r="F20" s="10">
        <v>-1331100</v>
      </c>
      <c r="G20" s="10">
        <v>3702</v>
      </c>
      <c r="H20" s="83">
        <v>36.520799567801191</v>
      </c>
      <c r="I20" s="11">
        <v>1352</v>
      </c>
      <c r="J20" s="83">
        <v>2331</v>
      </c>
      <c r="K20" s="83">
        <v>18780</v>
      </c>
      <c r="L20" s="12">
        <v>-4310</v>
      </c>
      <c r="M20" s="12">
        <v>1095.3328857421875</v>
      </c>
      <c r="N20" s="12">
        <v>-571.04248046875</v>
      </c>
      <c r="O20" s="12">
        <v>1.918128551212275</v>
      </c>
      <c r="P20" s="11">
        <v>40.461912479740683</v>
      </c>
      <c r="Q20" s="13">
        <v>9</v>
      </c>
      <c r="R20" s="83">
        <v>17</v>
      </c>
      <c r="S20" s="83">
        <v>68</v>
      </c>
      <c r="T20" s="83">
        <v>23</v>
      </c>
      <c r="U20" s="83">
        <v>-45225</v>
      </c>
      <c r="V20" s="12">
        <v>1.112530989407257</v>
      </c>
      <c r="W20" s="11">
        <v>1</v>
      </c>
      <c r="X20" s="83">
        <v>45225</v>
      </c>
      <c r="Y20" s="12">
        <v>331.21061359867332</v>
      </c>
      <c r="Z20" s="11">
        <v>4477.9674958540627</v>
      </c>
      <c r="AA20" s="91">
        <v>0.54109720197546995</v>
      </c>
      <c r="AB20" s="11">
        <v>1.370852780101139</v>
      </c>
      <c r="AC20" s="11">
        <v>141823.26049262247</v>
      </c>
      <c r="AD20" s="85">
        <v>139.34146226011583</v>
      </c>
      <c r="AE20" s="11">
        <f>(Opti_Salidas__30_INS[[#This Row],[All: TS Index]]-Z$47) /ABS(Z$47)</f>
        <v>-0.54127305009342475</v>
      </c>
      <c r="AF20" s="11">
        <f>(Opti_Salidas__30_INS[[#This Row],[All: Expectancy Score]]-AA$47) /ABS(AA$47)</f>
        <v>-0.9810151703494967</v>
      </c>
      <c r="AG20" s="11"/>
      <c r="AH20" s="11">
        <f>(Opti_Salidas__30_INS[[#This Row],[All: Perfect Profit Correlation]]-AC$47) /ABS(AC$47)</f>
        <v>-0.34071627342706223</v>
      </c>
      <c r="AI20" s="11">
        <f>(Opti_Salidas__30_INS[[#This Row],[All: Robustness Index]]-AD$47) /ABS(AD$47)</f>
        <v>-0.68496940187907296</v>
      </c>
      <c r="AJ20" s="11">
        <f>SUM(Opti_Salidas__30_INS[[#This Row],[VAR TS Index]:[VAR Robustness Index]])</f>
        <v>-2.5479738957490565</v>
      </c>
      <c r="AK20" s="11">
        <f>Opti_Salidas__30_INS[[#This Row],[SUMA]]-Opti_Salidas__30_INS[[#This Row],[VAR Robustness Index]]</f>
        <v>-1.8630044938699837</v>
      </c>
      <c r="AL20" s="11"/>
    </row>
    <row r="21" spans="1:38" x14ac:dyDescent="0.25">
      <c r="A21" s="11"/>
      <c r="B21" s="83">
        <v>3</v>
      </c>
      <c r="C21" s="83">
        <v>4</v>
      </c>
      <c r="D21" s="83">
        <v>149810</v>
      </c>
      <c r="E21" s="4">
        <v>1480890</v>
      </c>
      <c r="F21" s="4">
        <v>-1331080</v>
      </c>
      <c r="G21" s="4">
        <v>3702</v>
      </c>
      <c r="H21" s="83">
        <v>36.520799567801191</v>
      </c>
      <c r="I21" s="5">
        <v>1352</v>
      </c>
      <c r="J21" s="83">
        <v>2331</v>
      </c>
      <c r="K21" s="83">
        <v>18780</v>
      </c>
      <c r="L21" s="6">
        <v>-4310</v>
      </c>
      <c r="M21" s="6">
        <v>1095.3328857421875</v>
      </c>
      <c r="N21" s="6">
        <v>-571.03387451171875</v>
      </c>
      <c r="O21" s="6">
        <v>1.918157459010269</v>
      </c>
      <c r="P21" s="5">
        <v>40.467314964883847</v>
      </c>
      <c r="Q21" s="7">
        <v>9</v>
      </c>
      <c r="R21" s="83">
        <v>17</v>
      </c>
      <c r="S21" s="83">
        <v>68</v>
      </c>
      <c r="T21" s="83">
        <v>23</v>
      </c>
      <c r="U21" s="83">
        <v>-45225</v>
      </c>
      <c r="V21" s="6">
        <v>1.1125477056225019</v>
      </c>
      <c r="W21" s="5">
        <v>1</v>
      </c>
      <c r="X21" s="83">
        <v>45225</v>
      </c>
      <c r="Y21" s="6">
        <v>331.25483692647873</v>
      </c>
      <c r="Z21" s="5">
        <v>4478.5653952459925</v>
      </c>
      <c r="AA21" s="93">
        <v>0.54118746768765602</v>
      </c>
      <c r="AB21" s="5">
        <v>1.371048637636032</v>
      </c>
      <c r="AC21" s="5">
        <v>141842.26869411845</v>
      </c>
      <c r="AD21" s="84">
        <v>138.98019880507121</v>
      </c>
      <c r="AE21" s="5">
        <f>(Opti_Salidas__30_INS[[#This Row],[All: TS Index]]-Z$47) /ABS(Z$47)</f>
        <v>-0.54121180075102449</v>
      </c>
      <c r="AF21" s="11">
        <f>(Opti_Salidas__30_INS[[#This Row],[All: Expectancy Score]]-AA$47) /ABS(AA$47)</f>
        <v>-0.98101200330453164</v>
      </c>
      <c r="AG21" s="11"/>
      <c r="AH21" s="11">
        <f>(Opti_Salidas__30_INS[[#This Row],[All: Perfect Profit Correlation]]-AC$47) /ABS(AC$47)</f>
        <v>-0.34062791134968379</v>
      </c>
      <c r="AI21" s="11">
        <f>(Opti_Salidas__30_INS[[#This Row],[All: Robustness Index]]-AD$47) /ABS(AD$47)</f>
        <v>-0.68578616553632155</v>
      </c>
      <c r="AJ21" s="11">
        <f>SUM(Opti_Salidas__30_INS[[#This Row],[VAR TS Index]:[VAR Robustness Index]])</f>
        <v>-2.5486378809415617</v>
      </c>
      <c r="AK21" s="11">
        <f>Opti_Salidas__30_INS[[#This Row],[SUMA]]-Opti_Salidas__30_INS[[#This Row],[VAR Robustness Index]]</f>
        <v>-1.8628517154052402</v>
      </c>
      <c r="AL21" s="11"/>
    </row>
    <row r="22" spans="1:38" x14ac:dyDescent="0.25">
      <c r="A22" s="11"/>
      <c r="B22" s="83">
        <v>14</v>
      </c>
      <c r="C22" s="83">
        <v>15</v>
      </c>
      <c r="D22" s="83">
        <v>140030</v>
      </c>
      <c r="E22" s="10">
        <v>1462900</v>
      </c>
      <c r="F22" s="10">
        <v>-1322870</v>
      </c>
      <c r="G22" s="10">
        <v>3702</v>
      </c>
      <c r="H22" s="83">
        <v>36.520799567801191</v>
      </c>
      <c r="I22" s="11">
        <v>1352</v>
      </c>
      <c r="J22" s="83">
        <v>2331</v>
      </c>
      <c r="K22" s="83">
        <v>22600</v>
      </c>
      <c r="L22" s="12">
        <v>-3940</v>
      </c>
      <c r="M22" s="12">
        <v>1082.026611328125</v>
      </c>
      <c r="N22" s="12">
        <v>-567.51177978515625</v>
      </c>
      <c r="O22" s="12">
        <v>1.9066152454804539</v>
      </c>
      <c r="P22" s="11">
        <v>37.825499729875744</v>
      </c>
      <c r="Q22" s="13">
        <v>9</v>
      </c>
      <c r="R22" s="83">
        <v>17</v>
      </c>
      <c r="S22" s="83">
        <v>67</v>
      </c>
      <c r="T22" s="83">
        <v>23</v>
      </c>
      <c r="U22" s="83">
        <v>-46995</v>
      </c>
      <c r="V22" s="12">
        <v>1.1058531828524349</v>
      </c>
      <c r="W22" s="11">
        <v>1</v>
      </c>
      <c r="X22" s="83">
        <v>46995</v>
      </c>
      <c r="Y22" s="12">
        <v>297.96786892222576</v>
      </c>
      <c r="Z22" s="11">
        <v>4028.5255878284925</v>
      </c>
      <c r="AA22" s="91">
        <v>0.61001887721237802</v>
      </c>
      <c r="AB22" s="11">
        <v>1.276440790707257</v>
      </c>
      <c r="AC22" s="11">
        <v>132565.26203328246</v>
      </c>
      <c r="AD22" s="85">
        <v>175.39819366650082</v>
      </c>
      <c r="AE22" s="11">
        <f>(Opti_Salidas__30_INS[[#This Row],[All: TS Index]]-Z$47) /ABS(Z$47)</f>
        <v>-0.58731427656941981</v>
      </c>
      <c r="AF22" s="11">
        <f>(Opti_Salidas__30_INS[[#This Row],[All: Expectancy Score]]-AA$47) /ABS(AA$47)</f>
        <v>-0.97859699805286871</v>
      </c>
      <c r="AG22" s="11"/>
      <c r="AH22" s="11">
        <f>(Opti_Salidas__30_INS[[#This Row],[All: Perfect Profit Correlation]]-AC$47) /ABS(AC$47)</f>
        <v>-0.38375327387169461</v>
      </c>
      <c r="AI22" s="11">
        <f>(Opti_Salidas__30_INS[[#This Row],[All: Robustness Index]]-AD$47) /ABS(AD$47)</f>
        <v>-0.60345042341425181</v>
      </c>
      <c r="AJ22" s="11">
        <f>SUM(Opti_Salidas__30_INS[[#This Row],[VAR TS Index]:[VAR Robustness Index]])</f>
        <v>-2.5531149719082351</v>
      </c>
      <c r="AK22" s="11">
        <f>Opti_Salidas__30_INS[[#This Row],[SUMA]]-Opti_Salidas__30_INS[[#This Row],[VAR Robustness Index]]</f>
        <v>-1.9496645484939834</v>
      </c>
      <c r="AL22" s="11"/>
    </row>
    <row r="23" spans="1:38" x14ac:dyDescent="0.25">
      <c r="A23" s="11"/>
      <c r="B23" s="83">
        <v>7</v>
      </c>
      <c r="C23" s="83">
        <v>8</v>
      </c>
      <c r="D23" s="83">
        <v>150720</v>
      </c>
      <c r="E23" s="10">
        <v>1472510</v>
      </c>
      <c r="F23" s="10">
        <v>-1321790</v>
      </c>
      <c r="G23" s="10">
        <v>3702</v>
      </c>
      <c r="H23" s="83">
        <v>36.223662884927066</v>
      </c>
      <c r="I23" s="11">
        <v>1341</v>
      </c>
      <c r="J23" s="83">
        <v>2342</v>
      </c>
      <c r="K23" s="83">
        <v>18780</v>
      </c>
      <c r="L23" s="12">
        <v>-4310</v>
      </c>
      <c r="M23" s="12">
        <v>1098.068603515625</v>
      </c>
      <c r="N23" s="12">
        <v>-564.3851318359375</v>
      </c>
      <c r="O23" s="12">
        <v>1.945601578736885</v>
      </c>
      <c r="P23" s="11">
        <v>40.713128038897892</v>
      </c>
      <c r="Q23" s="13">
        <v>9</v>
      </c>
      <c r="R23" s="83">
        <v>17</v>
      </c>
      <c r="S23" s="83">
        <v>68</v>
      </c>
      <c r="T23" s="83">
        <v>24</v>
      </c>
      <c r="U23" s="83">
        <v>-45225</v>
      </c>
      <c r="V23" s="12">
        <v>1.114027190400896</v>
      </c>
      <c r="W23" s="11">
        <v>1</v>
      </c>
      <c r="X23" s="83">
        <v>45225</v>
      </c>
      <c r="Y23" s="12">
        <v>333.2669983416252</v>
      </c>
      <c r="Z23" s="11">
        <v>4469.1104477611943</v>
      </c>
      <c r="AA23" s="91">
        <v>1.2918494834652461</v>
      </c>
      <c r="AB23" s="11">
        <v>1.37822069077203</v>
      </c>
      <c r="AC23" s="11">
        <v>142870.39113726729</v>
      </c>
      <c r="AD23" s="85">
        <v>123.65043216917041</v>
      </c>
      <c r="AE23" s="11">
        <f>(Opti_Salidas__30_INS[[#This Row],[All: TS Index]]-Z$47) /ABS(Z$47)</f>
        <v>-0.54218037393188023</v>
      </c>
      <c r="AF23" s="11">
        <f>(Opti_Salidas__30_INS[[#This Row],[All: Expectancy Score]]-AA$47) /ABS(AA$47)</f>
        <v>-0.9546744239516689</v>
      </c>
      <c r="AG23" s="11"/>
      <c r="AH23" s="11">
        <f>(Opti_Salidas__30_INS[[#This Row],[All: Perfect Profit Correlation]]-AC$47) /ABS(AC$47)</f>
        <v>-0.33584855150886489</v>
      </c>
      <c r="AI23" s="11">
        <f>(Opti_Salidas__30_INS[[#This Row],[All: Robustness Index]]-AD$47) /ABS(AD$47)</f>
        <v>-0.72044451829098743</v>
      </c>
      <c r="AJ23" s="11">
        <f>SUM(Opti_Salidas__30_INS[[#This Row],[VAR TS Index]:[VAR Robustness Index]])</f>
        <v>-2.5531478676834016</v>
      </c>
      <c r="AK23" s="11">
        <f>Opti_Salidas__30_INS[[#This Row],[SUMA]]-Opti_Salidas__30_INS[[#This Row],[VAR Robustness Index]]</f>
        <v>-1.8327033493924141</v>
      </c>
      <c r="AL23" s="11"/>
    </row>
    <row r="24" spans="1:38" x14ac:dyDescent="0.25">
      <c r="A24" s="11"/>
      <c r="B24" s="83">
        <v>2</v>
      </c>
      <c r="C24" s="83">
        <v>3</v>
      </c>
      <c r="D24" s="83">
        <v>148820</v>
      </c>
      <c r="E24" s="10">
        <v>1480890</v>
      </c>
      <c r="F24" s="10">
        <v>-1332070</v>
      </c>
      <c r="G24" s="10">
        <v>3702</v>
      </c>
      <c r="H24" s="83">
        <v>36.520799567801191</v>
      </c>
      <c r="I24" s="11">
        <v>1352</v>
      </c>
      <c r="J24" s="83">
        <v>2331</v>
      </c>
      <c r="K24" s="83">
        <v>18780</v>
      </c>
      <c r="L24" s="12">
        <v>-4310</v>
      </c>
      <c r="M24" s="12">
        <v>1095.3328857421875</v>
      </c>
      <c r="N24" s="12">
        <v>-571.4586181640625</v>
      </c>
      <c r="O24" s="12">
        <v>1.916731764867222</v>
      </c>
      <c r="P24" s="11">
        <v>40.199891950297136</v>
      </c>
      <c r="Q24" s="13">
        <v>9</v>
      </c>
      <c r="R24" s="83">
        <v>17</v>
      </c>
      <c r="S24" s="83">
        <v>68</v>
      </c>
      <c r="T24" s="83">
        <v>23</v>
      </c>
      <c r="U24" s="83">
        <v>-45225</v>
      </c>
      <c r="V24" s="12">
        <v>1.111720855510596</v>
      </c>
      <c r="W24" s="11">
        <v>1</v>
      </c>
      <c r="X24" s="83">
        <v>45225</v>
      </c>
      <c r="Y24" s="12">
        <v>329.06578220011056</v>
      </c>
      <c r="Z24" s="11">
        <v>4448.9693753454949</v>
      </c>
      <c r="AA24" s="91">
        <v>0.53669961365816699</v>
      </c>
      <c r="AB24" s="11">
        <v>1.361353689658809</v>
      </c>
      <c r="AC24" s="11">
        <v>140862.34157762717</v>
      </c>
      <c r="AD24" s="85">
        <v>139.8733829543377</v>
      </c>
      <c r="AE24" s="11">
        <f>(Opti_Salidas__30_INS[[#This Row],[All: TS Index]]-Z$47) /ABS(Z$47)</f>
        <v>-0.5442436431998362</v>
      </c>
      <c r="AF24" s="11">
        <f>(Opti_Salidas__30_INS[[#This Row],[All: Expectancy Score]]-AA$47) /ABS(AA$47)</f>
        <v>-0.98116946326539467</v>
      </c>
      <c r="AG24" s="11"/>
      <c r="AH24" s="11">
        <f>(Opti_Salidas__30_INS[[#This Row],[All: Perfect Profit Correlation]]-AC$47) /ABS(AC$47)</f>
        <v>-0.34518322899564813</v>
      </c>
      <c r="AI24" s="11">
        <f>(Opti_Salidas__30_INS[[#This Row],[All: Robustness Index]]-AD$47) /ABS(AD$47)</f>
        <v>-0.68376680724761441</v>
      </c>
      <c r="AJ24" s="11">
        <f>SUM(Opti_Salidas__30_INS[[#This Row],[VAR TS Index]:[VAR Robustness Index]])</f>
        <v>-2.5543631427084934</v>
      </c>
      <c r="AK24" s="11">
        <f>Opti_Salidas__30_INS[[#This Row],[SUMA]]-Opti_Salidas__30_INS[[#This Row],[VAR Robustness Index]]</f>
        <v>-1.870596335460879</v>
      </c>
      <c r="AL24" s="11"/>
    </row>
    <row r="25" spans="1:38" x14ac:dyDescent="0.25">
      <c r="A25" s="11"/>
      <c r="B25" s="83">
        <v>1</v>
      </c>
      <c r="C25" s="83">
        <v>2</v>
      </c>
      <c r="D25" s="83">
        <v>147780</v>
      </c>
      <c r="E25" s="10">
        <v>1480890</v>
      </c>
      <c r="F25" s="10">
        <v>-1333110</v>
      </c>
      <c r="G25" s="10">
        <v>3702</v>
      </c>
      <c r="H25" s="83">
        <v>36.520799567801191</v>
      </c>
      <c r="I25" s="11">
        <v>1352</v>
      </c>
      <c r="J25" s="83">
        <v>2331</v>
      </c>
      <c r="K25" s="83">
        <v>18780</v>
      </c>
      <c r="L25" s="12">
        <v>-4030</v>
      </c>
      <c r="M25" s="12">
        <v>1095.3328857421875</v>
      </c>
      <c r="N25" s="12">
        <v>-571.90478515625</v>
      </c>
      <c r="O25" s="12">
        <v>1.9152364417495329</v>
      </c>
      <c r="P25" s="11">
        <v>39.918962722852513</v>
      </c>
      <c r="Q25" s="13">
        <v>9</v>
      </c>
      <c r="R25" s="83">
        <v>17</v>
      </c>
      <c r="S25" s="83">
        <v>68</v>
      </c>
      <c r="T25" s="83">
        <v>23</v>
      </c>
      <c r="U25" s="83">
        <v>-45225</v>
      </c>
      <c r="V25" s="12">
        <v>1.110853567972635</v>
      </c>
      <c r="W25" s="11">
        <v>1</v>
      </c>
      <c r="X25" s="83">
        <v>45225</v>
      </c>
      <c r="Y25" s="12">
        <v>326.76616915422886</v>
      </c>
      <c r="Z25" s="11">
        <v>4417.8786069651742</v>
      </c>
      <c r="AA25" s="91">
        <v>0.53199208843274803</v>
      </c>
      <c r="AB25" s="11">
        <v>1.351169097844358</v>
      </c>
      <c r="AC25" s="11">
        <v>139831.01052027169</v>
      </c>
      <c r="AD25" s="85">
        <v>139.12090003037886</v>
      </c>
      <c r="AE25" s="11">
        <f>(Opti_Salidas__30_INS[[#This Row],[All: TS Index]]-Z$47) /ABS(Z$47)</f>
        <v>-0.54742860900464851</v>
      </c>
      <c r="AF25" s="11">
        <f>(Opti_Salidas__30_INS[[#This Row],[All: Expectancy Score]]-AA$47) /ABS(AA$47)</f>
        <v>-0.98133463056648917</v>
      </c>
      <c r="AG25" s="11"/>
      <c r="AH25" s="11">
        <f>(Opti_Salidas__30_INS[[#This Row],[All: Perfect Profit Correlation]]-AC$47) /ABS(AC$47)</f>
        <v>-0.34997750449363035</v>
      </c>
      <c r="AI25" s="11">
        <f>(Opti_Salidas__30_INS[[#This Row],[All: Robustness Index]]-AD$47) /ABS(AD$47)</f>
        <v>-0.68546806071349242</v>
      </c>
      <c r="AJ25" s="11">
        <f>SUM(Opti_Salidas__30_INS[[#This Row],[VAR TS Index]:[VAR Robustness Index]])</f>
        <v>-2.5642088047782607</v>
      </c>
      <c r="AK25" s="11">
        <f>Opti_Salidas__30_INS[[#This Row],[SUMA]]-Opti_Salidas__30_INS[[#This Row],[VAR Robustness Index]]</f>
        <v>-1.8787407440647683</v>
      </c>
      <c r="AL25" s="11"/>
    </row>
    <row r="26" spans="1:38" x14ac:dyDescent="0.25">
      <c r="A26" s="11"/>
      <c r="B26" s="83">
        <v>31</v>
      </c>
      <c r="C26" s="83">
        <v>32</v>
      </c>
      <c r="D26" s="83">
        <v>136860</v>
      </c>
      <c r="E26" s="10">
        <v>1361790</v>
      </c>
      <c r="F26" s="10">
        <v>-1224930</v>
      </c>
      <c r="G26" s="10">
        <v>3703</v>
      </c>
      <c r="H26" s="83">
        <v>34.24250607615447</v>
      </c>
      <c r="I26" s="11">
        <v>1268</v>
      </c>
      <c r="J26" s="83">
        <v>2418</v>
      </c>
      <c r="K26" s="83">
        <v>7660</v>
      </c>
      <c r="L26" s="12">
        <v>-3030</v>
      </c>
      <c r="M26" s="12">
        <v>1073.9669189453125</v>
      </c>
      <c r="N26" s="12">
        <v>-506.58810424804688</v>
      </c>
      <c r="O26" s="12">
        <v>2.1200002722911409</v>
      </c>
      <c r="P26" s="11">
        <v>36.959222252227924</v>
      </c>
      <c r="Q26" s="13">
        <v>9</v>
      </c>
      <c r="R26" s="83">
        <v>17</v>
      </c>
      <c r="S26" s="83">
        <v>42</v>
      </c>
      <c r="T26" s="83">
        <v>19</v>
      </c>
      <c r="U26" s="83">
        <v>-29125</v>
      </c>
      <c r="V26" s="12">
        <v>1.111728833484362</v>
      </c>
      <c r="W26" s="11">
        <v>1</v>
      </c>
      <c r="X26" s="83">
        <v>29125</v>
      </c>
      <c r="Y26" s="12">
        <v>469.90557939914163</v>
      </c>
      <c r="Z26" s="11">
        <v>5958.4027467811156</v>
      </c>
      <c r="AA26" s="91">
        <v>2.9438480270899912</v>
      </c>
      <c r="AB26" s="11">
        <v>1.235276656628838</v>
      </c>
      <c r="AC26" s="11">
        <v>132410.30131524109</v>
      </c>
      <c r="AD26" s="85">
        <v>7.9961171203183481</v>
      </c>
      <c r="AE26" s="11">
        <f>(Opti_Salidas__30_INS[[#This Row],[All: TS Index]]-Z$47) /ABS(Z$47)</f>
        <v>-0.38961595391737991</v>
      </c>
      <c r="AF26" s="11">
        <f>(Opti_Salidas__30_INS[[#This Row],[All: Expectancy Score]]-AA$47) /ABS(AA$47)</f>
        <v>-0.89671272904899024</v>
      </c>
      <c r="AG26" s="11"/>
      <c r="AH26" s="11">
        <f>(Opti_Salidas__30_INS[[#This Row],[All: Perfect Profit Correlation]]-AC$47) /ABS(AC$47)</f>
        <v>-0.38447362876487551</v>
      </c>
      <c r="AI26" s="11">
        <f>(Opti_Salidas__30_INS[[#This Row],[All: Robustness Index]]-AD$47) /ABS(AD$47)</f>
        <v>-0.98192195260333581</v>
      </c>
      <c r="AJ26" s="11">
        <f>SUM(Opti_Salidas__30_INS[[#This Row],[VAR TS Index]:[VAR Robustness Index]])</f>
        <v>-2.6527242643345819</v>
      </c>
      <c r="AK26" s="11">
        <f>Opti_Salidas__30_INS[[#This Row],[SUMA]]-Opti_Salidas__30_INS[[#This Row],[VAR Robustness Index]]</f>
        <v>-1.670802311731246</v>
      </c>
      <c r="AL26" s="11"/>
    </row>
    <row r="27" spans="1:38" x14ac:dyDescent="0.25">
      <c r="A27" s="11"/>
      <c r="B27" s="83">
        <v>25</v>
      </c>
      <c r="C27" s="83">
        <v>26</v>
      </c>
      <c r="D27" s="83">
        <v>133200</v>
      </c>
      <c r="E27" s="10">
        <v>1466990</v>
      </c>
      <c r="F27" s="10">
        <v>-1333790</v>
      </c>
      <c r="G27" s="10">
        <v>3702</v>
      </c>
      <c r="H27" s="83">
        <v>36.142625607779578</v>
      </c>
      <c r="I27" s="11">
        <v>1338</v>
      </c>
      <c r="J27" s="83">
        <v>2345</v>
      </c>
      <c r="K27" s="83">
        <v>18780</v>
      </c>
      <c r="L27" s="12">
        <v>-3410</v>
      </c>
      <c r="M27" s="12">
        <v>1096.405029296875</v>
      </c>
      <c r="N27" s="12">
        <v>-568.7803955078125</v>
      </c>
      <c r="O27" s="12">
        <v>1.9276420881524829</v>
      </c>
      <c r="P27" s="11">
        <v>35.980551053484604</v>
      </c>
      <c r="Q27" s="13">
        <v>9</v>
      </c>
      <c r="R27" s="83">
        <v>17</v>
      </c>
      <c r="S27" s="83">
        <v>68</v>
      </c>
      <c r="T27" s="83">
        <v>23</v>
      </c>
      <c r="U27" s="83">
        <v>-45365</v>
      </c>
      <c r="V27" s="12">
        <v>1.0998657959648821</v>
      </c>
      <c r="W27" s="11">
        <v>1</v>
      </c>
      <c r="X27" s="83">
        <v>45365</v>
      </c>
      <c r="Y27" s="12">
        <v>293.61842830375838</v>
      </c>
      <c r="Z27" s="11">
        <v>3928.6145707042874</v>
      </c>
      <c r="AA27" s="91">
        <v>0.79477453578521495</v>
      </c>
      <c r="AB27" s="11">
        <v>1.206382506782268</v>
      </c>
      <c r="AC27" s="11">
        <v>125424.98871576632</v>
      </c>
      <c r="AD27" s="85">
        <v>147.42948266636969</v>
      </c>
      <c r="AE27" s="11">
        <f>(Opti_Salidas__30_INS[[#This Row],[All: TS Index]]-Z$47) /ABS(Z$47)</f>
        <v>-0.59754924950968435</v>
      </c>
      <c r="AF27" s="11">
        <f>(Opti_Salidas__30_INS[[#This Row],[All: Expectancy Score]]-AA$47) /ABS(AA$47)</f>
        <v>-0.97211469747514212</v>
      </c>
      <c r="AG27" s="11"/>
      <c r="AH27" s="11">
        <f>(Opti_Salidas__30_INS[[#This Row],[All: Perfect Profit Correlation]]-AC$47) /ABS(AC$47)</f>
        <v>-0.41694575573376708</v>
      </c>
      <c r="AI27" s="11">
        <f>(Opti_Salidas__30_INS[[#This Row],[All: Robustness Index]]-AD$47) /ABS(AD$47)</f>
        <v>-0.666683574639511</v>
      </c>
      <c r="AJ27" s="11">
        <f>SUM(Opti_Salidas__30_INS[[#This Row],[VAR TS Index]:[VAR Robustness Index]])</f>
        <v>-2.6532932773581042</v>
      </c>
      <c r="AK27" s="11">
        <f>Opti_Salidas__30_INS[[#This Row],[SUMA]]-Opti_Salidas__30_INS[[#This Row],[VAR Robustness Index]]</f>
        <v>-1.9866097027185932</v>
      </c>
      <c r="AL27" s="11"/>
    </row>
    <row r="28" spans="1:38" x14ac:dyDescent="0.25">
      <c r="A28" s="11"/>
      <c r="B28" s="83">
        <v>8</v>
      </c>
      <c r="C28" s="83">
        <v>9</v>
      </c>
      <c r="D28" s="83">
        <v>123720</v>
      </c>
      <c r="E28" s="10">
        <v>1300430</v>
      </c>
      <c r="F28" s="10">
        <v>-1176710</v>
      </c>
      <c r="G28" s="10">
        <v>3702</v>
      </c>
      <c r="H28" s="83">
        <v>35.899513776337116</v>
      </c>
      <c r="I28" s="11">
        <v>1329</v>
      </c>
      <c r="J28" s="83">
        <v>2353</v>
      </c>
      <c r="K28" s="83">
        <v>18780</v>
      </c>
      <c r="L28" s="12">
        <v>-4220</v>
      </c>
      <c r="M28" s="12">
        <v>978.50262451171875</v>
      </c>
      <c r="N28" s="12">
        <v>-500.0892333984375</v>
      </c>
      <c r="O28" s="12">
        <v>1.95665605088545</v>
      </c>
      <c r="P28" s="11">
        <v>33.419773095623988</v>
      </c>
      <c r="Q28" s="13">
        <v>9</v>
      </c>
      <c r="R28" s="83">
        <v>17</v>
      </c>
      <c r="S28" s="83">
        <v>57</v>
      </c>
      <c r="T28" s="83">
        <v>20</v>
      </c>
      <c r="U28" s="83">
        <v>-28695</v>
      </c>
      <c r="V28" s="12">
        <v>1.105140603887109</v>
      </c>
      <c r="W28" s="11">
        <v>1</v>
      </c>
      <c r="X28" s="83">
        <v>28695</v>
      </c>
      <c r="Y28" s="12">
        <v>431.15525352848931</v>
      </c>
      <c r="Z28" s="11">
        <v>5730.0533193936226</v>
      </c>
      <c r="AA28" s="91">
        <v>0.24921443214028299</v>
      </c>
      <c r="AB28" s="11">
        <v>1.1230643882710181</v>
      </c>
      <c r="AC28" s="11">
        <v>119856.31032616775</v>
      </c>
      <c r="AD28" s="85">
        <v>78.665284583748047</v>
      </c>
      <c r="AE28" s="11">
        <f>(Opti_Salidas__30_INS[[#This Row],[All: TS Index]]-Z$47) /ABS(Z$47)</f>
        <v>-0.41300827117635081</v>
      </c>
      <c r="AF28" s="11">
        <f>(Opti_Salidas__30_INS[[#This Row],[All: Expectancy Score]]-AA$47) /ABS(AA$47)</f>
        <v>-0.99125611161292848</v>
      </c>
      <c r="AG28" s="11"/>
      <c r="AH28" s="11">
        <f>(Opti_Salidas__30_INS[[#This Row],[All: Perfect Profit Correlation]]-AC$47) /ABS(AC$47)</f>
        <v>-0.44283247578256835</v>
      </c>
      <c r="AI28" s="11">
        <f>(Opti_Salidas__30_INS[[#This Row],[All: Robustness Index]]-AD$47) /ABS(AD$47)</f>
        <v>-0.82214933551142644</v>
      </c>
      <c r="AJ28" s="11">
        <f>SUM(Opti_Salidas__30_INS[[#This Row],[VAR TS Index]:[VAR Robustness Index]])</f>
        <v>-2.6692461940832741</v>
      </c>
      <c r="AK28" s="11">
        <f>Opti_Salidas__30_INS[[#This Row],[SUMA]]-Opti_Salidas__30_INS[[#This Row],[VAR Robustness Index]]</f>
        <v>-1.8470968585718477</v>
      </c>
      <c r="AL28" s="11"/>
    </row>
    <row r="29" spans="1:38" x14ac:dyDescent="0.25">
      <c r="A29" s="11"/>
      <c r="B29" s="83">
        <v>10</v>
      </c>
      <c r="C29" s="83">
        <v>11</v>
      </c>
      <c r="D29" s="83">
        <v>-8620</v>
      </c>
      <c r="E29" s="10">
        <v>1046070</v>
      </c>
      <c r="F29" s="10">
        <v>-1054690</v>
      </c>
      <c r="G29" s="10">
        <v>3703</v>
      </c>
      <c r="H29" s="83">
        <v>41.344855522549281</v>
      </c>
      <c r="I29" s="11">
        <v>1531</v>
      </c>
      <c r="J29" s="83">
        <v>2128</v>
      </c>
      <c r="K29" s="83">
        <v>7860</v>
      </c>
      <c r="L29" s="12">
        <v>-4310</v>
      </c>
      <c r="M29" s="12">
        <v>683.25927734375</v>
      </c>
      <c r="N29" s="12">
        <v>-495.625</v>
      </c>
      <c r="O29" s="12">
        <v>1.3785811396595209</v>
      </c>
      <c r="P29" s="11">
        <v>-2.327842290035107</v>
      </c>
      <c r="Q29" s="13">
        <v>9</v>
      </c>
      <c r="R29" s="83">
        <v>17</v>
      </c>
      <c r="S29" s="83">
        <v>21</v>
      </c>
      <c r="T29" s="83">
        <v>14</v>
      </c>
      <c r="U29" s="83">
        <v>-75115</v>
      </c>
      <c r="V29" s="12">
        <v>0.99182698233604205</v>
      </c>
      <c r="W29" s="11">
        <v>1</v>
      </c>
      <c r="X29" s="83">
        <v>75115</v>
      </c>
      <c r="Y29" s="12">
        <v>-11.475737202955468</v>
      </c>
      <c r="Z29" s="11">
        <v>-175.69353657724821</v>
      </c>
      <c r="AA29" s="91">
        <v>-0.94001196557583899</v>
      </c>
      <c r="AB29" s="11">
        <v>-0.124912614927493</v>
      </c>
      <c r="AC29" s="11">
        <v>-2255.6260018493867</v>
      </c>
      <c r="AD29" s="85">
        <v>442.31088374034221</v>
      </c>
      <c r="AE29" s="11">
        <f>(Opti_Salidas__30_INS[[#This Row],[All: TS Index]]-Z$47) /ABS(Z$47)</f>
        <v>-1.0179982012435329</v>
      </c>
      <c r="AF29" s="11">
        <f>(Opti_Salidas__30_INS[[#This Row],[All: Expectancy Score]]-AA$47) /ABS(AA$47)</f>
        <v>-1.0329810743259047</v>
      </c>
      <c r="AG29" s="11"/>
      <c r="AH29" s="11">
        <f>(Opti_Salidas__30_INS[[#This Row],[All: Perfect Profit Correlation]]-AC$47) /ABS(AC$47)</f>
        <v>-1.0104855685244343</v>
      </c>
      <c r="AI29" s="11">
        <f>(Opti_Salidas__30_INS[[#This Row],[All: Robustness Index]]-AD$47) /ABS(AD$47)</f>
        <v>0</v>
      </c>
      <c r="AJ29" s="11">
        <f>SUM(Opti_Salidas__30_INS[[#This Row],[VAR TS Index]:[VAR Robustness Index]])</f>
        <v>-3.0614648440938717</v>
      </c>
      <c r="AK29" s="11">
        <f>Opti_Salidas__30_INS[[#This Row],[SUMA]]-Opti_Salidas__30_INS[[#This Row],[VAR Robustness Index]]</f>
        <v>-3.0614648440938717</v>
      </c>
      <c r="AL29" s="11"/>
    </row>
    <row r="30" spans="1:38" x14ac:dyDescent="0.25">
      <c r="A30" s="11"/>
      <c r="B30" s="83">
        <v>32</v>
      </c>
      <c r="C30" s="83">
        <v>33</v>
      </c>
      <c r="D30" s="83">
        <v>46180</v>
      </c>
      <c r="E30" s="10">
        <v>1004640</v>
      </c>
      <c r="F30" s="10">
        <v>-958460</v>
      </c>
      <c r="G30" s="10">
        <v>3702</v>
      </c>
      <c r="H30" s="83">
        <v>28.417071853052406</v>
      </c>
      <c r="I30" s="11">
        <v>1052</v>
      </c>
      <c r="J30" s="83">
        <v>2635</v>
      </c>
      <c r="K30" s="83">
        <v>18440</v>
      </c>
      <c r="L30" s="12">
        <v>-3660</v>
      </c>
      <c r="M30" s="12">
        <v>954.98101806640625</v>
      </c>
      <c r="N30" s="12">
        <v>-363.741943359375</v>
      </c>
      <c r="O30" s="12">
        <v>2.62543551960652</v>
      </c>
      <c r="P30" s="11">
        <v>12.474338195569961</v>
      </c>
      <c r="Q30" s="13">
        <v>5</v>
      </c>
      <c r="R30" s="83">
        <v>18</v>
      </c>
      <c r="S30" s="83">
        <v>51</v>
      </c>
      <c r="T30" s="83">
        <v>13</v>
      </c>
      <c r="U30" s="83">
        <v>-39655</v>
      </c>
      <c r="V30" s="12">
        <v>1.0481814577551489</v>
      </c>
      <c r="W30" s="11">
        <v>1</v>
      </c>
      <c r="X30" s="83">
        <v>39655</v>
      </c>
      <c r="Y30" s="12">
        <v>116.45441936704073</v>
      </c>
      <c r="Z30" s="11">
        <v>1225.1004917412683</v>
      </c>
      <c r="AA30" s="91">
        <v>4.1825262598712616</v>
      </c>
      <c r="AB30" s="11">
        <v>0.33877314229834798</v>
      </c>
      <c r="AC30" s="11">
        <v>40687.928944747095</v>
      </c>
      <c r="AD30" s="85">
        <v>23.697457537608685</v>
      </c>
      <c r="AE30" s="11">
        <f>(Opti_Salidas__30_INS[[#This Row],[All: TS Index]]-Z$47) /ABS(Z$47)</f>
        <v>-0.87449962233405354</v>
      </c>
      <c r="AF30" s="11">
        <f>(Opti_Salidas__30_INS[[#This Row],[All: Expectancy Score]]-AA$47) /ABS(AA$47)</f>
        <v>-0.8532527090095503</v>
      </c>
      <c r="AG30" s="11"/>
      <c r="AH30" s="11">
        <f>(Opti_Salidas__30_INS[[#This Row],[All: Perfect Profit Correlation]]-AC$47) /ABS(AC$47)</f>
        <v>-0.81085691213097477</v>
      </c>
      <c r="AI30" s="11">
        <f>(Opti_Salidas__30_INS[[#This Row],[All: Robustness Index]]-AD$47) /ABS(AD$47)</f>
        <v>-0.94642352605657287</v>
      </c>
      <c r="AJ30" s="11">
        <f>SUM(Opti_Salidas__30_INS[[#This Row],[VAR TS Index]:[VAR Robustness Index]])</f>
        <v>-3.4850327695311512</v>
      </c>
      <c r="AK30" s="11">
        <f>Opti_Salidas__30_INS[[#This Row],[SUMA]]-Opti_Salidas__30_INS[[#This Row],[VAR Robustness Index]]</f>
        <v>-2.5386092434745784</v>
      </c>
      <c r="AL30" s="11"/>
    </row>
    <row r="31" spans="1:38" x14ac:dyDescent="0.25">
      <c r="A31" s="11"/>
      <c r="B31" s="83">
        <v>23</v>
      </c>
      <c r="C31" s="83">
        <v>24</v>
      </c>
      <c r="D31" s="83">
        <v>-39190</v>
      </c>
      <c r="E31" s="10">
        <v>712860</v>
      </c>
      <c r="F31" s="10">
        <v>-752050</v>
      </c>
      <c r="G31" s="10">
        <v>3703</v>
      </c>
      <c r="H31" s="83">
        <v>32.676208479611127</v>
      </c>
      <c r="I31" s="11">
        <v>1210</v>
      </c>
      <c r="J31" s="83">
        <v>2460</v>
      </c>
      <c r="K31" s="83">
        <v>7290</v>
      </c>
      <c r="L31" s="12">
        <v>-3650</v>
      </c>
      <c r="M31" s="12">
        <v>589.1405029296875</v>
      </c>
      <c r="N31" s="12">
        <v>-305.71139526367188</v>
      </c>
      <c r="O31" s="12">
        <v>1.92711332340609</v>
      </c>
      <c r="P31" s="11">
        <v>-10.58331082905752</v>
      </c>
      <c r="Q31" s="13">
        <v>9</v>
      </c>
      <c r="R31" s="83">
        <v>17</v>
      </c>
      <c r="S31" s="83">
        <v>18</v>
      </c>
      <c r="T31" s="83">
        <v>8</v>
      </c>
      <c r="U31" s="83">
        <v>-67955</v>
      </c>
      <c r="V31" s="12">
        <v>0.94788910311814401</v>
      </c>
      <c r="W31" s="11">
        <v>1</v>
      </c>
      <c r="X31" s="83">
        <v>67955</v>
      </c>
      <c r="Y31" s="12">
        <v>-57.670517254065189</v>
      </c>
      <c r="Z31" s="11">
        <v>-697.81325877418885</v>
      </c>
      <c r="AA31" s="91">
        <v>-3.0474529798662542</v>
      </c>
      <c r="AB31" s="11">
        <v>-0.44520492654660898</v>
      </c>
      <c r="AC31" s="11">
        <v>-23231.895116641968</v>
      </c>
      <c r="AD31" s="85">
        <v>-111.33947846842362</v>
      </c>
      <c r="AE31" s="11">
        <f>(Opti_Salidas__30_INS[[#This Row],[All: TS Index]]-Z$47) /ABS(Z$47)</f>
        <v>-1.0714846072684141</v>
      </c>
      <c r="AF31" s="11">
        <f>(Opti_Salidas__30_INS[[#This Row],[All: Expectancy Score]]-AA$47) /ABS(AA$47)</f>
        <v>-1.106922333879121</v>
      </c>
      <c r="AG31" s="11"/>
      <c r="AH31" s="11">
        <f>(Opti_Salidas__30_INS[[#This Row],[All: Perfect Profit Correlation]]-AC$47) /ABS(AC$47)</f>
        <v>-1.1079964621786995</v>
      </c>
      <c r="AI31" s="11">
        <f>(Opti_Salidas__30_INS[[#This Row],[All: Robustness Index]]-AD$47) /ABS(AD$47)</f>
        <v>-1.2517222219966562</v>
      </c>
      <c r="AJ31" s="11">
        <f>SUM(Opti_Salidas__30_INS[[#This Row],[VAR TS Index]:[VAR Robustness Index]])</f>
        <v>-4.5381256253228912</v>
      </c>
      <c r="AK31" s="11">
        <f>Opti_Salidas__30_INS[[#This Row],[SUMA]]-Opti_Salidas__30_INS[[#This Row],[VAR Robustness Index]]</f>
        <v>-3.286403403326235</v>
      </c>
      <c r="AL31" s="11"/>
    </row>
    <row r="32" spans="1:38" x14ac:dyDescent="0.25">
      <c r="A32" s="11"/>
      <c r="B32" s="83">
        <v>22</v>
      </c>
      <c r="C32" s="83">
        <v>23</v>
      </c>
      <c r="D32" s="83">
        <v>-51180</v>
      </c>
      <c r="E32" s="10">
        <v>492890</v>
      </c>
      <c r="F32" s="10">
        <v>-544070</v>
      </c>
      <c r="G32" s="10">
        <v>3703</v>
      </c>
      <c r="H32" s="83">
        <v>52.281933567377799</v>
      </c>
      <c r="I32" s="11">
        <v>1936</v>
      </c>
      <c r="J32" s="83">
        <v>1721</v>
      </c>
      <c r="K32" s="83">
        <v>3840</v>
      </c>
      <c r="L32" s="12">
        <v>-4190</v>
      </c>
      <c r="M32" s="12">
        <v>254.59194946289063</v>
      </c>
      <c r="N32" s="12">
        <v>-316.13595581054688</v>
      </c>
      <c r="O32" s="12">
        <v>0.80532424352091703</v>
      </c>
      <c r="P32" s="11">
        <v>-13.82122603294626</v>
      </c>
      <c r="Q32" s="13">
        <v>15</v>
      </c>
      <c r="R32" s="83">
        <v>10</v>
      </c>
      <c r="S32" s="83">
        <v>7</v>
      </c>
      <c r="T32" s="83">
        <v>8</v>
      </c>
      <c r="U32" s="83">
        <v>-58855</v>
      </c>
      <c r="V32" s="12">
        <v>0.90593122208539301</v>
      </c>
      <c r="W32" s="11">
        <v>1</v>
      </c>
      <c r="X32" s="83">
        <v>58855</v>
      </c>
      <c r="Y32" s="12">
        <v>-86.95947667997622</v>
      </c>
      <c r="Z32" s="11">
        <v>-1683.5354685243394</v>
      </c>
      <c r="AA32" s="91">
        <v>-70.401441343827074</v>
      </c>
      <c r="AB32" s="11">
        <v>-0.492671647529766</v>
      </c>
      <c r="AC32" s="11">
        <v>-46367.628518276171</v>
      </c>
      <c r="AD32" s="85">
        <v>24.984065888092172</v>
      </c>
      <c r="AE32" s="11">
        <f>(Opti_Salidas__30_INS[[#This Row],[All: TS Index]]-Z$47) /ABS(Z$47)</f>
        <v>-1.1724628620575579</v>
      </c>
      <c r="AF32" s="11">
        <f>(Opti_Salidas__30_INS[[#This Row],[All: Expectancy Score]]-AA$47) /ABS(AA$47)</f>
        <v>-3.4700910782441015</v>
      </c>
      <c r="AG32" s="11"/>
      <c r="AH32" s="11">
        <f>(Opti_Salidas__30_INS[[#This Row],[All: Perfect Profit Correlation]]-AC$47) /ABS(AC$47)</f>
        <v>-1.2155459042169527</v>
      </c>
      <c r="AI32" s="11">
        <f>(Opti_Salidas__30_INS[[#This Row],[All: Robustness Index]]-AD$47) /ABS(AD$47)</f>
        <v>-0.94351469338303906</v>
      </c>
      <c r="AJ32" s="11">
        <f>SUM(Opti_Salidas__30_INS[[#This Row],[VAR TS Index]:[VAR Robustness Index]])</f>
        <v>-6.801614537901651</v>
      </c>
      <c r="AK32" s="11">
        <f>Opti_Salidas__30_INS[[#This Row],[SUMA]]-Opti_Salidas__30_INS[[#This Row],[VAR Robustness Index]]</f>
        <v>-5.8580998445186117</v>
      </c>
      <c r="AL32" s="11"/>
    </row>
    <row r="33" spans="1:38" x14ac:dyDescent="0.25">
      <c r="A33" s="11"/>
      <c r="B33" s="83">
        <v>13</v>
      </c>
      <c r="C33" s="83">
        <v>14</v>
      </c>
      <c r="D33" s="83">
        <v>-53660</v>
      </c>
      <c r="E33" s="10">
        <v>493760</v>
      </c>
      <c r="F33" s="10">
        <v>-547420</v>
      </c>
      <c r="G33" s="10">
        <v>3703</v>
      </c>
      <c r="H33" s="83">
        <v>52.308938698352684</v>
      </c>
      <c r="I33" s="11">
        <v>1937</v>
      </c>
      <c r="J33" s="83">
        <v>1720</v>
      </c>
      <c r="K33" s="83">
        <v>3840</v>
      </c>
      <c r="L33" s="12">
        <v>-4310</v>
      </c>
      <c r="M33" s="12">
        <v>254.90965270996094</v>
      </c>
      <c r="N33" s="12">
        <v>-318.2674560546875</v>
      </c>
      <c r="O33" s="12">
        <v>0.80092905466954201</v>
      </c>
      <c r="P33" s="11">
        <v>-14.490953281123414</v>
      </c>
      <c r="Q33" s="13">
        <v>15</v>
      </c>
      <c r="R33" s="83">
        <v>10</v>
      </c>
      <c r="S33" s="83">
        <v>7</v>
      </c>
      <c r="T33" s="83">
        <v>8</v>
      </c>
      <c r="U33" s="83">
        <v>-61335</v>
      </c>
      <c r="V33" s="12">
        <v>0.90197654451791998</v>
      </c>
      <c r="W33" s="11">
        <v>1</v>
      </c>
      <c r="X33" s="83">
        <v>61335</v>
      </c>
      <c r="Y33" s="12">
        <v>-87.486753077362025</v>
      </c>
      <c r="Z33" s="11">
        <v>-1694.6184071085024</v>
      </c>
      <c r="AA33" s="91">
        <v>-72.833574721395252</v>
      </c>
      <c r="AB33" s="11">
        <v>-0.51679452821616101</v>
      </c>
      <c r="AC33" s="11">
        <v>-49274.978179257996</v>
      </c>
      <c r="AD33" s="85">
        <v>9.0447279018112123</v>
      </c>
      <c r="AE33" s="11">
        <f>(Opti_Salidas__30_INS[[#This Row],[All: TS Index]]-Z$47) /ABS(Z$47)</f>
        <v>-1.1735982080861798</v>
      </c>
      <c r="AF33" s="11">
        <f>(Opti_Salidas__30_INS[[#This Row],[All: Expectancy Score]]-AA$47) /ABS(AA$47)</f>
        <v>-3.5554244299817586</v>
      </c>
      <c r="AG33" s="11"/>
      <c r="AH33" s="11">
        <f>(Opti_Salidas__30_INS[[#This Row],[All: Perfect Profit Correlation]]-AC$47) /ABS(AC$47)</f>
        <v>-1.2290610942660658</v>
      </c>
      <c r="AI33" s="11">
        <f>(Opti_Salidas__30_INS[[#This Row],[All: Robustness Index]]-AD$47) /ABS(AD$47)</f>
        <v>-0.97955119750767672</v>
      </c>
      <c r="AJ33" s="11">
        <f>SUM(Opti_Salidas__30_INS[[#This Row],[VAR TS Index]:[VAR Robustness Index]])</f>
        <v>-6.9376349298416811</v>
      </c>
      <c r="AK33" s="11">
        <f>Opti_Salidas__30_INS[[#This Row],[SUMA]]-Opti_Salidas__30_INS[[#This Row],[VAR Robustness Index]]</f>
        <v>-5.9580837323340043</v>
      </c>
      <c r="AL33" s="11"/>
    </row>
    <row r="34" spans="1:38" x14ac:dyDescent="0.25">
      <c r="A34" s="11"/>
      <c r="B34" s="83">
        <v>21</v>
      </c>
      <c r="C34" s="83">
        <v>22</v>
      </c>
      <c r="D34" s="83">
        <v>-80190</v>
      </c>
      <c r="E34" s="10">
        <v>385230</v>
      </c>
      <c r="F34" s="10">
        <v>-465420</v>
      </c>
      <c r="G34" s="10">
        <v>3703</v>
      </c>
      <c r="H34" s="83">
        <v>46.556845800702135</v>
      </c>
      <c r="I34" s="11">
        <v>1724</v>
      </c>
      <c r="J34" s="83">
        <v>1925</v>
      </c>
      <c r="K34" s="83">
        <v>2280</v>
      </c>
      <c r="L34" s="12">
        <v>-4310</v>
      </c>
      <c r="M34" s="12">
        <v>223.45127868652344</v>
      </c>
      <c r="N34" s="12">
        <v>-241.77662658691406</v>
      </c>
      <c r="O34" s="12">
        <v>0.92420546121813396</v>
      </c>
      <c r="P34" s="11">
        <v>-21.655414528760463</v>
      </c>
      <c r="Q34" s="13">
        <v>15</v>
      </c>
      <c r="R34" s="83">
        <v>11</v>
      </c>
      <c r="S34" s="83">
        <v>5</v>
      </c>
      <c r="T34" s="83">
        <v>6</v>
      </c>
      <c r="U34" s="83">
        <v>-81875</v>
      </c>
      <c r="V34" s="12">
        <v>0.82770400928193899</v>
      </c>
      <c r="W34" s="11">
        <v>1</v>
      </c>
      <c r="X34" s="83">
        <v>81875</v>
      </c>
      <c r="Y34" s="12">
        <v>-97.941984732824423</v>
      </c>
      <c r="Z34" s="11">
        <v>-1688.5198167938931</v>
      </c>
      <c r="AA34" s="91">
        <v>-144.23342307889425</v>
      </c>
      <c r="AB34" s="11">
        <v>-0.78860031784953399</v>
      </c>
      <c r="AC34" s="11">
        <v>-78459.010202461737</v>
      </c>
      <c r="AD34" s="85">
        <v>-41.551894879083981</v>
      </c>
      <c r="AE34" s="11">
        <f>(Opti_Salidas__30_INS[[#This Row],[All: TS Index]]-Z$47) /ABS(Z$47)</f>
        <v>-1.1729734631016882</v>
      </c>
      <c r="AF34" s="11">
        <f>(Opti_Salidas__30_INS[[#This Row],[All: Expectancy Score]]-AA$47) /ABS(AA$47)</f>
        <v>-6.0605454196858135</v>
      </c>
      <c r="AG34" s="11"/>
      <c r="AH34" s="11">
        <f>(Opti_Salidas__30_INS[[#This Row],[All: Perfect Profit Correlation]]-AC$47) /ABS(AC$47)</f>
        <v>-1.364726832889263</v>
      </c>
      <c r="AI34" s="11">
        <f>(Opti_Salidas__30_INS[[#This Row],[All: Robustness Index]]-AD$47) /ABS(AD$47)</f>
        <v>-1.0939427366735948</v>
      </c>
      <c r="AJ34" s="11">
        <f>SUM(Opti_Salidas__30_INS[[#This Row],[VAR TS Index]:[VAR Robustness Index]])</f>
        <v>-9.6921884523503596</v>
      </c>
      <c r="AK34" s="11">
        <f>Opti_Salidas__30_INS[[#This Row],[SUMA]]-Opti_Salidas__30_INS[[#This Row],[VAR Robustness Index]]</f>
        <v>-8.5982457156767644</v>
      </c>
      <c r="AL34" s="11"/>
    </row>
    <row r="35" spans="1:38" x14ac:dyDescent="0.25">
      <c r="A35" s="11"/>
      <c r="B35" s="83"/>
      <c r="C35" s="83"/>
      <c r="D35" s="83"/>
      <c r="E35" s="10"/>
      <c r="F35" s="10"/>
      <c r="G35" s="10"/>
      <c r="H35" s="83"/>
      <c r="I35" s="11"/>
      <c r="J35" s="83"/>
      <c r="K35" s="83"/>
      <c r="L35" s="12"/>
      <c r="M35" s="12"/>
      <c r="N35" s="12"/>
      <c r="O35" s="12"/>
      <c r="P35" s="11"/>
      <c r="Q35" s="13"/>
      <c r="R35" s="83"/>
      <c r="S35" s="83"/>
      <c r="T35" s="83"/>
      <c r="U35" s="83"/>
      <c r="V35" s="12"/>
      <c r="W35" s="11"/>
      <c r="X35" s="83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83"/>
      <c r="C36" s="83"/>
      <c r="D36" s="83"/>
      <c r="E36" s="10"/>
      <c r="F36" s="10"/>
      <c r="G36" s="10"/>
      <c r="H36" s="83"/>
      <c r="I36" s="11"/>
      <c r="J36" s="83"/>
      <c r="K36" s="83"/>
      <c r="L36" s="12"/>
      <c r="M36" s="12"/>
      <c r="N36" s="12"/>
      <c r="O36" s="12"/>
      <c r="P36" s="11"/>
      <c r="Q36" s="13"/>
      <c r="R36" s="83"/>
      <c r="S36" s="83"/>
      <c r="T36" s="83"/>
      <c r="U36" s="83"/>
      <c r="V36" s="12"/>
      <c r="W36" s="11"/>
      <c r="X36" s="83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ht="30" customHeight="1" x14ac:dyDescent="0.25">
      <c r="A37" s="39" t="s">
        <v>36</v>
      </c>
      <c r="B37" s="40">
        <v>16</v>
      </c>
      <c r="C37" s="47"/>
      <c r="D37" s="48">
        <v>121712.42424242424</v>
      </c>
      <c r="E37" s="48">
        <v>1313980.9090909092</v>
      </c>
      <c r="F37" s="48">
        <v>-1192268.4848484849</v>
      </c>
      <c r="G37" s="40">
        <v>3702.2727272727275</v>
      </c>
      <c r="H37" s="40">
        <v>37.175939367775598</v>
      </c>
      <c r="I37" s="40">
        <v>1376.3636363636363</v>
      </c>
      <c r="J37" s="40">
        <v>2303.212121212121</v>
      </c>
      <c r="K37" s="49">
        <v>12120</v>
      </c>
      <c r="L37" s="49">
        <v>-4170.30303030303</v>
      </c>
      <c r="M37" s="49">
        <v>979.95033957741475</v>
      </c>
      <c r="N37" s="49">
        <v>-514.18849736993968</v>
      </c>
      <c r="O37" s="50">
        <v>1.8714441453519628</v>
      </c>
      <c r="P37" s="49">
        <v>32.876755033434257</v>
      </c>
      <c r="Q37" s="40">
        <v>9.3030303030303028</v>
      </c>
      <c r="R37" s="40">
        <v>16.545454545454547</v>
      </c>
      <c r="S37" s="40">
        <v>53.363636363636367</v>
      </c>
      <c r="T37" s="40">
        <v>20.151515151515152</v>
      </c>
      <c r="U37" s="49">
        <v>-44450.151515151512</v>
      </c>
      <c r="V37" s="50">
        <v>1.0865958848183965</v>
      </c>
      <c r="W37" s="47"/>
      <c r="X37" s="47"/>
      <c r="Y37" s="40">
        <v>320.77155025008676</v>
      </c>
      <c r="Z37" s="47">
        <v>4224.1419062833475</v>
      </c>
      <c r="AA37" s="50">
        <v>-6.4914477396412726</v>
      </c>
      <c r="AB37" s="50">
        <v>1.1060280329204368</v>
      </c>
      <c r="AC37" s="50">
        <v>117351.75376900026</v>
      </c>
      <c r="AD37" s="50">
        <v>106.99079395325214</v>
      </c>
      <c r="AE37" s="11"/>
      <c r="AF37" s="11"/>
      <c r="AG37" s="11"/>
      <c r="AH37" s="11"/>
      <c r="AI37" s="11"/>
      <c r="AJ37" s="11"/>
      <c r="AK37" s="11"/>
      <c r="AL37" s="11"/>
    </row>
    <row r="38" spans="1:38" ht="30" customHeight="1" x14ac:dyDescent="0.25">
      <c r="A38" s="41" t="s">
        <v>37</v>
      </c>
      <c r="B38" s="42">
        <v>1.6832508230603462</v>
      </c>
      <c r="C38" s="51"/>
      <c r="D38" s="52">
        <v>13780.287194295131</v>
      </c>
      <c r="E38" s="52">
        <v>56959.140589195857</v>
      </c>
      <c r="F38" s="52">
        <v>43885.075444885129</v>
      </c>
      <c r="G38" s="42">
        <v>7.8729582162221715E-2</v>
      </c>
      <c r="H38" s="42">
        <v>0.83206315969781652</v>
      </c>
      <c r="I38" s="42">
        <v>30.822648174611221</v>
      </c>
      <c r="J38" s="42">
        <v>32.169318786169654</v>
      </c>
      <c r="K38" s="53">
        <v>1175.9213827823901</v>
      </c>
      <c r="L38" s="53">
        <v>57.11081209077301</v>
      </c>
      <c r="M38" s="53">
        <v>45.750146279781838</v>
      </c>
      <c r="N38" s="53">
        <v>16.581387214090157</v>
      </c>
      <c r="O38" s="54">
        <v>6.5735615401971897E-2</v>
      </c>
      <c r="P38" s="53">
        <v>3.722116832984141</v>
      </c>
      <c r="Q38" s="42">
        <v>0.36014740375771859</v>
      </c>
      <c r="R38" s="42">
        <v>0.36950752721991487</v>
      </c>
      <c r="S38" s="42">
        <v>3.4308146234846695</v>
      </c>
      <c r="T38" s="42">
        <v>0.95358296833694323</v>
      </c>
      <c r="U38" s="53">
        <v>2218.6648883040461</v>
      </c>
      <c r="V38" s="54">
        <v>1.3848794636075527E-2</v>
      </c>
      <c r="W38" s="51"/>
      <c r="X38" s="51"/>
      <c r="Y38" s="42">
        <v>34.405019625537435</v>
      </c>
      <c r="Z38" s="51">
        <v>476.68907708519322</v>
      </c>
      <c r="AA38" s="54">
        <v>5.3904932451567911</v>
      </c>
      <c r="AB38" s="54">
        <v>0.13033095628762226</v>
      </c>
      <c r="AC38" s="55">
        <v>13063.901723060071</v>
      </c>
      <c r="AD38" s="54">
        <v>15.903006473981858</v>
      </c>
      <c r="AE38" s="11"/>
      <c r="AF38" s="11"/>
      <c r="AG38" s="11"/>
      <c r="AH38" s="11"/>
      <c r="AI38" s="11"/>
      <c r="AJ38" s="11"/>
      <c r="AK38" s="11"/>
      <c r="AL38" s="11"/>
    </row>
    <row r="39" spans="1:38" ht="30" customHeight="1" x14ac:dyDescent="0.25">
      <c r="A39" s="43" t="s">
        <v>38</v>
      </c>
      <c r="B39" s="44">
        <v>16</v>
      </c>
      <c r="C39" s="56"/>
      <c r="D39" s="57">
        <v>145550</v>
      </c>
      <c r="E39" s="57">
        <v>1471840</v>
      </c>
      <c r="F39" s="57">
        <v>-1315930</v>
      </c>
      <c r="G39" s="44">
        <v>3702</v>
      </c>
      <c r="H39" s="44">
        <v>36.520799567801191</v>
      </c>
      <c r="I39" s="44">
        <v>1352</v>
      </c>
      <c r="J39" s="44">
        <v>2331</v>
      </c>
      <c r="K39" s="58">
        <v>11410</v>
      </c>
      <c r="L39" s="58">
        <v>-4310</v>
      </c>
      <c r="M39" s="58">
        <v>1090.2071533203125</v>
      </c>
      <c r="N39" s="58">
        <v>-565.243408203125</v>
      </c>
      <c r="O39" s="59">
        <v>1.9276420881524829</v>
      </c>
      <c r="P39" s="58">
        <v>39.305968133945449</v>
      </c>
      <c r="Q39" s="44">
        <v>9</v>
      </c>
      <c r="R39" s="44">
        <v>17</v>
      </c>
      <c r="S39" s="44">
        <v>60</v>
      </c>
      <c r="T39" s="44">
        <v>23</v>
      </c>
      <c r="U39" s="58">
        <v>-45225</v>
      </c>
      <c r="V39" s="59">
        <v>1.111252092425991</v>
      </c>
      <c r="W39" s="56"/>
      <c r="X39" s="56"/>
      <c r="Y39" s="44">
        <v>334.77059148700937</v>
      </c>
      <c r="Z39" s="60">
        <v>4482.5782200110561</v>
      </c>
      <c r="AA39" s="61">
        <v>0.81999845410027605</v>
      </c>
      <c r="AB39" s="59">
        <v>1.3321921676935791</v>
      </c>
      <c r="AC39" s="62">
        <v>139831.01052027169</v>
      </c>
      <c r="AD39" s="63">
        <v>122.9783947629312</v>
      </c>
      <c r="AE39" s="11"/>
      <c r="AF39" s="11"/>
      <c r="AG39" s="11"/>
      <c r="AH39" s="11"/>
      <c r="AI39" s="11"/>
      <c r="AJ39" s="11"/>
      <c r="AK39" s="11"/>
      <c r="AL39" s="11"/>
    </row>
    <row r="40" spans="1:38" ht="30" customHeight="1" x14ac:dyDescent="0.25">
      <c r="A40" s="41" t="s">
        <v>39</v>
      </c>
      <c r="B40" s="42" t="e">
        <v>#N/A</v>
      </c>
      <c r="C40" s="51"/>
      <c r="D40" s="52" t="e">
        <v>#N/A</v>
      </c>
      <c r="E40" s="52">
        <v>1480890</v>
      </c>
      <c r="F40" s="52">
        <v>-1331100</v>
      </c>
      <c r="G40" s="42">
        <v>3702</v>
      </c>
      <c r="H40" s="42">
        <v>36.520799567801191</v>
      </c>
      <c r="I40" s="42">
        <v>1352</v>
      </c>
      <c r="J40" s="42">
        <v>2331</v>
      </c>
      <c r="K40" s="53">
        <v>18780</v>
      </c>
      <c r="L40" s="53">
        <v>-4310</v>
      </c>
      <c r="M40" s="53">
        <v>1095.3328857421875</v>
      </c>
      <c r="N40" s="53">
        <v>-571.04248046875</v>
      </c>
      <c r="O40" s="54" t="e">
        <v>#N/A</v>
      </c>
      <c r="P40" s="53" t="e">
        <v>#N/A</v>
      </c>
      <c r="Q40" s="42">
        <v>9</v>
      </c>
      <c r="R40" s="42">
        <v>17</v>
      </c>
      <c r="S40" s="42">
        <v>68</v>
      </c>
      <c r="T40" s="42">
        <v>23</v>
      </c>
      <c r="U40" s="53">
        <v>-45225</v>
      </c>
      <c r="V40" s="54" t="e">
        <v>#N/A</v>
      </c>
      <c r="W40" s="51"/>
      <c r="X40" s="51"/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ht="30" customHeight="1" x14ac:dyDescent="0.25">
      <c r="A41" s="43" t="s">
        <v>40</v>
      </c>
      <c r="B41" s="44">
        <v>9.6695398029068578</v>
      </c>
      <c r="C41" s="59"/>
      <c r="D41" s="57">
        <v>79161.723074914145</v>
      </c>
      <c r="E41" s="57">
        <v>327205.3514076026</v>
      </c>
      <c r="F41" s="57">
        <v>252100.56514119037</v>
      </c>
      <c r="G41" s="44">
        <v>0.45226701686664555</v>
      </c>
      <c r="H41" s="44">
        <v>4.7798389467604832</v>
      </c>
      <c r="I41" s="44">
        <v>177.06263337125517</v>
      </c>
      <c r="J41" s="44">
        <v>184.79866706360426</v>
      </c>
      <c r="K41" s="58">
        <v>6755.1540507970649</v>
      </c>
      <c r="L41" s="58">
        <v>328.07663785010703</v>
      </c>
      <c r="M41" s="58">
        <v>262.81458139248548</v>
      </c>
      <c r="N41" s="58">
        <v>95.252817617845579</v>
      </c>
      <c r="O41" s="59">
        <v>0.37762236078535771</v>
      </c>
      <c r="P41" s="58">
        <v>21.381933324811122</v>
      </c>
      <c r="Q41" s="44">
        <v>2.0688893228742398</v>
      </c>
      <c r="R41" s="44">
        <v>2.1226591384821569</v>
      </c>
      <c r="S41" s="44">
        <v>19.708529533266464</v>
      </c>
      <c r="T41" s="44">
        <v>5.4779171002832596</v>
      </c>
      <c r="U41" s="58">
        <v>12745.25944253689</v>
      </c>
      <c r="V41" s="59">
        <v>7.9555268365975679E-2</v>
      </c>
      <c r="W41" s="59"/>
      <c r="X41" s="59"/>
      <c r="Y41" s="44">
        <v>197.64179059427013</v>
      </c>
      <c r="Z41" s="59">
        <v>2738.370266236288</v>
      </c>
      <c r="AA41" s="59">
        <v>30.96602614254326</v>
      </c>
      <c r="AB41" s="59">
        <v>0.74869434317745542</v>
      </c>
      <c r="AC41" s="50">
        <v>75046.401856334676</v>
      </c>
      <c r="AD41" s="59">
        <v>91.355816958088624</v>
      </c>
      <c r="AE41" s="11"/>
      <c r="AF41" s="11"/>
      <c r="AG41" s="11"/>
      <c r="AH41" s="11"/>
      <c r="AI41" s="11"/>
      <c r="AJ41" s="11"/>
      <c r="AK41" s="11"/>
      <c r="AL41" s="11"/>
    </row>
    <row r="42" spans="1:38" ht="30" customHeight="1" x14ac:dyDescent="0.25">
      <c r="A42" s="41" t="s">
        <v>41</v>
      </c>
      <c r="B42" s="42">
        <v>93.5</v>
      </c>
      <c r="C42" s="54"/>
      <c r="D42" s="52">
        <v>6266578400.189394</v>
      </c>
      <c r="E42" s="52">
        <v>107063341989.77271</v>
      </c>
      <c r="F42" s="52">
        <v>63554694944.507568</v>
      </c>
      <c r="G42" s="42">
        <v>0.20454545454545464</v>
      </c>
      <c r="H42" s="42">
        <v>22.846860356968364</v>
      </c>
      <c r="I42" s="42">
        <v>31351.176136363531</v>
      </c>
      <c r="J42" s="42">
        <v>34150.547348484848</v>
      </c>
      <c r="K42" s="52">
        <v>45632106.25</v>
      </c>
      <c r="L42" s="52">
        <v>107634.28030303027</v>
      </c>
      <c r="M42" s="52">
        <v>69071.50419250736</v>
      </c>
      <c r="N42" s="52">
        <v>9073.0992641385528</v>
      </c>
      <c r="O42" s="54">
        <v>0.14259864736510686</v>
      </c>
      <c r="P42" s="52">
        <v>457.18707270666846</v>
      </c>
      <c r="Q42" s="42">
        <v>4.2803030303030312</v>
      </c>
      <c r="R42" s="42">
        <v>4.505681818181813</v>
      </c>
      <c r="S42" s="42">
        <v>388.42613636363649</v>
      </c>
      <c r="T42" s="42">
        <v>30.007575757575751</v>
      </c>
      <c r="U42" s="52">
        <v>162441638.25757575</v>
      </c>
      <c r="V42" s="54">
        <v>6.3290407247824114E-3</v>
      </c>
      <c r="W42" s="51"/>
      <c r="X42" s="51"/>
      <c r="Y42" s="42">
        <v>39062.277389309325</v>
      </c>
      <c r="Z42" s="51">
        <v>7498671.7150069997</v>
      </c>
      <c r="AA42" s="54">
        <v>958.8947750606726</v>
      </c>
      <c r="AB42" s="54">
        <v>0.56054321950592145</v>
      </c>
      <c r="AC42" s="64">
        <v>5631962431.5824738</v>
      </c>
      <c r="AD42" s="54">
        <v>8345.8852920797926</v>
      </c>
      <c r="AE42" s="11"/>
      <c r="AF42" s="11"/>
      <c r="AG42" s="11"/>
      <c r="AH42" s="11"/>
      <c r="AI42" s="11"/>
      <c r="AJ42" s="11"/>
      <c r="AK42" s="11"/>
      <c r="AL42" s="11"/>
    </row>
    <row r="43" spans="1:38" ht="30" customHeight="1" x14ac:dyDescent="0.25">
      <c r="A43" s="43" t="s">
        <v>42</v>
      </c>
      <c r="B43" s="44">
        <v>-1.1999999999999993</v>
      </c>
      <c r="C43" s="59"/>
      <c r="D43" s="57">
        <v>1.2732691882961968</v>
      </c>
      <c r="E43" s="57">
        <v>2.6743254230815769</v>
      </c>
      <c r="F43" s="57">
        <v>3.0104381137811198</v>
      </c>
      <c r="G43" s="44">
        <v>-0.9146953405040108</v>
      </c>
      <c r="H43" s="44">
        <v>5.3841549709827294</v>
      </c>
      <c r="I43" s="44">
        <v>5.3867852527589033</v>
      </c>
      <c r="J43" s="44">
        <v>5.343929281188645</v>
      </c>
      <c r="K43" s="58">
        <v>-1.6403329356352749</v>
      </c>
      <c r="L43" s="58">
        <v>4.1893199350423451</v>
      </c>
      <c r="M43" s="58">
        <v>3.9428058482945469</v>
      </c>
      <c r="N43" s="58">
        <v>1.8227272042694476</v>
      </c>
      <c r="O43" s="59">
        <v>3.8888240603743758</v>
      </c>
      <c r="P43" s="58">
        <v>1.2729104371842799</v>
      </c>
      <c r="Q43" s="44">
        <v>4.6112080921788987</v>
      </c>
      <c r="R43" s="44">
        <v>6.0123357168824487</v>
      </c>
      <c r="S43" s="44">
        <v>1.2030075749730789</v>
      </c>
      <c r="T43" s="44">
        <v>1.3835322051639927</v>
      </c>
      <c r="U43" s="58">
        <v>2.0438973031543681</v>
      </c>
      <c r="V43" s="59">
        <v>3.5759955722674195</v>
      </c>
      <c r="W43" s="59"/>
      <c r="X43" s="59"/>
      <c r="Y43" s="44">
        <v>0.6516156123563932</v>
      </c>
      <c r="Z43" s="59">
        <v>0.77803388445564403</v>
      </c>
      <c r="AA43" s="59">
        <v>13.004179264047684</v>
      </c>
      <c r="AB43" s="59">
        <v>1.1544237016578589</v>
      </c>
      <c r="AC43" s="50">
        <v>1.2784197431845716</v>
      </c>
      <c r="AD43" s="59">
        <v>5.3240204905441662</v>
      </c>
      <c r="AE43" s="11"/>
      <c r="AF43" s="11"/>
      <c r="AG43" s="11"/>
      <c r="AH43" s="11"/>
      <c r="AI43" s="11"/>
      <c r="AJ43" s="11"/>
      <c r="AK43" s="11"/>
      <c r="AL43" s="11"/>
    </row>
    <row r="44" spans="1:38" ht="30" customHeight="1" x14ac:dyDescent="0.25">
      <c r="A44" s="41" t="s">
        <v>43</v>
      </c>
      <c r="B44" s="42">
        <v>1.096443164755502E-17</v>
      </c>
      <c r="C44" s="54"/>
      <c r="D44" s="52">
        <v>-1.4840422959330419</v>
      </c>
      <c r="E44" s="52">
        <v>-1.9571688743082967</v>
      </c>
      <c r="F44" s="52">
        <v>2.0314572582405797</v>
      </c>
      <c r="G44" s="42">
        <v>1.0698789646293136</v>
      </c>
      <c r="H44" s="42">
        <v>2.0600411508927161</v>
      </c>
      <c r="I44" s="42">
        <v>2.0617005120905731</v>
      </c>
      <c r="J44" s="42">
        <v>-2.1067648887819677</v>
      </c>
      <c r="K44" s="53">
        <v>3.3963035782746835E-2</v>
      </c>
      <c r="L44" s="53">
        <v>1.8214224470544871</v>
      </c>
      <c r="M44" s="53">
        <v>-2.2719716257260378</v>
      </c>
      <c r="N44" s="53">
        <v>1.7556669032425443</v>
      </c>
      <c r="O44" s="54">
        <v>-1.7193001755558868</v>
      </c>
      <c r="P44" s="53">
        <v>-1.4838796517897823</v>
      </c>
      <c r="Q44" s="42">
        <v>1.4822032200129815</v>
      </c>
      <c r="R44" s="42">
        <v>-2.2166549009725336</v>
      </c>
      <c r="S44" s="42">
        <v>-1.5192261968445624</v>
      </c>
      <c r="T44" s="42">
        <v>-1.6670783073813433</v>
      </c>
      <c r="U44" s="53">
        <v>-1.1937101926431279</v>
      </c>
      <c r="V44" s="54">
        <v>-2.0462348487283863</v>
      </c>
      <c r="W44" s="54"/>
      <c r="X44" s="54"/>
      <c r="Y44" s="42">
        <v>-0.80762088619454053</v>
      </c>
      <c r="Z44" s="54">
        <v>-0.87897246472315194</v>
      </c>
      <c r="AA44" s="54">
        <v>-3.4786071294227838</v>
      </c>
      <c r="AB44" s="54">
        <v>-1.4363913915958686</v>
      </c>
      <c r="AC44" s="55">
        <v>-1.4284882298082582</v>
      </c>
      <c r="AD44" s="54">
        <v>0.95534367375397422</v>
      </c>
      <c r="AE44" s="11"/>
      <c r="AF44" s="11"/>
      <c r="AG44" s="11"/>
      <c r="AH44" s="11"/>
      <c r="AI44" s="11"/>
      <c r="AJ44" s="11"/>
      <c r="AK44" s="11"/>
      <c r="AL44" s="11"/>
    </row>
    <row r="45" spans="1:38" ht="30" customHeight="1" x14ac:dyDescent="0.25">
      <c r="A45" s="43" t="s">
        <v>44</v>
      </c>
      <c r="B45" s="44">
        <v>32</v>
      </c>
      <c r="C45" s="56"/>
      <c r="D45" s="57">
        <v>298790</v>
      </c>
      <c r="E45" s="57">
        <v>1151610</v>
      </c>
      <c r="F45" s="57">
        <v>868370</v>
      </c>
      <c r="G45" s="44">
        <v>1</v>
      </c>
      <c r="H45" s="44">
        <v>23.891866845300278</v>
      </c>
      <c r="I45" s="44">
        <v>885</v>
      </c>
      <c r="J45" s="44">
        <v>915</v>
      </c>
      <c r="K45" s="58">
        <v>20660</v>
      </c>
      <c r="L45" s="58">
        <v>1680</v>
      </c>
      <c r="M45" s="58">
        <v>909.91151428222656</v>
      </c>
      <c r="N45" s="58">
        <v>330.12815856933594</v>
      </c>
      <c r="O45" s="59">
        <v>1.824506464936978</v>
      </c>
      <c r="P45" s="58">
        <v>80.70457714356327</v>
      </c>
      <c r="Q45" s="44">
        <v>10</v>
      </c>
      <c r="R45" s="44">
        <v>11</v>
      </c>
      <c r="S45" s="44">
        <v>63</v>
      </c>
      <c r="T45" s="44">
        <v>18</v>
      </c>
      <c r="U45" s="58">
        <v>59070</v>
      </c>
      <c r="V45" s="59">
        <v>0.34071023119757204</v>
      </c>
      <c r="W45" s="56"/>
      <c r="X45" s="56"/>
      <c r="Y45" s="44">
        <v>826.97316699061992</v>
      </c>
      <c r="Z45" s="56">
        <v>11456.345937540385</v>
      </c>
      <c r="AA45" s="59">
        <v>172.73497995017891</v>
      </c>
      <c r="AB45" s="59">
        <v>2.8281850189135018</v>
      </c>
      <c r="AC45" s="50">
        <v>293576.19689512055</v>
      </c>
      <c r="AD45" s="59">
        <v>553.65036220876584</v>
      </c>
      <c r="AE45" s="11"/>
      <c r="AF45" s="11"/>
      <c r="AG45" s="11"/>
      <c r="AH45" s="11"/>
      <c r="AI45" s="11"/>
      <c r="AJ45" s="11"/>
      <c r="AK45" s="11"/>
      <c r="AL45" s="11"/>
    </row>
    <row r="46" spans="1:38" ht="30" customHeight="1" x14ac:dyDescent="0.25">
      <c r="A46" s="41" t="s">
        <v>45</v>
      </c>
      <c r="B46" s="42">
        <v>0</v>
      </c>
      <c r="C46" s="51"/>
      <c r="D46" s="52">
        <v>-80190</v>
      </c>
      <c r="E46" s="52">
        <v>385230</v>
      </c>
      <c r="F46" s="52">
        <v>-1333790</v>
      </c>
      <c r="G46" s="42">
        <v>3702</v>
      </c>
      <c r="H46" s="42">
        <v>28.417071853052406</v>
      </c>
      <c r="I46" s="42">
        <v>1052</v>
      </c>
      <c r="J46" s="42">
        <v>1720</v>
      </c>
      <c r="K46" s="53">
        <v>2280</v>
      </c>
      <c r="L46" s="53">
        <v>-4710</v>
      </c>
      <c r="M46" s="53">
        <v>223.45127868652344</v>
      </c>
      <c r="N46" s="53">
        <v>-571.90478515625</v>
      </c>
      <c r="O46" s="54">
        <v>0.80092905466954201</v>
      </c>
      <c r="P46" s="53">
        <v>-21.655414528760463</v>
      </c>
      <c r="Q46" s="42">
        <v>5</v>
      </c>
      <c r="R46" s="42">
        <v>10</v>
      </c>
      <c r="S46" s="42">
        <v>5</v>
      </c>
      <c r="T46" s="42">
        <v>6</v>
      </c>
      <c r="U46" s="53">
        <v>-81875</v>
      </c>
      <c r="V46" s="54">
        <v>0.82770400928193899</v>
      </c>
      <c r="W46" s="51"/>
      <c r="X46" s="51"/>
      <c r="Y46" s="51">
        <v>-97.941984732824423</v>
      </c>
      <c r="Z46" s="60">
        <v>-1694.6184071085024</v>
      </c>
      <c r="AA46" s="61">
        <v>-144.23342307889425</v>
      </c>
      <c r="AB46" s="54">
        <v>-0.78860031784953399</v>
      </c>
      <c r="AC46" s="62">
        <v>-78459.010202461737</v>
      </c>
      <c r="AD46" s="63">
        <v>-111.33947846842362</v>
      </c>
      <c r="AE46" s="5"/>
      <c r="AF46" s="11"/>
      <c r="AG46" s="11"/>
      <c r="AH46" s="11"/>
      <c r="AI46" s="11"/>
      <c r="AJ46" s="11"/>
      <c r="AK46" s="11"/>
      <c r="AL46" s="11"/>
    </row>
    <row r="47" spans="1:38" ht="30" customHeight="1" x14ac:dyDescent="0.25">
      <c r="A47" s="43" t="s">
        <v>46</v>
      </c>
      <c r="B47" s="44">
        <v>32</v>
      </c>
      <c r="C47" s="56"/>
      <c r="D47" s="57">
        <v>218600</v>
      </c>
      <c r="E47" s="57">
        <v>1536840</v>
      </c>
      <c r="F47" s="57">
        <v>-465420</v>
      </c>
      <c r="G47" s="44">
        <v>3703</v>
      </c>
      <c r="H47" s="44">
        <v>52.308938698352684</v>
      </c>
      <c r="I47" s="44">
        <v>1937</v>
      </c>
      <c r="J47" s="44">
        <v>2635</v>
      </c>
      <c r="K47" s="58">
        <v>22940</v>
      </c>
      <c r="L47" s="58">
        <v>-3030</v>
      </c>
      <c r="M47" s="58">
        <v>1133.36279296875</v>
      </c>
      <c r="N47" s="58">
        <v>-241.77662658691406</v>
      </c>
      <c r="O47" s="59">
        <v>2.62543551960652</v>
      </c>
      <c r="P47" s="58">
        <v>59.04916261480281</v>
      </c>
      <c r="Q47" s="44">
        <v>15</v>
      </c>
      <c r="R47" s="44">
        <v>21</v>
      </c>
      <c r="S47" s="44">
        <v>68</v>
      </c>
      <c r="T47" s="44">
        <v>24</v>
      </c>
      <c r="U47" s="58">
        <v>-22805</v>
      </c>
      <c r="V47" s="59">
        <v>1.168414240479511</v>
      </c>
      <c r="W47" s="56"/>
      <c r="X47" s="56"/>
      <c r="Y47" s="44">
        <v>729.03118225779554</v>
      </c>
      <c r="Z47" s="60">
        <v>9761.7275304318828</v>
      </c>
      <c r="AA47" s="61">
        <v>28.501556871284649</v>
      </c>
      <c r="AB47" s="59">
        <v>2.0395847010639678</v>
      </c>
      <c r="AC47" s="62">
        <v>215117.18669265881</v>
      </c>
      <c r="AD47" s="65">
        <v>442.31088374034221</v>
      </c>
      <c r="AE47" s="11"/>
      <c r="AF47" s="11"/>
      <c r="AG47" s="11"/>
      <c r="AH47" s="11"/>
      <c r="AI47" s="11"/>
      <c r="AJ47" s="11"/>
      <c r="AK47" s="11"/>
      <c r="AL47" s="11"/>
    </row>
    <row r="48" spans="1:38" ht="30" customHeight="1" x14ac:dyDescent="0.25">
      <c r="A48" s="45" t="s">
        <v>47</v>
      </c>
      <c r="B48" s="46">
        <v>3.4286697268982782</v>
      </c>
      <c r="C48" s="66"/>
      <c r="D48" s="67">
        <v>28069.526468516</v>
      </c>
      <c r="E48" s="67">
        <v>116021.97268096467</v>
      </c>
      <c r="F48" s="67">
        <v>89390.973453948653</v>
      </c>
      <c r="G48" s="46">
        <v>0.16036691102291101</v>
      </c>
      <c r="H48" s="46">
        <v>1.6948571938532495</v>
      </c>
      <c r="I48" s="46">
        <v>62.783679800605213</v>
      </c>
      <c r="J48" s="46">
        <v>65.526758071946389</v>
      </c>
      <c r="K48" s="68">
        <v>2395.2734738771592</v>
      </c>
      <c r="L48" s="68">
        <v>116.33091741977984</v>
      </c>
      <c r="M48" s="68">
        <v>93.189998425464722</v>
      </c>
      <c r="N48" s="68">
        <v>33.775180497203237</v>
      </c>
      <c r="O48" s="66">
        <v>0.13389906686514594</v>
      </c>
      <c r="P48" s="68">
        <v>7.5817038853595093</v>
      </c>
      <c r="Q48" s="46">
        <v>0.73359625527468475</v>
      </c>
      <c r="R48" s="46">
        <v>0.75266220285373553</v>
      </c>
      <c r="S48" s="46">
        <v>6.9883407018064361</v>
      </c>
      <c r="T48" s="46">
        <v>1.9423849439611776</v>
      </c>
      <c r="U48" s="68">
        <v>4519.2724889506926</v>
      </c>
      <c r="V48" s="66">
        <v>2.8209071560953636E-2</v>
      </c>
      <c r="W48" s="66"/>
      <c r="X48" s="66"/>
      <c r="Y48" s="46">
        <v>70.080731657656358</v>
      </c>
      <c r="Z48" s="66">
        <v>970.98387557805245</v>
      </c>
      <c r="AA48" s="66">
        <v>10.980075428756313</v>
      </c>
      <c r="AB48" s="66">
        <v>0.2654754705472987</v>
      </c>
      <c r="AC48" s="69">
        <v>26610.297015386928</v>
      </c>
      <c r="AD48" s="66">
        <v>32.393364148115502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83"/>
      <c r="C49" s="83"/>
      <c r="D49" s="83"/>
      <c r="E49" s="10"/>
      <c r="F49" s="10"/>
      <c r="G49" s="10"/>
      <c r="H49" s="83"/>
      <c r="I49" s="11"/>
      <c r="J49" s="83"/>
      <c r="K49" s="83"/>
      <c r="L49" s="12"/>
      <c r="M49" s="12"/>
      <c r="N49" s="12"/>
      <c r="O49" s="12"/>
      <c r="P49" s="11"/>
      <c r="Q49" s="13"/>
      <c r="R49" s="83"/>
      <c r="S49" s="83"/>
      <c r="T49" s="83"/>
      <c r="U49" s="83"/>
      <c r="V49" s="12"/>
      <c r="W49" s="11"/>
      <c r="X49" s="83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83"/>
      <c r="C50" s="83"/>
      <c r="D50" s="83"/>
      <c r="E50" s="10"/>
      <c r="F50" s="10"/>
      <c r="G50" s="10"/>
      <c r="H50" s="83"/>
      <c r="I50" s="11"/>
      <c r="J50" s="83"/>
      <c r="K50" s="83"/>
      <c r="L50" s="12"/>
      <c r="M50" s="12"/>
      <c r="N50" s="12"/>
      <c r="O50" s="12"/>
      <c r="P50" s="11"/>
      <c r="Q50" s="13"/>
      <c r="R50" s="83"/>
      <c r="S50" s="83"/>
      <c r="T50" s="83"/>
      <c r="U50" s="83"/>
      <c r="V50" s="12"/>
      <c r="W50" s="11"/>
      <c r="X50" s="83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83"/>
      <c r="C51" s="83"/>
      <c r="D51" s="83"/>
      <c r="E51" s="10"/>
      <c r="F51" s="10"/>
      <c r="G51" s="10"/>
      <c r="H51" s="83"/>
      <c r="I51" s="11"/>
      <c r="J51" s="83"/>
      <c r="K51" s="83"/>
      <c r="L51" s="12"/>
      <c r="M51" s="12"/>
      <c r="N51" s="12"/>
      <c r="O51" s="12"/>
      <c r="P51" s="11"/>
      <c r="Q51" s="13"/>
      <c r="R51" s="83"/>
      <c r="S51" s="83"/>
      <c r="T51" s="83"/>
      <c r="U51" s="83"/>
      <c r="V51" s="12"/>
      <c r="W51" s="11"/>
      <c r="X51" s="83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83"/>
      <c r="C52" s="83"/>
      <c r="D52" s="83"/>
      <c r="E52" s="10"/>
      <c r="F52" s="10"/>
      <c r="G52" s="10"/>
      <c r="H52" s="83"/>
      <c r="I52" s="11"/>
      <c r="J52" s="83"/>
      <c r="K52" s="83"/>
      <c r="L52" s="12"/>
      <c r="M52" s="12"/>
      <c r="N52" s="12"/>
      <c r="O52" s="12"/>
      <c r="P52" s="11"/>
      <c r="Q52" s="13"/>
      <c r="R52" s="83"/>
      <c r="S52" s="83"/>
      <c r="T52" s="83"/>
      <c r="U52" s="83"/>
      <c r="V52" s="12"/>
      <c r="W52" s="11"/>
      <c r="X52" s="83"/>
      <c r="Y52" s="12"/>
      <c r="Z52" s="11"/>
      <c r="AA52" s="14"/>
      <c r="AB52" s="11"/>
      <c r="AC52" s="11"/>
      <c r="AD52" s="15"/>
      <c r="AE52" s="11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83"/>
      <c r="C53" s="83"/>
      <c r="D53" s="83"/>
      <c r="E53" s="10"/>
      <c r="F53" s="10"/>
      <c r="G53" s="10"/>
      <c r="H53" s="83"/>
      <c r="I53" s="11"/>
      <c r="J53" s="83"/>
      <c r="K53" s="83"/>
      <c r="L53" s="12"/>
      <c r="M53" s="12"/>
      <c r="N53" s="12"/>
      <c r="O53" s="12"/>
      <c r="P53" s="11"/>
      <c r="Q53" s="13"/>
      <c r="R53" s="83"/>
      <c r="S53" s="83"/>
      <c r="T53" s="83"/>
      <c r="U53" s="83"/>
      <c r="V53" s="12"/>
      <c r="W53" s="11"/>
      <c r="X53" s="83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83"/>
      <c r="C54" s="83"/>
      <c r="D54" s="83"/>
      <c r="E54" s="10"/>
      <c r="F54" s="10"/>
      <c r="G54" s="10"/>
      <c r="H54" s="83"/>
      <c r="I54" s="11"/>
      <c r="J54" s="83"/>
      <c r="K54" s="83"/>
      <c r="L54" s="12"/>
      <c r="M54" s="12"/>
      <c r="N54" s="12"/>
      <c r="O54" s="12"/>
      <c r="P54" s="11"/>
      <c r="Q54" s="13"/>
      <c r="R54" s="83"/>
      <c r="S54" s="83"/>
      <c r="T54" s="83"/>
      <c r="U54" s="83"/>
      <c r="V54" s="12"/>
      <c r="W54" s="11"/>
      <c r="X54" s="83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83"/>
      <c r="C55" s="83"/>
      <c r="D55" s="83"/>
      <c r="E55" s="10"/>
      <c r="F55" s="10"/>
      <c r="G55" s="10"/>
      <c r="H55" s="83"/>
      <c r="I55" s="11"/>
      <c r="J55" s="83"/>
      <c r="K55" s="83"/>
      <c r="L55" s="12"/>
      <c r="M55" s="12"/>
      <c r="N55" s="12"/>
      <c r="O55" s="12"/>
      <c r="P55" s="11"/>
      <c r="Q55" s="13"/>
      <c r="R55" s="83"/>
      <c r="S55" s="83"/>
      <c r="T55" s="83"/>
      <c r="U55" s="83"/>
      <c r="V55" s="12"/>
      <c r="W55" s="11"/>
      <c r="X55" s="83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83"/>
      <c r="C56" s="83"/>
      <c r="D56" s="83"/>
      <c r="E56" s="10"/>
      <c r="F56" s="10"/>
      <c r="G56" s="10"/>
      <c r="H56" s="83"/>
      <c r="I56" s="11"/>
      <c r="J56" s="83"/>
      <c r="K56" s="83"/>
      <c r="L56" s="12"/>
      <c r="M56" s="12"/>
      <c r="N56" s="12"/>
      <c r="O56" s="12"/>
      <c r="P56" s="11"/>
      <c r="Q56" s="13"/>
      <c r="R56" s="83"/>
      <c r="S56" s="83"/>
      <c r="T56" s="83"/>
      <c r="U56" s="83"/>
      <c r="V56" s="12"/>
      <c r="W56" s="11"/>
      <c r="X56" s="83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83"/>
      <c r="C57" s="83"/>
      <c r="D57" s="83"/>
      <c r="E57" s="10"/>
      <c r="F57" s="10"/>
      <c r="G57" s="10"/>
      <c r="H57" s="83"/>
      <c r="I57" s="11"/>
      <c r="J57" s="83"/>
      <c r="K57" s="83"/>
      <c r="L57" s="12"/>
      <c r="M57" s="12"/>
      <c r="N57" s="12"/>
      <c r="O57" s="12"/>
      <c r="P57" s="11"/>
      <c r="Q57" s="13"/>
      <c r="R57" s="83"/>
      <c r="S57" s="83"/>
      <c r="T57" s="83"/>
      <c r="U57" s="83"/>
      <c r="V57" s="12"/>
      <c r="W57" s="11"/>
      <c r="X57" s="83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83"/>
      <c r="C58" s="83"/>
      <c r="D58" s="83"/>
      <c r="E58" s="10"/>
      <c r="F58" s="10"/>
      <c r="G58" s="10"/>
      <c r="H58" s="83"/>
      <c r="I58" s="11"/>
      <c r="J58" s="83"/>
      <c r="K58" s="83"/>
      <c r="L58" s="12"/>
      <c r="M58" s="12"/>
      <c r="N58" s="12"/>
      <c r="O58" s="12"/>
      <c r="P58" s="11"/>
      <c r="Q58" s="13"/>
      <c r="R58" s="83"/>
      <c r="S58" s="83"/>
      <c r="T58" s="83"/>
      <c r="U58" s="83"/>
      <c r="V58" s="12"/>
      <c r="W58" s="11"/>
      <c r="X58" s="83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83"/>
      <c r="C59" s="83"/>
      <c r="D59" s="83"/>
      <c r="E59" s="4"/>
      <c r="F59" s="4"/>
      <c r="G59" s="4"/>
      <c r="H59" s="83"/>
      <c r="I59" s="5"/>
      <c r="J59" s="83"/>
      <c r="K59" s="83"/>
      <c r="L59" s="6"/>
      <c r="M59" s="6"/>
      <c r="N59" s="6"/>
      <c r="O59" s="6"/>
      <c r="P59" s="5"/>
      <c r="Q59" s="7"/>
      <c r="R59" s="83"/>
      <c r="S59" s="83"/>
      <c r="T59" s="83"/>
      <c r="U59" s="83"/>
      <c r="V59" s="6"/>
      <c r="W59" s="5"/>
      <c r="X59" s="83"/>
      <c r="Y59" s="6"/>
      <c r="Z59" s="5"/>
      <c r="AA59" s="8"/>
      <c r="AB59" s="5"/>
      <c r="AC59" s="5"/>
      <c r="AD59" s="9"/>
      <c r="AE59" s="5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83"/>
      <c r="C60" s="83"/>
      <c r="D60" s="83"/>
      <c r="E60" s="10"/>
      <c r="F60" s="10"/>
      <c r="G60" s="10"/>
      <c r="H60" s="83"/>
      <c r="I60" s="11"/>
      <c r="J60" s="83"/>
      <c r="K60" s="83"/>
      <c r="L60" s="12"/>
      <c r="M60" s="12"/>
      <c r="N60" s="12"/>
      <c r="O60" s="12"/>
      <c r="P60" s="11"/>
      <c r="Q60" s="13"/>
      <c r="R60" s="83"/>
      <c r="S60" s="83"/>
      <c r="T60" s="83"/>
      <c r="U60" s="83"/>
      <c r="V60" s="12"/>
      <c r="W60" s="11"/>
      <c r="X60" s="83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83"/>
      <c r="C61" s="83"/>
      <c r="D61" s="83"/>
      <c r="E61" s="10"/>
      <c r="F61" s="10"/>
      <c r="G61" s="10"/>
      <c r="H61" s="83"/>
      <c r="I61" s="11"/>
      <c r="J61" s="83"/>
      <c r="K61" s="83"/>
      <c r="L61" s="12"/>
      <c r="M61" s="12"/>
      <c r="N61" s="12"/>
      <c r="O61" s="12"/>
      <c r="P61" s="11"/>
      <c r="Q61" s="13"/>
      <c r="R61" s="83"/>
      <c r="S61" s="83"/>
      <c r="T61" s="83"/>
      <c r="U61" s="83"/>
      <c r="V61" s="12"/>
      <c r="W61" s="11"/>
      <c r="X61" s="83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83"/>
      <c r="C62" s="83"/>
      <c r="D62" s="83"/>
      <c r="E62" s="10"/>
      <c r="F62" s="10"/>
      <c r="G62" s="10"/>
      <c r="H62" s="83"/>
      <c r="I62" s="11"/>
      <c r="J62" s="83"/>
      <c r="K62" s="83"/>
      <c r="L62" s="12"/>
      <c r="M62" s="12"/>
      <c r="N62" s="12"/>
      <c r="O62" s="12"/>
      <c r="P62" s="11"/>
      <c r="Q62" s="13"/>
      <c r="R62" s="83"/>
      <c r="S62" s="83"/>
      <c r="T62" s="83"/>
      <c r="U62" s="83"/>
      <c r="V62" s="12"/>
      <c r="W62" s="11"/>
      <c r="X62" s="83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83"/>
      <c r="C63" s="83"/>
      <c r="D63" s="83"/>
      <c r="E63" s="10"/>
      <c r="F63" s="10"/>
      <c r="G63" s="10"/>
      <c r="H63" s="83"/>
      <c r="I63" s="11"/>
      <c r="J63" s="83"/>
      <c r="K63" s="83"/>
      <c r="L63" s="12"/>
      <c r="M63" s="12"/>
      <c r="N63" s="12"/>
      <c r="O63" s="12"/>
      <c r="P63" s="11"/>
      <c r="Q63" s="13"/>
      <c r="R63" s="83"/>
      <c r="S63" s="83"/>
      <c r="T63" s="83"/>
      <c r="U63" s="83"/>
      <c r="V63" s="12"/>
      <c r="W63" s="11"/>
      <c r="X63" s="83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83"/>
      <c r="C64" s="83"/>
      <c r="D64" s="83"/>
      <c r="E64" s="10"/>
      <c r="F64" s="10"/>
      <c r="G64" s="10"/>
      <c r="H64" s="83"/>
      <c r="I64" s="11"/>
      <c r="J64" s="83"/>
      <c r="K64" s="83"/>
      <c r="L64" s="12"/>
      <c r="M64" s="12"/>
      <c r="N64" s="12"/>
      <c r="O64" s="12"/>
      <c r="P64" s="11"/>
      <c r="Q64" s="13"/>
      <c r="R64" s="83"/>
      <c r="S64" s="83"/>
      <c r="T64" s="83"/>
      <c r="U64" s="83"/>
      <c r="V64" s="12"/>
      <c r="W64" s="11"/>
      <c r="X64" s="83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83"/>
      <c r="C65" s="83"/>
      <c r="D65" s="83"/>
      <c r="E65" s="4"/>
      <c r="F65" s="4"/>
      <c r="G65" s="4"/>
      <c r="H65" s="83"/>
      <c r="I65" s="5"/>
      <c r="J65" s="83"/>
      <c r="K65" s="83"/>
      <c r="L65" s="6"/>
      <c r="M65" s="6"/>
      <c r="N65" s="6"/>
      <c r="O65" s="6"/>
      <c r="P65" s="5"/>
      <c r="Q65" s="7"/>
      <c r="R65" s="83"/>
      <c r="S65" s="83"/>
      <c r="T65" s="83"/>
      <c r="U65" s="83"/>
      <c r="V65" s="6"/>
      <c r="W65" s="5"/>
      <c r="X65" s="83"/>
      <c r="Y65" s="6"/>
      <c r="Z65" s="5"/>
      <c r="AA65" s="8"/>
      <c r="AB65" s="5"/>
      <c r="AC65" s="5"/>
      <c r="AD65" s="9"/>
      <c r="AE65" s="5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83"/>
      <c r="C66" s="83"/>
      <c r="D66" s="83"/>
      <c r="E66" s="10"/>
      <c r="F66" s="10"/>
      <c r="G66" s="10"/>
      <c r="H66" s="83"/>
      <c r="I66" s="11"/>
      <c r="J66" s="83"/>
      <c r="K66" s="83"/>
      <c r="L66" s="12"/>
      <c r="M66" s="12"/>
      <c r="N66" s="12"/>
      <c r="O66" s="12"/>
      <c r="P66" s="11"/>
      <c r="Q66" s="13"/>
      <c r="R66" s="83"/>
      <c r="S66" s="83"/>
      <c r="T66" s="83"/>
      <c r="U66" s="83"/>
      <c r="V66" s="12"/>
      <c r="W66" s="11"/>
      <c r="X66" s="83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83"/>
      <c r="C67" s="83"/>
      <c r="D67" s="83"/>
      <c r="E67" s="10"/>
      <c r="F67" s="10"/>
      <c r="G67" s="10"/>
      <c r="H67" s="83"/>
      <c r="I67" s="11"/>
      <c r="J67" s="83"/>
      <c r="K67" s="83"/>
      <c r="L67" s="12"/>
      <c r="M67" s="12"/>
      <c r="N67" s="12"/>
      <c r="O67" s="12"/>
      <c r="P67" s="11"/>
      <c r="Q67" s="13"/>
      <c r="R67" s="83"/>
      <c r="S67" s="83"/>
      <c r="T67" s="83"/>
      <c r="U67" s="83"/>
      <c r="V67" s="12"/>
      <c r="W67" s="11"/>
      <c r="X67" s="83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83"/>
      <c r="C68" s="83"/>
      <c r="D68" s="83"/>
      <c r="E68" s="10"/>
      <c r="F68" s="10"/>
      <c r="G68" s="10"/>
      <c r="H68" s="83"/>
      <c r="I68" s="11"/>
      <c r="J68" s="83"/>
      <c r="K68" s="83"/>
      <c r="L68" s="12"/>
      <c r="M68" s="12"/>
      <c r="N68" s="12"/>
      <c r="O68" s="12"/>
      <c r="P68" s="11"/>
      <c r="Q68" s="13"/>
      <c r="R68" s="83"/>
      <c r="S68" s="83"/>
      <c r="T68" s="83"/>
      <c r="U68" s="83"/>
      <c r="V68" s="12"/>
      <c r="W68" s="11"/>
      <c r="X68" s="83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83"/>
      <c r="C69" s="83"/>
      <c r="D69" s="83"/>
      <c r="E69" s="10"/>
      <c r="F69" s="10"/>
      <c r="G69" s="10"/>
      <c r="H69" s="83"/>
      <c r="I69" s="11"/>
      <c r="J69" s="83"/>
      <c r="K69" s="83"/>
      <c r="L69" s="12"/>
      <c r="M69" s="12"/>
      <c r="N69" s="12"/>
      <c r="O69" s="12"/>
      <c r="P69" s="11"/>
      <c r="Q69" s="13"/>
      <c r="R69" s="83"/>
      <c r="S69" s="83"/>
      <c r="T69" s="83"/>
      <c r="U69" s="83"/>
      <c r="V69" s="12"/>
      <c r="W69" s="11"/>
      <c r="X69" s="83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83"/>
      <c r="C70" s="83"/>
      <c r="D70" s="83"/>
      <c r="E70" s="10"/>
      <c r="F70" s="10"/>
      <c r="G70" s="10"/>
      <c r="H70" s="83"/>
      <c r="I70" s="11"/>
      <c r="J70" s="83"/>
      <c r="K70" s="83"/>
      <c r="L70" s="12"/>
      <c r="M70" s="12"/>
      <c r="N70" s="12"/>
      <c r="O70" s="12"/>
      <c r="P70" s="11"/>
      <c r="Q70" s="13"/>
      <c r="R70" s="83"/>
      <c r="S70" s="83"/>
      <c r="T70" s="83"/>
      <c r="U70" s="83"/>
      <c r="V70" s="12"/>
      <c r="W70" s="11"/>
      <c r="X70" s="83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83"/>
      <c r="C71" s="83"/>
      <c r="D71" s="83"/>
      <c r="E71" s="10"/>
      <c r="F71" s="10"/>
      <c r="G71" s="10"/>
      <c r="H71" s="83"/>
      <c r="I71" s="11"/>
      <c r="J71" s="83"/>
      <c r="K71" s="83"/>
      <c r="L71" s="12"/>
      <c r="M71" s="12"/>
      <c r="N71" s="12"/>
      <c r="O71" s="12"/>
      <c r="P71" s="11"/>
      <c r="Q71" s="13"/>
      <c r="R71" s="83"/>
      <c r="S71" s="83"/>
      <c r="T71" s="83"/>
      <c r="U71" s="83"/>
      <c r="V71" s="12"/>
      <c r="W71" s="11"/>
      <c r="X71" s="83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83"/>
      <c r="C72" s="83"/>
      <c r="D72" s="83"/>
      <c r="E72" s="10"/>
      <c r="F72" s="10"/>
      <c r="G72" s="10"/>
      <c r="H72" s="83"/>
      <c r="I72" s="11"/>
      <c r="J72" s="83"/>
      <c r="K72" s="83"/>
      <c r="L72" s="12"/>
      <c r="M72" s="12"/>
      <c r="N72" s="12"/>
      <c r="O72" s="12"/>
      <c r="P72" s="11"/>
      <c r="Q72" s="13"/>
      <c r="R72" s="83"/>
      <c r="S72" s="83"/>
      <c r="T72" s="83"/>
      <c r="U72" s="83"/>
      <c r="V72" s="12"/>
      <c r="W72" s="11"/>
      <c r="X72" s="83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83"/>
      <c r="C73" s="83"/>
      <c r="D73" s="83"/>
      <c r="E73" s="10"/>
      <c r="F73" s="10"/>
      <c r="G73" s="10"/>
      <c r="H73" s="83"/>
      <c r="I73" s="11"/>
      <c r="J73" s="83"/>
      <c r="K73" s="83"/>
      <c r="L73" s="12"/>
      <c r="M73" s="12"/>
      <c r="N73" s="12"/>
      <c r="O73" s="12"/>
      <c r="P73" s="11"/>
      <c r="Q73" s="13"/>
      <c r="R73" s="83"/>
      <c r="S73" s="83"/>
      <c r="T73" s="83"/>
      <c r="U73" s="83"/>
      <c r="V73" s="12"/>
      <c r="W73" s="11"/>
      <c r="X73" s="83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83"/>
      <c r="C74" s="83"/>
      <c r="D74" s="83"/>
      <c r="E74" s="10"/>
      <c r="F74" s="10"/>
      <c r="G74" s="10"/>
      <c r="H74" s="83"/>
      <c r="I74" s="11"/>
      <c r="J74" s="83"/>
      <c r="K74" s="83"/>
      <c r="L74" s="12"/>
      <c r="M74" s="12"/>
      <c r="N74" s="12"/>
      <c r="O74" s="12"/>
      <c r="P74" s="11"/>
      <c r="Q74" s="13"/>
      <c r="R74" s="83"/>
      <c r="S74" s="83"/>
      <c r="T74" s="83"/>
      <c r="U74" s="83"/>
      <c r="V74" s="12"/>
      <c r="W74" s="11"/>
      <c r="X74" s="83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83"/>
      <c r="C75" s="83"/>
      <c r="D75" s="83"/>
      <c r="E75" s="10"/>
      <c r="F75" s="10"/>
      <c r="G75" s="10"/>
      <c r="H75" s="83"/>
      <c r="I75" s="11"/>
      <c r="J75" s="83"/>
      <c r="K75" s="83"/>
      <c r="L75" s="12"/>
      <c r="M75" s="12"/>
      <c r="N75" s="12"/>
      <c r="O75" s="12"/>
      <c r="P75" s="11"/>
      <c r="Q75" s="13"/>
      <c r="R75" s="83"/>
      <c r="S75" s="83"/>
      <c r="T75" s="83"/>
      <c r="U75" s="83"/>
      <c r="V75" s="12"/>
      <c r="W75" s="11"/>
      <c r="X75" s="83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83"/>
      <c r="C76" s="83"/>
      <c r="D76" s="83"/>
      <c r="E76" s="10"/>
      <c r="F76" s="10"/>
      <c r="G76" s="10"/>
      <c r="H76" s="83"/>
      <c r="I76" s="11"/>
      <c r="J76" s="83"/>
      <c r="K76" s="83"/>
      <c r="L76" s="12"/>
      <c r="M76" s="12"/>
      <c r="N76" s="12"/>
      <c r="O76" s="12"/>
      <c r="P76" s="11"/>
      <c r="Q76" s="13"/>
      <c r="R76" s="83"/>
      <c r="S76" s="83"/>
      <c r="T76" s="83"/>
      <c r="U76" s="83"/>
      <c r="V76" s="12"/>
      <c r="W76" s="11"/>
      <c r="X76" s="83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83"/>
      <c r="C77" s="83"/>
      <c r="D77" s="83"/>
      <c r="E77" s="10"/>
      <c r="F77" s="10"/>
      <c r="G77" s="10"/>
      <c r="H77" s="83"/>
      <c r="I77" s="11"/>
      <c r="J77" s="83"/>
      <c r="K77" s="83"/>
      <c r="L77" s="12"/>
      <c r="M77" s="12"/>
      <c r="N77" s="12"/>
      <c r="O77" s="12"/>
      <c r="P77" s="11"/>
      <c r="Q77" s="13"/>
      <c r="R77" s="83"/>
      <c r="S77" s="83"/>
      <c r="T77" s="83"/>
      <c r="U77" s="83"/>
      <c r="V77" s="12"/>
      <c r="W77" s="11"/>
      <c r="X77" s="83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83"/>
      <c r="C78" s="83"/>
      <c r="D78" s="83"/>
      <c r="E78" s="10"/>
      <c r="F78" s="10"/>
      <c r="G78" s="10"/>
      <c r="H78" s="83"/>
      <c r="I78" s="11"/>
      <c r="J78" s="83"/>
      <c r="K78" s="83"/>
      <c r="L78" s="12"/>
      <c r="M78" s="12"/>
      <c r="N78" s="12"/>
      <c r="O78" s="12"/>
      <c r="P78" s="11"/>
      <c r="Q78" s="13"/>
      <c r="R78" s="83"/>
      <c r="S78" s="83"/>
      <c r="T78" s="83"/>
      <c r="U78" s="83"/>
      <c r="V78" s="12"/>
      <c r="W78" s="11"/>
      <c r="X78" s="83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83"/>
      <c r="C79" s="83"/>
      <c r="D79" s="83"/>
      <c r="E79" s="10"/>
      <c r="F79" s="10"/>
      <c r="G79" s="10"/>
      <c r="H79" s="83"/>
      <c r="I79" s="11"/>
      <c r="J79" s="83"/>
      <c r="K79" s="83"/>
      <c r="L79" s="12"/>
      <c r="M79" s="12"/>
      <c r="N79" s="12"/>
      <c r="O79" s="12"/>
      <c r="P79" s="11"/>
      <c r="Q79" s="13"/>
      <c r="R79" s="83"/>
      <c r="S79" s="83"/>
      <c r="T79" s="83"/>
      <c r="U79" s="83"/>
      <c r="V79" s="12"/>
      <c r="W79" s="11"/>
      <c r="X79" s="83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83"/>
      <c r="C80" s="83"/>
      <c r="D80" s="83"/>
      <c r="E80" s="10"/>
      <c r="F80" s="10"/>
      <c r="G80" s="10"/>
      <c r="H80" s="83"/>
      <c r="I80" s="11"/>
      <c r="J80" s="83"/>
      <c r="K80" s="83"/>
      <c r="L80" s="12"/>
      <c r="M80" s="12"/>
      <c r="N80" s="12"/>
      <c r="O80" s="12"/>
      <c r="P80" s="11"/>
      <c r="Q80" s="13"/>
      <c r="R80" s="83"/>
      <c r="S80" s="83"/>
      <c r="T80" s="83"/>
      <c r="U80" s="83"/>
      <c r="V80" s="12"/>
      <c r="W80" s="11"/>
      <c r="X80" s="83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83"/>
      <c r="C81" s="83"/>
      <c r="D81" s="83"/>
      <c r="E81" s="10"/>
      <c r="F81" s="10"/>
      <c r="G81" s="10"/>
      <c r="H81" s="83"/>
      <c r="I81" s="11"/>
      <c r="J81" s="83"/>
      <c r="K81" s="83"/>
      <c r="L81" s="12"/>
      <c r="M81" s="12"/>
      <c r="N81" s="12"/>
      <c r="O81" s="12"/>
      <c r="P81" s="11"/>
      <c r="Q81" s="13"/>
      <c r="R81" s="83"/>
      <c r="S81" s="83"/>
      <c r="T81" s="83"/>
      <c r="U81" s="83"/>
      <c r="V81" s="12"/>
      <c r="W81" s="11"/>
      <c r="X81" s="83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83"/>
      <c r="C82" s="83"/>
      <c r="D82" s="83"/>
      <c r="E82" s="10"/>
      <c r="F82" s="10"/>
      <c r="G82" s="10"/>
      <c r="H82" s="83"/>
      <c r="I82" s="11"/>
      <c r="J82" s="83"/>
      <c r="K82" s="83"/>
      <c r="L82" s="12"/>
      <c r="M82" s="12"/>
      <c r="N82" s="12"/>
      <c r="O82" s="12"/>
      <c r="P82" s="11"/>
      <c r="Q82" s="13"/>
      <c r="R82" s="83"/>
      <c r="S82" s="83"/>
      <c r="T82" s="83"/>
      <c r="U82" s="83"/>
      <c r="V82" s="12"/>
      <c r="W82" s="11"/>
      <c r="X82" s="83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83"/>
      <c r="C83" s="83"/>
      <c r="D83" s="83"/>
      <c r="E83" s="10"/>
      <c r="F83" s="10"/>
      <c r="G83" s="10"/>
      <c r="H83" s="83"/>
      <c r="I83" s="11"/>
      <c r="J83" s="83"/>
      <c r="K83" s="83"/>
      <c r="L83" s="12"/>
      <c r="M83" s="12"/>
      <c r="N83" s="12"/>
      <c r="O83" s="12"/>
      <c r="P83" s="11"/>
      <c r="Q83" s="13"/>
      <c r="R83" s="83"/>
      <c r="S83" s="83"/>
      <c r="T83" s="83"/>
      <c r="U83" s="83"/>
      <c r="V83" s="12"/>
      <c r="W83" s="11"/>
      <c r="X83" s="83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83"/>
      <c r="C84" s="83"/>
      <c r="D84" s="83"/>
      <c r="E84" s="10"/>
      <c r="F84" s="10"/>
      <c r="G84" s="10"/>
      <c r="H84" s="83"/>
      <c r="I84" s="11"/>
      <c r="J84" s="83"/>
      <c r="K84" s="83"/>
      <c r="L84" s="12"/>
      <c r="M84" s="12"/>
      <c r="N84" s="12"/>
      <c r="O84" s="12"/>
      <c r="P84" s="11"/>
      <c r="Q84" s="13"/>
      <c r="R84" s="83"/>
      <c r="S84" s="83"/>
      <c r="T84" s="83"/>
      <c r="U84" s="83"/>
      <c r="V84" s="12"/>
      <c r="W84" s="11"/>
      <c r="X84" s="83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83"/>
      <c r="C85" s="83"/>
      <c r="D85" s="83"/>
      <c r="E85" s="10"/>
      <c r="F85" s="10"/>
      <c r="G85" s="10"/>
      <c r="H85" s="83"/>
      <c r="I85" s="11"/>
      <c r="J85" s="83"/>
      <c r="K85" s="83"/>
      <c r="L85" s="12"/>
      <c r="M85" s="12"/>
      <c r="N85" s="12"/>
      <c r="O85" s="12"/>
      <c r="P85" s="11"/>
      <c r="Q85" s="13"/>
      <c r="R85" s="83"/>
      <c r="S85" s="83"/>
      <c r="T85" s="83"/>
      <c r="U85" s="83"/>
      <c r="V85" s="12"/>
      <c r="W85" s="11"/>
      <c r="X85" s="83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83"/>
      <c r="C86" s="83"/>
      <c r="D86" s="83"/>
      <c r="E86" s="10"/>
      <c r="F86" s="10"/>
      <c r="G86" s="10"/>
      <c r="H86" s="83"/>
      <c r="I86" s="11"/>
      <c r="J86" s="83"/>
      <c r="K86" s="83"/>
      <c r="L86" s="12"/>
      <c r="M86" s="12"/>
      <c r="N86" s="12"/>
      <c r="O86" s="12"/>
      <c r="P86" s="11"/>
      <c r="Q86" s="13"/>
      <c r="R86" s="83"/>
      <c r="S86" s="83"/>
      <c r="T86" s="83"/>
      <c r="U86" s="83"/>
      <c r="V86" s="12"/>
      <c r="W86" s="11"/>
      <c r="X86" s="83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83"/>
      <c r="C87" s="83"/>
      <c r="D87" s="83"/>
      <c r="E87" s="10"/>
      <c r="F87" s="10"/>
      <c r="G87" s="10"/>
      <c r="H87" s="83"/>
      <c r="I87" s="11"/>
      <c r="J87" s="83"/>
      <c r="K87" s="83"/>
      <c r="L87" s="12"/>
      <c r="M87" s="12"/>
      <c r="N87" s="12"/>
      <c r="O87" s="12"/>
      <c r="P87" s="11"/>
      <c r="Q87" s="13"/>
      <c r="R87" s="83"/>
      <c r="S87" s="83"/>
      <c r="T87" s="83"/>
      <c r="U87" s="83"/>
      <c r="V87" s="12"/>
      <c r="W87" s="11"/>
      <c r="X87" s="83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83"/>
      <c r="C88" s="83"/>
      <c r="D88" s="83"/>
      <c r="E88" s="10"/>
      <c r="F88" s="10"/>
      <c r="G88" s="10"/>
      <c r="H88" s="83"/>
      <c r="I88" s="11"/>
      <c r="J88" s="83"/>
      <c r="K88" s="83"/>
      <c r="L88" s="12"/>
      <c r="M88" s="12"/>
      <c r="N88" s="12"/>
      <c r="O88" s="12"/>
      <c r="P88" s="11"/>
      <c r="Q88" s="13"/>
      <c r="R88" s="83"/>
      <c r="S88" s="83"/>
      <c r="T88" s="83"/>
      <c r="U88" s="83"/>
      <c r="V88" s="12"/>
      <c r="W88" s="11"/>
      <c r="X88" s="83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  <row r="89" spans="1:38" x14ac:dyDescent="0.25">
      <c r="A89" s="11"/>
      <c r="B89" s="83"/>
      <c r="C89" s="83"/>
      <c r="D89" s="83"/>
      <c r="E89" s="10"/>
      <c r="F89" s="10"/>
      <c r="G89" s="10"/>
      <c r="H89" s="83"/>
      <c r="I89" s="11"/>
      <c r="J89" s="83"/>
      <c r="K89" s="83"/>
      <c r="L89" s="12"/>
      <c r="M89" s="12"/>
      <c r="N89" s="12"/>
      <c r="O89" s="12"/>
      <c r="P89" s="11"/>
      <c r="Q89" s="13"/>
      <c r="R89" s="83"/>
      <c r="S89" s="83"/>
      <c r="T89" s="83"/>
      <c r="U89" s="83"/>
      <c r="V89" s="12"/>
      <c r="W89" s="11"/>
      <c r="X89" s="83"/>
      <c r="Y89" s="12"/>
      <c r="Z89" s="11"/>
      <c r="AA89" s="14"/>
      <c r="AB89" s="11"/>
      <c r="AC89" s="11"/>
      <c r="AD89" s="15"/>
      <c r="AE89" s="11"/>
      <c r="AF89" s="11"/>
      <c r="AG89" s="11"/>
      <c r="AH89" s="11"/>
      <c r="AI89" s="11"/>
      <c r="AJ89" s="11"/>
      <c r="AK89" s="11"/>
      <c r="AL89" s="11"/>
    </row>
    <row r="90" spans="1:38" x14ac:dyDescent="0.25">
      <c r="A90" s="11"/>
      <c r="B90" s="83"/>
      <c r="C90" s="83"/>
      <c r="D90" s="83"/>
      <c r="E90" s="10"/>
      <c r="F90" s="10"/>
      <c r="G90" s="10"/>
      <c r="H90" s="83"/>
      <c r="I90" s="11"/>
      <c r="J90" s="83"/>
      <c r="K90" s="83"/>
      <c r="L90" s="12"/>
      <c r="M90" s="12"/>
      <c r="N90" s="12"/>
      <c r="O90" s="12"/>
      <c r="P90" s="11"/>
      <c r="Q90" s="13"/>
      <c r="R90" s="83"/>
      <c r="S90" s="83"/>
      <c r="T90" s="83"/>
      <c r="U90" s="83"/>
      <c r="V90" s="12"/>
      <c r="W90" s="11"/>
      <c r="X90" s="83"/>
      <c r="Y90" s="12"/>
      <c r="Z90" s="11"/>
      <c r="AA90" s="14"/>
      <c r="AB90" s="11"/>
      <c r="AC90" s="11"/>
      <c r="AD90" s="15"/>
      <c r="AE90" s="11"/>
      <c r="AF90" s="11"/>
      <c r="AG90" s="11"/>
      <c r="AH90" s="11"/>
      <c r="AI90" s="11"/>
      <c r="AJ90" s="11"/>
      <c r="AK90" s="11"/>
      <c r="AL90" s="11"/>
    </row>
    <row r="91" spans="1:38" x14ac:dyDescent="0.25">
      <c r="A91" s="11"/>
      <c r="B91" s="83"/>
      <c r="C91" s="83"/>
      <c r="D91" s="83"/>
      <c r="E91" s="10"/>
      <c r="F91" s="10"/>
      <c r="G91" s="10"/>
      <c r="H91" s="83"/>
      <c r="I91" s="11"/>
      <c r="J91" s="83"/>
      <c r="K91" s="83"/>
      <c r="L91" s="12"/>
      <c r="M91" s="12"/>
      <c r="N91" s="12"/>
      <c r="O91" s="12"/>
      <c r="P91" s="11"/>
      <c r="Q91" s="13"/>
      <c r="R91" s="83"/>
      <c r="S91" s="83"/>
      <c r="T91" s="83"/>
      <c r="U91" s="83"/>
      <c r="V91" s="12"/>
      <c r="W91" s="11"/>
      <c r="X91" s="83"/>
      <c r="Y91" s="12"/>
      <c r="Z91" s="11"/>
      <c r="AA91" s="14"/>
      <c r="AB91" s="11"/>
      <c r="AC91" s="11"/>
      <c r="AD91" s="15"/>
      <c r="AE91" s="11"/>
      <c r="AF91" s="11"/>
      <c r="AG91" s="11"/>
      <c r="AH91" s="11"/>
      <c r="AI91" s="11"/>
      <c r="AJ91" s="11"/>
      <c r="AK91" s="11"/>
      <c r="AL91" s="11"/>
    </row>
    <row r="92" spans="1:38" x14ac:dyDescent="0.25">
      <c r="A92" s="11"/>
      <c r="B92" s="83"/>
      <c r="C92" s="83"/>
      <c r="D92" s="83"/>
      <c r="E92" s="10"/>
      <c r="F92" s="10"/>
      <c r="G92" s="10"/>
      <c r="H92" s="83"/>
      <c r="I92" s="11"/>
      <c r="J92" s="83"/>
      <c r="K92" s="83"/>
      <c r="L92" s="12"/>
      <c r="M92" s="12"/>
      <c r="N92" s="12"/>
      <c r="O92" s="12"/>
      <c r="P92" s="11"/>
      <c r="Q92" s="13"/>
      <c r="R92" s="83"/>
      <c r="S92" s="83"/>
      <c r="T92" s="83"/>
      <c r="U92" s="83"/>
      <c r="V92" s="12"/>
      <c r="W92" s="11"/>
      <c r="X92" s="83"/>
      <c r="Y92" s="12"/>
      <c r="Z92" s="11"/>
      <c r="AA92" s="14"/>
      <c r="AB92" s="11"/>
      <c r="AC92" s="11"/>
      <c r="AD92" s="15"/>
      <c r="AE92" s="11"/>
      <c r="AF92" s="11"/>
      <c r="AG92" s="11"/>
      <c r="AH92" s="11"/>
      <c r="AI92" s="11"/>
      <c r="AJ92" s="11"/>
      <c r="AK92" s="11"/>
      <c r="AL92" s="11"/>
    </row>
    <row r="93" spans="1:38" x14ac:dyDescent="0.25">
      <c r="A93" s="11"/>
      <c r="B93" s="83"/>
      <c r="C93" s="83"/>
      <c r="D93" s="83"/>
      <c r="E93" s="10"/>
      <c r="F93" s="10"/>
      <c r="G93" s="10"/>
      <c r="H93" s="83"/>
      <c r="I93" s="11"/>
      <c r="J93" s="83"/>
      <c r="K93" s="83"/>
      <c r="L93" s="12"/>
      <c r="M93" s="12"/>
      <c r="N93" s="12"/>
      <c r="O93" s="12"/>
      <c r="P93" s="11"/>
      <c r="Q93" s="13"/>
      <c r="R93" s="83"/>
      <c r="S93" s="83"/>
      <c r="T93" s="83"/>
      <c r="U93" s="83"/>
      <c r="V93" s="12"/>
      <c r="W93" s="11"/>
      <c r="X93" s="83"/>
      <c r="Y93" s="12"/>
      <c r="Z93" s="11"/>
      <c r="AA93" s="14"/>
      <c r="AB93" s="11"/>
      <c r="AC93" s="11"/>
      <c r="AD93" s="15"/>
      <c r="AE93" s="11"/>
      <c r="AF93" s="11"/>
      <c r="AG93" s="11"/>
      <c r="AH93" s="11"/>
      <c r="AI93" s="11"/>
      <c r="AJ93" s="11"/>
      <c r="AK93" s="11"/>
      <c r="AL93" s="11"/>
    </row>
    <row r="94" spans="1:38" x14ac:dyDescent="0.25">
      <c r="A94" s="11"/>
      <c r="B94" s="83"/>
      <c r="C94" s="83"/>
      <c r="D94" s="83"/>
      <c r="E94" s="10"/>
      <c r="F94" s="10"/>
      <c r="G94" s="10"/>
      <c r="H94" s="83"/>
      <c r="I94" s="11"/>
      <c r="J94" s="83"/>
      <c r="K94" s="83"/>
      <c r="L94" s="12"/>
      <c r="M94" s="12"/>
      <c r="N94" s="12"/>
      <c r="O94" s="12"/>
      <c r="P94" s="11"/>
      <c r="Q94" s="13"/>
      <c r="R94" s="83"/>
      <c r="S94" s="83"/>
      <c r="T94" s="83"/>
      <c r="U94" s="83"/>
      <c r="V94" s="12"/>
      <c r="W94" s="11"/>
      <c r="X94" s="83"/>
      <c r="Y94" s="12"/>
      <c r="Z94" s="11"/>
      <c r="AA94" s="14"/>
      <c r="AB94" s="11"/>
      <c r="AC94" s="11"/>
      <c r="AD94" s="15"/>
      <c r="AE94" s="11"/>
      <c r="AF94" s="11"/>
      <c r="AG94" s="11"/>
      <c r="AH94" s="11"/>
      <c r="AI94" s="11"/>
      <c r="AJ94" s="11"/>
      <c r="AK94" s="11"/>
      <c r="AL94" s="11"/>
    </row>
    <row r="95" spans="1:38" x14ac:dyDescent="0.25">
      <c r="A95" s="11"/>
      <c r="B95" s="83"/>
      <c r="C95" s="83"/>
      <c r="D95" s="83"/>
      <c r="E95" s="10"/>
      <c r="F95" s="10"/>
      <c r="G95" s="10"/>
      <c r="H95" s="83"/>
      <c r="I95" s="11"/>
      <c r="J95" s="83"/>
      <c r="K95" s="83"/>
      <c r="L95" s="12"/>
      <c r="M95" s="12"/>
      <c r="N95" s="12"/>
      <c r="O95" s="12"/>
      <c r="P95" s="11"/>
      <c r="Q95" s="13"/>
      <c r="R95" s="83"/>
      <c r="S95" s="83"/>
      <c r="T95" s="83"/>
      <c r="U95" s="83"/>
      <c r="V95" s="12"/>
      <c r="W95" s="11"/>
      <c r="X95" s="83"/>
      <c r="Y95" s="12"/>
      <c r="Z95" s="11"/>
      <c r="AA95" s="14"/>
      <c r="AB95" s="11"/>
      <c r="AC95" s="11"/>
      <c r="AD95" s="15"/>
      <c r="AE95" s="11"/>
      <c r="AF95" s="11"/>
      <c r="AG95" s="11"/>
      <c r="AH95" s="11"/>
      <c r="AI95" s="11"/>
      <c r="AJ95" s="11"/>
      <c r="AK95" s="11"/>
      <c r="AL95" s="11"/>
    </row>
    <row r="96" spans="1:38" x14ac:dyDescent="0.25">
      <c r="A96" s="11"/>
      <c r="B96" s="83"/>
      <c r="C96" s="83"/>
      <c r="D96" s="83"/>
      <c r="E96" s="10"/>
      <c r="F96" s="10"/>
      <c r="G96" s="10"/>
      <c r="H96" s="83"/>
      <c r="I96" s="11"/>
      <c r="J96" s="83"/>
      <c r="K96" s="83"/>
      <c r="L96" s="12"/>
      <c r="M96" s="12"/>
      <c r="N96" s="12"/>
      <c r="O96" s="12"/>
      <c r="P96" s="11"/>
      <c r="Q96" s="13"/>
      <c r="R96" s="83"/>
      <c r="S96" s="83"/>
      <c r="T96" s="83"/>
      <c r="U96" s="83"/>
      <c r="V96" s="12"/>
      <c r="W96" s="11"/>
      <c r="X96" s="83"/>
      <c r="Y96" s="12"/>
      <c r="Z96" s="11"/>
      <c r="AA96" s="14"/>
      <c r="AB96" s="11"/>
      <c r="AC96" s="11"/>
      <c r="AD96" s="15"/>
      <c r="AE96" s="11"/>
      <c r="AF96" s="11"/>
      <c r="AG96" s="11"/>
      <c r="AH96" s="11"/>
      <c r="AI96" s="11"/>
      <c r="AJ96" s="11"/>
      <c r="AK96" s="11"/>
      <c r="AL96" s="11"/>
    </row>
    <row r="97" spans="1:38" x14ac:dyDescent="0.25">
      <c r="A97" s="11"/>
      <c r="B97" s="83"/>
      <c r="C97" s="83"/>
      <c r="D97" s="83"/>
      <c r="E97" s="10"/>
      <c r="F97" s="10"/>
      <c r="G97" s="10"/>
      <c r="H97" s="83"/>
      <c r="I97" s="11"/>
      <c r="J97" s="83"/>
      <c r="K97" s="83"/>
      <c r="L97" s="12"/>
      <c r="M97" s="12"/>
      <c r="N97" s="12"/>
      <c r="O97" s="12"/>
      <c r="P97" s="11"/>
      <c r="Q97" s="13"/>
      <c r="R97" s="83"/>
      <c r="S97" s="83"/>
      <c r="T97" s="83"/>
      <c r="U97" s="83"/>
      <c r="V97" s="12"/>
      <c r="W97" s="11"/>
      <c r="X97" s="83"/>
      <c r="Y97" s="12"/>
      <c r="Z97" s="11"/>
      <c r="AA97" s="14"/>
      <c r="AB97" s="11"/>
      <c r="AC97" s="11"/>
      <c r="AD97" s="15"/>
      <c r="AE97" s="11"/>
      <c r="AF97" s="11"/>
      <c r="AG97" s="11"/>
      <c r="AH97" s="11"/>
      <c r="AI97" s="11"/>
      <c r="AJ97" s="11"/>
      <c r="AK97" s="11"/>
      <c r="AL97" s="11"/>
    </row>
    <row r="98" spans="1:38" x14ac:dyDescent="0.25">
      <c r="A98" s="11"/>
      <c r="B98" s="83"/>
      <c r="C98" s="83"/>
      <c r="D98" s="83"/>
      <c r="E98" s="10"/>
      <c r="F98" s="10"/>
      <c r="G98" s="10"/>
      <c r="H98" s="83"/>
      <c r="I98" s="11"/>
      <c r="J98" s="83"/>
      <c r="K98" s="83"/>
      <c r="L98" s="12"/>
      <c r="M98" s="12"/>
      <c r="N98" s="12"/>
      <c r="O98" s="12"/>
      <c r="P98" s="11"/>
      <c r="Q98" s="13"/>
      <c r="R98" s="83"/>
      <c r="S98" s="83"/>
      <c r="T98" s="83"/>
      <c r="U98" s="83"/>
      <c r="V98" s="12"/>
      <c r="W98" s="11"/>
      <c r="X98" s="83"/>
      <c r="Y98" s="12"/>
      <c r="Z98" s="11"/>
      <c r="AA98" s="14"/>
      <c r="AB98" s="11"/>
      <c r="AC98" s="11"/>
      <c r="AD98" s="15"/>
      <c r="AE98" s="11"/>
      <c r="AF98" s="11"/>
      <c r="AG98" s="11"/>
      <c r="AH98" s="11"/>
      <c r="AI98" s="11"/>
      <c r="AJ98" s="11"/>
      <c r="AK98" s="11"/>
      <c r="AL98" s="11"/>
    </row>
    <row r="99" spans="1:38" x14ac:dyDescent="0.25">
      <c r="A99" s="11"/>
      <c r="B99" s="83"/>
      <c r="C99" s="83"/>
      <c r="D99" s="83"/>
      <c r="E99" s="10"/>
      <c r="F99" s="10"/>
      <c r="G99" s="10"/>
      <c r="H99" s="83"/>
      <c r="I99" s="11"/>
      <c r="J99" s="83"/>
      <c r="K99" s="83"/>
      <c r="L99" s="12"/>
      <c r="M99" s="12"/>
      <c r="N99" s="12"/>
      <c r="O99" s="12"/>
      <c r="P99" s="11"/>
      <c r="Q99" s="13"/>
      <c r="R99" s="83"/>
      <c r="S99" s="83"/>
      <c r="T99" s="83"/>
      <c r="U99" s="83"/>
      <c r="V99" s="12"/>
      <c r="W99" s="11"/>
      <c r="X99" s="83"/>
      <c r="Y99" s="12"/>
      <c r="Z99" s="11"/>
      <c r="AA99" s="14"/>
      <c r="AB99" s="11"/>
      <c r="AC99" s="11"/>
      <c r="AD99" s="15"/>
      <c r="AE99" s="11"/>
      <c r="AF99" s="11"/>
      <c r="AG99" s="11"/>
      <c r="AH99" s="11"/>
      <c r="AI99" s="11"/>
      <c r="AJ99" s="11"/>
      <c r="AK99" s="11"/>
      <c r="AL99" s="11"/>
    </row>
    <row r="100" spans="1:38" x14ac:dyDescent="0.25">
      <c r="A100" s="11"/>
      <c r="B100" s="83"/>
      <c r="C100" s="83"/>
      <c r="D100" s="83"/>
      <c r="E100" s="10"/>
      <c r="F100" s="10"/>
      <c r="G100" s="10"/>
      <c r="H100" s="83"/>
      <c r="I100" s="11"/>
      <c r="J100" s="83"/>
      <c r="K100" s="83"/>
      <c r="L100" s="12"/>
      <c r="M100" s="12"/>
      <c r="N100" s="12"/>
      <c r="O100" s="12"/>
      <c r="P100" s="11"/>
      <c r="Q100" s="13"/>
      <c r="R100" s="83"/>
      <c r="S100" s="83"/>
      <c r="T100" s="83"/>
      <c r="U100" s="83"/>
      <c r="V100" s="12"/>
      <c r="W100" s="11"/>
      <c r="X100" s="83"/>
      <c r="Y100" s="12"/>
      <c r="Z100" s="11"/>
      <c r="AA100" s="14"/>
      <c r="AB100" s="11"/>
      <c r="AC100" s="11"/>
      <c r="AD100" s="15"/>
      <c r="AE100" s="11"/>
      <c r="AF100" s="11"/>
      <c r="AG100" s="11"/>
      <c r="AH100" s="11"/>
      <c r="AI100" s="11"/>
      <c r="AJ100" s="11"/>
      <c r="AK100" s="11"/>
      <c r="AL100" s="11"/>
    </row>
    <row r="101" spans="1:38" x14ac:dyDescent="0.25">
      <c r="A101" s="11"/>
      <c r="B101" s="83"/>
      <c r="C101" s="83"/>
      <c r="D101" s="83"/>
      <c r="E101" s="10"/>
      <c r="F101" s="10"/>
      <c r="G101" s="10"/>
      <c r="H101" s="83"/>
      <c r="I101" s="11"/>
      <c r="J101" s="83"/>
      <c r="K101" s="83"/>
      <c r="L101" s="12"/>
      <c r="M101" s="12"/>
      <c r="N101" s="12"/>
      <c r="O101" s="12"/>
      <c r="P101" s="11"/>
      <c r="Q101" s="13"/>
      <c r="R101" s="83"/>
      <c r="S101" s="83"/>
      <c r="T101" s="83"/>
      <c r="U101" s="83"/>
      <c r="V101" s="12"/>
      <c r="W101" s="11"/>
      <c r="X101" s="83"/>
      <c r="Y101" s="12"/>
      <c r="Z101" s="11"/>
      <c r="AA101" s="14"/>
      <c r="AB101" s="11"/>
      <c r="AC101" s="11"/>
      <c r="AD101" s="15"/>
      <c r="AE101" s="11"/>
      <c r="AF101" s="11"/>
      <c r="AG101" s="11"/>
      <c r="AH101" s="11"/>
      <c r="AI101" s="11"/>
      <c r="AJ101" s="11"/>
      <c r="AK101" s="11"/>
      <c r="AL101" s="1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B7AF-3B61-400F-A7C3-B958D7F7140F}">
  <dimension ref="A1:AL101"/>
  <sheetViews>
    <sheetView workbookViewId="0">
      <pane xSplit="2" ySplit="1" topLeftCell="S2" activePane="bottomRight" state="frozen"/>
      <selection activeCell="M49" sqref="M49"/>
      <selection pane="topRight" activeCell="M49" sqref="M49"/>
      <selection pane="bottomLeft" activeCell="M49" sqref="M49"/>
      <selection pane="bottomRight" activeCell="A4" sqref="A4"/>
    </sheetView>
  </sheetViews>
  <sheetFormatPr baseColWidth="10" defaultColWidth="1.375" defaultRowHeight="15" x14ac:dyDescent="0.25"/>
  <cols>
    <col min="1" max="1" width="11.125" style="82" customWidth="1"/>
    <col min="2" max="2" width="12.75" style="82" bestFit="1" customWidth="1"/>
    <col min="3" max="3" width="11.75" style="82" bestFit="1" customWidth="1"/>
    <col min="4" max="4" width="8.5" style="82" bestFit="1" customWidth="1"/>
    <col min="5" max="5" width="8.75" style="82" bestFit="1" customWidth="1"/>
    <col min="6" max="6" width="10.125" style="82" bestFit="1" customWidth="1"/>
    <col min="7" max="7" width="10.625" style="82" bestFit="1" customWidth="1"/>
    <col min="8" max="8" width="7.625" style="82" bestFit="1" customWidth="1"/>
    <col min="9" max="9" width="7.5" style="82" bestFit="1" customWidth="1"/>
    <col min="10" max="10" width="8.375" style="82" bestFit="1" customWidth="1"/>
    <col min="11" max="11" width="7.625" style="82" bestFit="1" customWidth="1"/>
    <col min="12" max="15" width="9.25" style="82" bestFit="1" customWidth="1"/>
    <col min="16" max="16" width="8.625" style="82" bestFit="1" customWidth="1"/>
    <col min="17" max="17" width="7.375" style="82" bestFit="1" customWidth="1"/>
    <col min="18" max="18" width="11" style="82" bestFit="1" customWidth="1"/>
    <col min="19" max="19" width="9.875" style="82" bestFit="1" customWidth="1"/>
    <col min="20" max="20" width="10" style="82" bestFit="1" customWidth="1"/>
    <col min="21" max="21" width="9.125" style="82" bestFit="1" customWidth="1"/>
    <col min="22" max="22" width="11" style="82" bestFit="1" customWidth="1"/>
    <col min="23" max="23" width="7.5" style="82" bestFit="1" customWidth="1"/>
    <col min="24" max="24" width="8.625" style="82" bestFit="1" customWidth="1"/>
    <col min="25" max="25" width="10.125" style="82" bestFit="1" customWidth="1"/>
    <col min="26" max="26" width="8.875" style="82" bestFit="1" customWidth="1"/>
    <col min="27" max="27" width="7.375" style="82" bestFit="1" customWidth="1"/>
    <col min="28" max="28" width="9.25" style="82" bestFit="1" customWidth="1"/>
    <col min="29" max="29" width="12.375" style="82" bestFit="1" customWidth="1"/>
    <col min="30" max="30" width="10.125" style="82" bestFit="1" customWidth="1"/>
    <col min="31" max="31" width="9.25" style="82" bestFit="1" customWidth="1"/>
    <col min="32" max="32" width="10.125" style="82" bestFit="1" customWidth="1"/>
    <col min="33" max="33" width="13.875" style="82" bestFit="1" customWidth="1"/>
    <col min="34" max="34" width="13" style="82" bestFit="1" customWidth="1"/>
    <col min="35" max="35" width="14" style="82" bestFit="1" customWidth="1"/>
    <col min="36" max="36" width="13.125" style="82" bestFit="1" customWidth="1"/>
    <col min="37" max="37" width="9.625" style="82" bestFit="1" customWidth="1"/>
    <col min="38" max="38" width="12.625" style="82" bestFit="1" customWidth="1"/>
    <col min="39" max="16384" width="1.375" style="82"/>
  </cols>
  <sheetData>
    <row r="1" spans="1:38" ht="83.25" customHeight="1" x14ac:dyDescent="0.25">
      <c r="A1" s="81" t="s">
        <v>28</v>
      </c>
      <c r="B1" s="80" t="s">
        <v>53</v>
      </c>
      <c r="C1" s="80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80" t="s">
        <v>6</v>
      </c>
      <c r="J1" s="80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80" t="s">
        <v>14</v>
      </c>
      <c r="R1" s="80" t="s">
        <v>15</v>
      </c>
      <c r="S1" s="80" t="s">
        <v>16</v>
      </c>
      <c r="T1" s="80" t="s">
        <v>17</v>
      </c>
      <c r="U1" s="2" t="s">
        <v>18</v>
      </c>
      <c r="V1" s="2" t="s">
        <v>19</v>
      </c>
      <c r="W1" s="80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81" t="s">
        <v>29</v>
      </c>
      <c r="AF1" s="81" t="s">
        <v>30</v>
      </c>
      <c r="AG1" s="81" t="s">
        <v>31</v>
      </c>
      <c r="AH1" s="81" t="s">
        <v>32</v>
      </c>
      <c r="AI1" s="81" t="s">
        <v>33</v>
      </c>
      <c r="AJ1" s="81" t="s">
        <v>34</v>
      </c>
      <c r="AK1" s="81" t="s">
        <v>35</v>
      </c>
      <c r="AL1" s="1"/>
    </row>
    <row r="2" spans="1:38" x14ac:dyDescent="0.25">
      <c r="A2" s="70" t="s">
        <v>49</v>
      </c>
      <c r="B2" s="72">
        <v>29</v>
      </c>
      <c r="C2" s="72">
        <v>30</v>
      </c>
      <c r="D2" s="72">
        <v>117430</v>
      </c>
      <c r="E2" s="73">
        <v>874300</v>
      </c>
      <c r="F2" s="73">
        <v>-756870</v>
      </c>
      <c r="G2" s="73">
        <v>1581</v>
      </c>
      <c r="H2" s="72">
        <v>34.092346616065782</v>
      </c>
      <c r="I2" s="71">
        <v>539</v>
      </c>
      <c r="J2" s="72">
        <v>1035</v>
      </c>
      <c r="K2" s="72">
        <v>8220</v>
      </c>
      <c r="L2" s="74">
        <v>-6540</v>
      </c>
      <c r="M2" s="74">
        <v>1622.077880859375</v>
      </c>
      <c r="N2" s="74">
        <v>-731.275390625</v>
      </c>
      <c r="O2" s="74">
        <v>2.2181491427915159</v>
      </c>
      <c r="P2" s="71">
        <v>74.275774826059461</v>
      </c>
      <c r="Q2" s="75">
        <v>9</v>
      </c>
      <c r="R2" s="72">
        <v>12</v>
      </c>
      <c r="S2" s="72">
        <v>68</v>
      </c>
      <c r="T2" s="72">
        <v>24</v>
      </c>
      <c r="U2" s="72">
        <v>-30785</v>
      </c>
      <c r="V2" s="74">
        <v>1.1551521397333759</v>
      </c>
      <c r="W2" s="71">
        <v>1</v>
      </c>
      <c r="X2" s="72">
        <v>30785</v>
      </c>
      <c r="Y2" s="74">
        <v>381.45200584700342</v>
      </c>
      <c r="Z2" s="71">
        <v>2056.0263115153484</v>
      </c>
      <c r="AA2" s="95">
        <v>0.17848051197364601</v>
      </c>
      <c r="AB2" s="71">
        <v>1.0329739686933219</v>
      </c>
      <c r="AC2" s="71">
        <v>114236.80341420657</v>
      </c>
      <c r="AD2" s="96">
        <v>176.30108938796738</v>
      </c>
      <c r="AE2" s="11">
        <f>(Opti_Salidas__30_OOS[[#This Row],[All: TS Index]]-Z$47) /ABS(Z$47)</f>
        <v>-2.2585006593428672E-4</v>
      </c>
      <c r="AF2" s="11">
        <f>(Opti_Salidas__30_OOS[[#This Row],[All: Expectancy Score]]-AA$47) /ABS(AA$47)</f>
        <v>-0.74937555530352851</v>
      </c>
      <c r="AG2" s="11"/>
      <c r="AH2" s="11">
        <f>(Opti_Salidas__30_OOS[[#This Row],[All: Perfect Profit Correlation]]-AC$47) /ABS(AC$47)</f>
        <v>-5.8399901357608936E-3</v>
      </c>
      <c r="AI2" s="11">
        <f>(Opti_Salidas__30_OOS[[#This Row],[All: Robustness Index]]-AD$47) /ABS(AD$47)</f>
        <v>-0.60140910868595165</v>
      </c>
      <c r="AJ2" s="11">
        <f>SUM(Opti_Salidas__30_OOS[[#This Row],[VAR TS Index]:[VAR Robustness Index]])</f>
        <v>-1.3568505041911754</v>
      </c>
      <c r="AK2" s="11">
        <f>Opti_Salidas__30_OOS[[#This Row],[SUMA]]-Opti_Salidas__30_OOS[[#This Row],[VAR Robustness Index]]</f>
        <v>-0.75544139550522371</v>
      </c>
      <c r="AL2" s="11"/>
    </row>
    <row r="3" spans="1:38" x14ac:dyDescent="0.25">
      <c r="A3" s="70" t="s">
        <v>50</v>
      </c>
      <c r="B3" s="21">
        <v>4</v>
      </c>
      <c r="C3" s="21">
        <v>5</v>
      </c>
      <c r="D3" s="21">
        <v>118230</v>
      </c>
      <c r="E3" s="22">
        <v>873930</v>
      </c>
      <c r="F3" s="22">
        <v>-755700</v>
      </c>
      <c r="G3" s="22">
        <v>1581</v>
      </c>
      <c r="H3" s="21">
        <v>34.092346616065782</v>
      </c>
      <c r="I3" s="23">
        <v>539</v>
      </c>
      <c r="J3" s="21">
        <v>1035</v>
      </c>
      <c r="K3" s="21">
        <v>7470</v>
      </c>
      <c r="L3" s="24">
        <v>-5640</v>
      </c>
      <c r="M3" s="24">
        <v>1621.3914794921875</v>
      </c>
      <c r="N3" s="24">
        <v>-730.1448974609375</v>
      </c>
      <c r="O3" s="24">
        <v>2.2206434436925329</v>
      </c>
      <c r="P3" s="23">
        <v>74.781783681214421</v>
      </c>
      <c r="Q3" s="25">
        <v>9</v>
      </c>
      <c r="R3" s="21">
        <v>12</v>
      </c>
      <c r="S3" s="21">
        <v>68</v>
      </c>
      <c r="T3" s="21">
        <v>24</v>
      </c>
      <c r="U3" s="21">
        <v>-32775</v>
      </c>
      <c r="V3" s="24">
        <v>1.156450972608178</v>
      </c>
      <c r="W3" s="23">
        <v>1</v>
      </c>
      <c r="X3" s="21">
        <v>32775</v>
      </c>
      <c r="Y3" s="24">
        <v>360.73226544622423</v>
      </c>
      <c r="Z3" s="23">
        <v>1944.3469107551487</v>
      </c>
      <c r="AA3" s="92">
        <v>0.18129390135579601</v>
      </c>
      <c r="AB3" s="23">
        <v>1.0407696621002429</v>
      </c>
      <c r="AC3" s="23">
        <v>114907.8642077009</v>
      </c>
      <c r="AD3" s="86">
        <v>193.10782991463859</v>
      </c>
      <c r="AE3" s="5">
        <f>(Opti_Salidas__30_OOS[[#This Row],[All: TS Index]]-Z$47) /ABS(Z$47)</f>
        <v>-5.453166188109649E-2</v>
      </c>
      <c r="AF3" s="11">
        <f>(Opti_Salidas__30_OOS[[#This Row],[All: Expectancy Score]]-AA$47) /ABS(AA$47)</f>
        <v>-0.74542496067659014</v>
      </c>
      <c r="AG3" s="11"/>
      <c r="AH3" s="11">
        <f>(Opti_Salidas__30_OOS[[#This Row],[All: Perfect Profit Correlation]]-AC$47) /ABS(AC$47)</f>
        <v>0</v>
      </c>
      <c r="AI3" s="11">
        <f>(Opti_Salidas__30_OOS[[#This Row],[All: Robustness Index]]-AD$47) /ABS(AD$47)</f>
        <v>-0.56341153470688232</v>
      </c>
      <c r="AJ3" s="11">
        <f>SUM(Opti_Salidas__30_OOS[[#This Row],[VAR TS Index]:[VAR Robustness Index]])</f>
        <v>-1.3633681572645688</v>
      </c>
      <c r="AK3" s="11">
        <f>Opti_Salidas__30_OOS[[#This Row],[SUMA]]-Opti_Salidas__30_OOS[[#This Row],[VAR Robustness Index]]</f>
        <v>-0.79995662255768651</v>
      </c>
      <c r="AL3" s="11"/>
    </row>
    <row r="4" spans="1:38" x14ac:dyDescent="0.25">
      <c r="A4" s="70" t="s">
        <v>51</v>
      </c>
      <c r="B4" s="72">
        <v>15</v>
      </c>
      <c r="C4" s="72">
        <v>16</v>
      </c>
      <c r="D4" s="72">
        <v>106860</v>
      </c>
      <c r="E4" s="73">
        <v>863550</v>
      </c>
      <c r="F4" s="73">
        <v>-756690</v>
      </c>
      <c r="G4" s="73">
        <v>1581</v>
      </c>
      <c r="H4" s="72">
        <v>34.029095509171412</v>
      </c>
      <c r="I4" s="71">
        <v>538</v>
      </c>
      <c r="J4" s="72">
        <v>1036</v>
      </c>
      <c r="K4" s="72">
        <v>7970</v>
      </c>
      <c r="L4" s="74">
        <v>-4030</v>
      </c>
      <c r="M4" s="74">
        <v>1605.111572265625</v>
      </c>
      <c r="N4" s="74">
        <v>-730.395751953125</v>
      </c>
      <c r="O4" s="74">
        <v>2.1975916042411989</v>
      </c>
      <c r="P4" s="71">
        <v>67.590132827324481</v>
      </c>
      <c r="Q4" s="75">
        <v>9</v>
      </c>
      <c r="R4" s="72">
        <v>12</v>
      </c>
      <c r="S4" s="72">
        <v>69</v>
      </c>
      <c r="T4" s="72">
        <v>24</v>
      </c>
      <c r="U4" s="72">
        <v>-32275</v>
      </c>
      <c r="V4" s="74">
        <v>1.141220314792055</v>
      </c>
      <c r="W4" s="71">
        <v>1</v>
      </c>
      <c r="X4" s="72">
        <v>32275</v>
      </c>
      <c r="Y4" s="74">
        <v>331.0921766072812</v>
      </c>
      <c r="Z4" s="71">
        <v>1781.2759101471727</v>
      </c>
      <c r="AA4" s="95">
        <v>0.16194129531333101</v>
      </c>
      <c r="AB4" s="71">
        <v>0.93138930277865295</v>
      </c>
      <c r="AC4" s="71">
        <v>103261.71609525908</v>
      </c>
      <c r="AD4" s="96">
        <v>179.73291715544491</v>
      </c>
      <c r="AE4" s="11">
        <f>(Opti_Salidas__30_OOS[[#This Row],[All: TS Index]]-Z$47) /ABS(Z$47)</f>
        <v>-0.1338274228830926</v>
      </c>
      <c r="AF4" s="11">
        <f>(Opti_Salidas__30_OOS[[#This Row],[All: Expectancy Score]]-AA$47) /ABS(AA$47)</f>
        <v>-0.77260011884477464</v>
      </c>
      <c r="AG4" s="11"/>
      <c r="AH4" s="11">
        <f>(Opti_Salidas__30_OOS[[#This Row],[All: Perfect Profit Correlation]]-AC$47) /ABS(AC$47)</f>
        <v>-0.10135205447201515</v>
      </c>
      <c r="AI4" s="11">
        <f>(Opti_Salidas__30_OOS[[#This Row],[All: Robustness Index]]-AD$47) /ABS(AD$47)</f>
        <v>-0.59365024971676528</v>
      </c>
      <c r="AJ4" s="11">
        <f>SUM(Opti_Salidas__30_OOS[[#This Row],[VAR TS Index]:[VAR Robustness Index]])</f>
        <v>-1.6014298459166476</v>
      </c>
      <c r="AK4" s="11">
        <f>Opti_Salidas__30_OOS[[#This Row],[SUMA]]-Opti_Salidas__30_OOS[[#This Row],[VAR Robustness Index]]</f>
        <v>-1.0077795961998823</v>
      </c>
      <c r="AL4" s="11"/>
    </row>
    <row r="5" spans="1:38" x14ac:dyDescent="0.25">
      <c r="A5" s="71" t="s">
        <v>48</v>
      </c>
      <c r="B5" s="72">
        <v>14</v>
      </c>
      <c r="C5" s="72">
        <v>15</v>
      </c>
      <c r="D5" s="72">
        <v>105260</v>
      </c>
      <c r="E5" s="73">
        <v>854550</v>
      </c>
      <c r="F5" s="73">
        <v>-749290</v>
      </c>
      <c r="G5" s="73">
        <v>1581</v>
      </c>
      <c r="H5" s="72">
        <v>33.902593295382673</v>
      </c>
      <c r="I5" s="71">
        <v>536</v>
      </c>
      <c r="J5" s="72">
        <v>1038</v>
      </c>
      <c r="K5" s="72">
        <v>16750</v>
      </c>
      <c r="L5" s="74">
        <v>-3860</v>
      </c>
      <c r="M5" s="74">
        <v>1594.3096923828125</v>
      </c>
      <c r="N5" s="74">
        <v>-721.859375</v>
      </c>
      <c r="O5" s="74">
        <v>2.2086153447585439</v>
      </c>
      <c r="P5" s="71">
        <v>66.578115117014548</v>
      </c>
      <c r="Q5" s="75">
        <v>9</v>
      </c>
      <c r="R5" s="72">
        <v>12</v>
      </c>
      <c r="S5" s="72">
        <v>69</v>
      </c>
      <c r="T5" s="72">
        <v>24</v>
      </c>
      <c r="U5" s="72">
        <v>-31155</v>
      </c>
      <c r="V5" s="74">
        <v>1.1404796540725219</v>
      </c>
      <c r="W5" s="71">
        <v>1</v>
      </c>
      <c r="X5" s="72">
        <v>31155</v>
      </c>
      <c r="Y5" s="74">
        <v>337.85909163858128</v>
      </c>
      <c r="Z5" s="71">
        <v>1810.9247311827958</v>
      </c>
      <c r="AA5" s="95">
        <v>0.121381913086498</v>
      </c>
      <c r="AB5" s="71">
        <v>0.91605931552268705</v>
      </c>
      <c r="AC5" s="71">
        <v>102137.48510020255</v>
      </c>
      <c r="AD5" s="96">
        <v>175.39819366650082</v>
      </c>
      <c r="AE5" s="11">
        <f>(Opti_Salidas__30_OOS[[#This Row],[All: TS Index]]-Z$47) /ABS(Z$47)</f>
        <v>-0.11941023148752616</v>
      </c>
      <c r="AF5" s="11">
        <f>(Opti_Salidas__30_OOS[[#This Row],[All: Expectancy Score]]-AA$47) /ABS(AA$47)</f>
        <v>-0.82955408281218479</v>
      </c>
      <c r="AG5" s="11"/>
      <c r="AH5" s="11">
        <f>(Opti_Salidas__30_OOS[[#This Row],[All: Perfect Profit Correlation]]-AC$47) /ABS(AC$47)</f>
        <v>-0.11113581472905402</v>
      </c>
      <c r="AI5" s="11">
        <f>(Opti_Salidas__30_OOS[[#This Row],[All: Robustness Index]]-AD$47) /ABS(AD$47)</f>
        <v>-0.60345042341425181</v>
      </c>
      <c r="AJ5" s="11">
        <f>SUM(Opti_Salidas__30_OOS[[#This Row],[VAR TS Index]:[VAR Robustness Index]])</f>
        <v>-1.663550552443017</v>
      </c>
      <c r="AK5" s="11">
        <f>Opti_Salidas__30_OOS[[#This Row],[SUMA]]-Opti_Salidas__30_OOS[[#This Row],[VAR Robustness Index]]</f>
        <v>-1.0601001290287653</v>
      </c>
      <c r="AL5" s="11"/>
    </row>
    <row r="6" spans="1:38" x14ac:dyDescent="0.25">
      <c r="A6" s="70" t="s">
        <v>52</v>
      </c>
      <c r="B6" s="72">
        <v>6</v>
      </c>
      <c r="C6" s="72">
        <v>7</v>
      </c>
      <c r="D6" s="72">
        <v>106230</v>
      </c>
      <c r="E6" s="73">
        <v>861930</v>
      </c>
      <c r="F6" s="73">
        <v>-755700</v>
      </c>
      <c r="G6" s="73">
        <v>1581</v>
      </c>
      <c r="H6" s="72">
        <v>34.092346616065782</v>
      </c>
      <c r="I6" s="71">
        <v>539</v>
      </c>
      <c r="J6" s="72">
        <v>1035</v>
      </c>
      <c r="K6" s="72">
        <v>10290</v>
      </c>
      <c r="L6" s="74">
        <v>-5640</v>
      </c>
      <c r="M6" s="74">
        <v>1599.1280517578125</v>
      </c>
      <c r="N6" s="74">
        <v>-730.1448974609375</v>
      </c>
      <c r="O6" s="74">
        <v>2.1901516497872469</v>
      </c>
      <c r="P6" s="71">
        <v>67.191650853889939</v>
      </c>
      <c r="Q6" s="75">
        <v>9</v>
      </c>
      <c r="R6" s="72">
        <v>12</v>
      </c>
      <c r="S6" s="72">
        <v>60</v>
      </c>
      <c r="T6" s="72">
        <v>24</v>
      </c>
      <c r="U6" s="72">
        <v>-32115</v>
      </c>
      <c r="V6" s="74">
        <v>1.140571655418817</v>
      </c>
      <c r="W6" s="71">
        <v>1</v>
      </c>
      <c r="X6" s="72">
        <v>32115</v>
      </c>
      <c r="Y6" s="74">
        <v>330.78000934142926</v>
      </c>
      <c r="Z6" s="71">
        <v>1782.9042503503035</v>
      </c>
      <c r="AA6" s="95">
        <v>0.16319169270203701</v>
      </c>
      <c r="AB6" s="71">
        <v>0.92593842800728998</v>
      </c>
      <c r="AC6" s="71">
        <v>102620.44172448036</v>
      </c>
      <c r="AD6" s="96">
        <v>117.99564691624012</v>
      </c>
      <c r="AE6" s="11">
        <f>(Opti_Salidas__30_OOS[[#This Row],[All: TS Index]]-Z$47) /ABS(Z$47)</f>
        <v>-0.13303561762589786</v>
      </c>
      <c r="AF6" s="11">
        <f>(Opti_Salidas__30_OOS[[#This Row],[All: Expectancy Score]]-AA$47) /ABS(AA$47)</f>
        <v>-0.7708442960508517</v>
      </c>
      <c r="AG6" s="11"/>
      <c r="AH6" s="11">
        <f>(Opti_Salidas__30_OOS[[#This Row],[All: Perfect Profit Correlation]]-AC$47) /ABS(AC$47)</f>
        <v>-0.10693282455420539</v>
      </c>
      <c r="AI6" s="11">
        <f>(Opti_Salidas__30_OOS[[#This Row],[All: Robustness Index]]-AD$47) /ABS(AD$47)</f>
        <v>-0.73322915792072341</v>
      </c>
      <c r="AJ6" s="11">
        <f>SUM(Opti_Salidas__30_OOS[[#This Row],[VAR TS Index]:[VAR Robustness Index]])</f>
        <v>-1.7440418961516784</v>
      </c>
      <c r="AK6" s="11">
        <f>Opti_Salidas__30_OOS[[#This Row],[SUMA]]-Opti_Salidas__30_OOS[[#This Row],[VAR Robustness Index]]</f>
        <v>-1.0108127382309551</v>
      </c>
      <c r="AL6" s="11"/>
    </row>
    <row r="7" spans="1:38" x14ac:dyDescent="0.25">
      <c r="A7" s="70" t="s">
        <v>56</v>
      </c>
      <c r="B7" s="76">
        <v>17</v>
      </c>
      <c r="C7" s="76">
        <v>18</v>
      </c>
      <c r="D7" s="76">
        <v>104470</v>
      </c>
      <c r="E7" s="77">
        <v>862870</v>
      </c>
      <c r="F7" s="77">
        <v>-758400</v>
      </c>
      <c r="G7" s="77">
        <v>1581</v>
      </c>
      <c r="H7" s="76">
        <v>33.712839974699556</v>
      </c>
      <c r="I7" s="70">
        <v>533</v>
      </c>
      <c r="J7" s="76">
        <v>1041</v>
      </c>
      <c r="K7" s="76">
        <v>11140</v>
      </c>
      <c r="L7" s="78">
        <v>-5290</v>
      </c>
      <c r="M7" s="78">
        <v>1618.89306640625</v>
      </c>
      <c r="N7" s="78">
        <v>-728.5302734375</v>
      </c>
      <c r="O7" s="78">
        <v>2.2221356138951629</v>
      </c>
      <c r="P7" s="70">
        <v>66.078431372549019</v>
      </c>
      <c r="Q7" s="79">
        <v>9</v>
      </c>
      <c r="R7" s="76">
        <v>12</v>
      </c>
      <c r="S7" s="76">
        <v>61</v>
      </c>
      <c r="T7" s="76">
        <v>23</v>
      </c>
      <c r="U7" s="76">
        <v>-32025</v>
      </c>
      <c r="V7" s="78">
        <v>1.1377505274261599</v>
      </c>
      <c r="W7" s="70">
        <v>1</v>
      </c>
      <c r="X7" s="76">
        <v>32025</v>
      </c>
      <c r="Y7" s="78">
        <v>326.21389539422324</v>
      </c>
      <c r="Z7" s="70">
        <v>1738.72006245121</v>
      </c>
      <c r="AA7" s="97">
        <v>0.16008617975195699</v>
      </c>
      <c r="AB7" s="70">
        <v>0.90600639045646802</v>
      </c>
      <c r="AC7" s="70">
        <v>100827.99065473948</v>
      </c>
      <c r="AD7" s="98">
        <v>111.51268598378006</v>
      </c>
      <c r="AE7" s="11">
        <f>(Opti_Salidas__30_OOS[[#This Row],[All: TS Index]]-Z$47) /ABS(Z$47)</f>
        <v>-0.15452085283418937</v>
      </c>
      <c r="AF7" s="11">
        <f>(Opti_Salidas__30_OOS[[#This Row],[All: Expectancy Score]]-AA$47) /ABS(AA$47)</f>
        <v>-0.77520509404501281</v>
      </c>
      <c r="AG7" s="11"/>
      <c r="AH7" s="11">
        <f>(Opti_Salidas__30_OOS[[#This Row],[All: Perfect Profit Correlation]]-AC$47) /ABS(AC$47)</f>
        <v>-0.12253185323775094</v>
      </c>
      <c r="AI7" s="11">
        <f>(Opti_Salidas__30_OOS[[#This Row],[All: Robustness Index]]-AD$47) /ABS(AD$47)</f>
        <v>-0.74788618122893991</v>
      </c>
      <c r="AJ7" s="11">
        <f>SUM(Opti_Salidas__30_OOS[[#This Row],[VAR TS Index]:[VAR Robustness Index]])</f>
        <v>-1.800143981345893</v>
      </c>
      <c r="AK7" s="11">
        <f>Opti_Salidas__30_OOS[[#This Row],[SUMA]]-Opti_Salidas__30_OOS[[#This Row],[VAR Robustness Index]]</f>
        <v>-1.0522578001169531</v>
      </c>
      <c r="AL7" s="11"/>
    </row>
    <row r="8" spans="1:38" x14ac:dyDescent="0.25">
      <c r="A8" s="11"/>
      <c r="B8" s="26">
        <v>19</v>
      </c>
      <c r="C8" s="26">
        <v>20</v>
      </c>
      <c r="D8" s="26">
        <v>99900</v>
      </c>
      <c r="E8" s="27">
        <v>835700</v>
      </c>
      <c r="F8" s="27">
        <v>-735800</v>
      </c>
      <c r="G8" s="27">
        <v>1580</v>
      </c>
      <c r="H8" s="26">
        <v>34.936708860759495</v>
      </c>
      <c r="I8" s="28">
        <v>552</v>
      </c>
      <c r="J8" s="26">
        <v>1024</v>
      </c>
      <c r="K8" s="26">
        <v>16960</v>
      </c>
      <c r="L8" s="29">
        <v>-5640</v>
      </c>
      <c r="M8" s="29">
        <v>1513.94921875</v>
      </c>
      <c r="N8" s="29">
        <v>-718.5546875</v>
      </c>
      <c r="O8" s="29">
        <v>2.1069366675727101</v>
      </c>
      <c r="P8" s="28">
        <v>63.22784810126582</v>
      </c>
      <c r="Q8" s="30">
        <v>6</v>
      </c>
      <c r="R8" s="26">
        <v>12</v>
      </c>
      <c r="S8" s="26">
        <v>54</v>
      </c>
      <c r="T8" s="26">
        <v>23</v>
      </c>
      <c r="U8" s="26">
        <v>-26815</v>
      </c>
      <c r="V8" s="29">
        <v>1.1357705898341941</v>
      </c>
      <c r="W8" s="28">
        <v>1</v>
      </c>
      <c r="X8" s="26">
        <v>26815</v>
      </c>
      <c r="Y8" s="29">
        <v>372.55267574118966</v>
      </c>
      <c r="Z8" s="28">
        <v>2056.4907700913668</v>
      </c>
      <c r="AA8" s="90">
        <v>1.3679650669551E-2</v>
      </c>
      <c r="AB8" s="28">
        <v>0.87323995862245696</v>
      </c>
      <c r="AC8" s="28">
        <v>97028.300535259928</v>
      </c>
      <c r="AD8" s="87">
        <v>134.91332884191837</v>
      </c>
      <c r="AE8" s="11">
        <f>(Opti_Salidas__30_OOS[[#This Row],[All: TS Index]]-Z$47) /ABS(Z$47)</f>
        <v>0</v>
      </c>
      <c r="AF8" s="11">
        <f>(Opti_Salidas__30_OOS[[#This Row],[All: Expectancy Score]]-AA$47) /ABS(AA$47)</f>
        <v>-0.9807908728253526</v>
      </c>
      <c r="AG8" s="11"/>
      <c r="AH8" s="11">
        <f>(Opti_Salidas__30_OOS[[#This Row],[All: Perfect Profit Correlation]]-AC$47) /ABS(AC$47)</f>
        <v>-0.15559912975253715</v>
      </c>
      <c r="AI8" s="11">
        <f>(Opti_Salidas__30_OOS[[#This Row],[All: Robustness Index]]-AD$47) /ABS(AD$47)</f>
        <v>-0.69498076171890222</v>
      </c>
      <c r="AJ8" s="11">
        <f>SUM(Opti_Salidas__30_OOS[[#This Row],[VAR TS Index]:[VAR Robustness Index]])</f>
        <v>-1.8313707642967918</v>
      </c>
      <c r="AK8" s="11">
        <f>Opti_Salidas__30_OOS[[#This Row],[SUMA]]-Opti_Salidas__30_OOS[[#This Row],[VAR Robustness Index]]</f>
        <v>-1.1363900025778895</v>
      </c>
      <c r="AL8" s="11"/>
    </row>
    <row r="9" spans="1:38" x14ac:dyDescent="0.25">
      <c r="A9" s="11"/>
      <c r="B9" s="83">
        <v>30</v>
      </c>
      <c r="C9" s="83">
        <v>31</v>
      </c>
      <c r="D9" s="83">
        <v>100870</v>
      </c>
      <c r="E9" s="10">
        <v>851110</v>
      </c>
      <c r="F9" s="10">
        <v>-750240</v>
      </c>
      <c r="G9" s="10">
        <v>1581</v>
      </c>
      <c r="H9" s="83">
        <v>33.649588867805186</v>
      </c>
      <c r="I9" s="11">
        <v>532</v>
      </c>
      <c r="J9" s="83">
        <v>1042</v>
      </c>
      <c r="K9" s="83">
        <v>7970</v>
      </c>
      <c r="L9" s="12">
        <v>-4030</v>
      </c>
      <c r="M9" s="12">
        <v>1599.830810546875</v>
      </c>
      <c r="N9" s="12">
        <v>-720</v>
      </c>
      <c r="O9" s="12">
        <v>2.2219872368706599</v>
      </c>
      <c r="P9" s="11">
        <v>63.801391524351679</v>
      </c>
      <c r="Q9" s="13">
        <v>9</v>
      </c>
      <c r="R9" s="83">
        <v>12</v>
      </c>
      <c r="S9" s="83">
        <v>69</v>
      </c>
      <c r="T9" s="83">
        <v>24</v>
      </c>
      <c r="U9" s="83">
        <v>-32275</v>
      </c>
      <c r="V9" s="12">
        <v>1.1344503092343781</v>
      </c>
      <c r="W9" s="11">
        <v>1</v>
      </c>
      <c r="X9" s="83">
        <v>32275</v>
      </c>
      <c r="Y9" s="12">
        <v>312.53292021688611</v>
      </c>
      <c r="Z9" s="11">
        <v>1662.6751355538343</v>
      </c>
      <c r="AA9" s="91">
        <v>8.7150226859944002E-2</v>
      </c>
      <c r="AB9" s="11">
        <v>0.872113195357757</v>
      </c>
      <c r="AC9" s="11">
        <v>96924.898939300911</v>
      </c>
      <c r="AD9" s="85">
        <v>168.52829332579915</v>
      </c>
      <c r="AE9" s="11">
        <f>(Opti_Salidas__30_OOS[[#This Row],[All: TS Index]]-Z$47) /ABS(Z$47)</f>
        <v>-0.19149885828081586</v>
      </c>
      <c r="AF9" s="11">
        <f>(Opti_Salidas__30_OOS[[#This Row],[All: Expectancy Score]]-AA$47) /ABS(AA$47)</f>
        <v>-0.87762262125755164</v>
      </c>
      <c r="AG9" s="11"/>
      <c r="AH9" s="11">
        <f>(Opti_Salidas__30_OOS[[#This Row],[All: Perfect Profit Correlation]]-AC$47) /ABS(AC$47)</f>
        <v>-0.15649899502000147</v>
      </c>
      <c r="AI9" s="11">
        <f>(Opti_Salidas__30_OOS[[#This Row],[All: Robustness Index]]-AD$47) /ABS(AD$47)</f>
        <v>-0.6189822599420064</v>
      </c>
      <c r="AJ9" s="11">
        <f>SUM(Opti_Salidas__30_OOS[[#This Row],[VAR TS Index]:[VAR Robustness Index]])</f>
        <v>-1.8446027345003753</v>
      </c>
      <c r="AK9" s="11">
        <f>Opti_Salidas__30_OOS[[#This Row],[SUMA]]-Opti_Salidas__30_OOS[[#This Row],[VAR Robustness Index]]</f>
        <v>-1.2256204745583688</v>
      </c>
      <c r="AL9" s="11"/>
    </row>
    <row r="10" spans="1:38" x14ac:dyDescent="0.25">
      <c r="A10" s="11"/>
      <c r="B10" s="83">
        <v>24</v>
      </c>
      <c r="C10" s="83">
        <v>25</v>
      </c>
      <c r="D10" s="83">
        <v>102330</v>
      </c>
      <c r="E10" s="10">
        <v>855610</v>
      </c>
      <c r="F10" s="10">
        <v>-753280</v>
      </c>
      <c r="G10" s="10">
        <v>1581</v>
      </c>
      <c r="H10" s="83">
        <v>33.649588867805186</v>
      </c>
      <c r="I10" s="11">
        <v>532</v>
      </c>
      <c r="J10" s="83">
        <v>1042</v>
      </c>
      <c r="K10" s="83">
        <v>6460</v>
      </c>
      <c r="L10" s="12">
        <v>-5640</v>
      </c>
      <c r="M10" s="12">
        <v>1608.2894287109375</v>
      </c>
      <c r="N10" s="12">
        <v>-722.91748046875</v>
      </c>
      <c r="O10" s="12">
        <v>2.2247206246390658</v>
      </c>
      <c r="P10" s="11">
        <v>64.724857685009482</v>
      </c>
      <c r="Q10" s="13">
        <v>9</v>
      </c>
      <c r="R10" s="83">
        <v>12</v>
      </c>
      <c r="S10" s="83">
        <v>65</v>
      </c>
      <c r="T10" s="83">
        <v>24</v>
      </c>
      <c r="U10" s="83">
        <v>-32285</v>
      </c>
      <c r="V10" s="12">
        <v>1.1358459005947319</v>
      </c>
      <c r="W10" s="11">
        <v>1</v>
      </c>
      <c r="X10" s="83">
        <v>32285</v>
      </c>
      <c r="Y10" s="12">
        <v>316.95833978627843</v>
      </c>
      <c r="Z10" s="11">
        <v>1686.2183676630013</v>
      </c>
      <c r="AA10" s="91">
        <v>7.8248539242774001E-2</v>
      </c>
      <c r="AB10" s="11">
        <v>0.88570395680675795</v>
      </c>
      <c r="AC10" s="11">
        <v>98360.194321704243</v>
      </c>
      <c r="AD10" s="85">
        <v>129.99419023123681</v>
      </c>
      <c r="AE10" s="11">
        <f>(Opti_Salidas__30_OOS[[#This Row],[All: TS Index]]-Z$47) /ABS(Z$47)</f>
        <v>-0.18005060261559785</v>
      </c>
      <c r="AF10" s="11">
        <f>(Opti_Salidas__30_OOS[[#This Row],[All: Expectancy Score]]-AA$47) /ABS(AA$47)</f>
        <v>-0.89012247623468277</v>
      </c>
      <c r="AG10" s="11"/>
      <c r="AH10" s="11">
        <f>(Opti_Salidas__30_OOS[[#This Row],[All: Perfect Profit Correlation]]-AC$47) /ABS(AC$47)</f>
        <v>-0.14400815818912127</v>
      </c>
      <c r="AI10" s="11">
        <f>(Opti_Salidas__30_OOS[[#This Row],[All: Robustness Index]]-AD$47) /ABS(AD$47)</f>
        <v>-0.70610221224501979</v>
      </c>
      <c r="AJ10" s="11">
        <f>SUM(Opti_Salidas__30_OOS[[#This Row],[VAR TS Index]:[VAR Robustness Index]])</f>
        <v>-1.9202834492844216</v>
      </c>
      <c r="AK10" s="11">
        <f>Opti_Salidas__30_OOS[[#This Row],[SUMA]]-Opti_Salidas__30_OOS[[#This Row],[VAR Robustness Index]]</f>
        <v>-1.2141812370394018</v>
      </c>
      <c r="AL10" s="11"/>
    </row>
    <row r="11" spans="1:38" x14ac:dyDescent="0.25">
      <c r="A11" s="11"/>
      <c r="B11" s="83">
        <v>0</v>
      </c>
      <c r="C11" s="83">
        <v>1</v>
      </c>
      <c r="D11" s="83">
        <v>89450</v>
      </c>
      <c r="E11" s="10">
        <v>845270</v>
      </c>
      <c r="F11" s="10">
        <v>-755820</v>
      </c>
      <c r="G11" s="10">
        <v>1581</v>
      </c>
      <c r="H11" s="83">
        <v>34.029095509171412</v>
      </c>
      <c r="I11" s="11">
        <v>538</v>
      </c>
      <c r="J11" s="83">
        <v>1036</v>
      </c>
      <c r="K11" s="83">
        <v>15350</v>
      </c>
      <c r="L11" s="12">
        <v>-5640</v>
      </c>
      <c r="M11" s="12">
        <v>1571.1337890625</v>
      </c>
      <c r="N11" s="12">
        <v>-729.55596923828125</v>
      </c>
      <c r="O11" s="12">
        <v>2.1535479871446981</v>
      </c>
      <c r="P11" s="11">
        <v>56.578115117014548</v>
      </c>
      <c r="Q11" s="13">
        <v>9</v>
      </c>
      <c r="R11" s="83">
        <v>12</v>
      </c>
      <c r="S11" s="83">
        <v>70</v>
      </c>
      <c r="T11" s="83">
        <v>24</v>
      </c>
      <c r="U11" s="83">
        <v>-33415</v>
      </c>
      <c r="V11" s="12">
        <v>1.118348283982959</v>
      </c>
      <c r="W11" s="11">
        <v>1</v>
      </c>
      <c r="X11" s="83">
        <v>33415</v>
      </c>
      <c r="Y11" s="12">
        <v>267.6941493341314</v>
      </c>
      <c r="Z11" s="11">
        <v>1440.1945234176269</v>
      </c>
      <c r="AA11" s="91">
        <v>0.121485078185877</v>
      </c>
      <c r="AB11" s="11">
        <v>0.76490007454630604</v>
      </c>
      <c r="AC11" s="11">
        <v>86343.284461027346</v>
      </c>
      <c r="AD11" s="85">
        <v>139.34146226011583</v>
      </c>
      <c r="AE11" s="11">
        <f>(Opti_Salidas__30_OOS[[#This Row],[All: TS Index]]-Z$47) /ABS(Z$47)</f>
        <v>-0.29968344893002308</v>
      </c>
      <c r="AF11" s="11">
        <f>(Opti_Salidas__30_OOS[[#This Row],[All: Expectancy Score]]-AA$47) /ABS(AA$47)</f>
        <v>-0.82940921716014238</v>
      </c>
      <c r="AG11" s="11"/>
      <c r="AH11" s="11">
        <f>(Opti_Salidas__30_OOS[[#This Row],[All: Perfect Profit Correlation]]-AC$47) /ABS(AC$47)</f>
        <v>-0.24858681295339236</v>
      </c>
      <c r="AI11" s="11">
        <f>(Opti_Salidas__30_OOS[[#This Row],[All: Robustness Index]]-AD$47) /ABS(AD$47)</f>
        <v>-0.68496940187907296</v>
      </c>
      <c r="AJ11" s="11">
        <f>SUM(Opti_Salidas__30_OOS[[#This Row],[VAR TS Index]:[VAR Robustness Index]])</f>
        <v>-2.0626488809226307</v>
      </c>
      <c r="AK11" s="11">
        <f>Opti_Salidas__30_OOS[[#This Row],[SUMA]]-Opti_Salidas__30_OOS[[#This Row],[VAR Robustness Index]]</f>
        <v>-1.3776794790435578</v>
      </c>
      <c r="AL11" s="11"/>
    </row>
    <row r="12" spans="1:38" x14ac:dyDescent="0.25">
      <c r="A12" s="11"/>
      <c r="B12" s="83">
        <v>2</v>
      </c>
      <c r="C12" s="83">
        <v>3</v>
      </c>
      <c r="D12" s="83">
        <v>89210</v>
      </c>
      <c r="E12" s="10">
        <v>845270</v>
      </c>
      <c r="F12" s="10">
        <v>-756060</v>
      </c>
      <c r="G12" s="10">
        <v>1581</v>
      </c>
      <c r="H12" s="83">
        <v>34.029095509171412</v>
      </c>
      <c r="I12" s="11">
        <v>538</v>
      </c>
      <c r="J12" s="83">
        <v>1036</v>
      </c>
      <c r="K12" s="83">
        <v>15350</v>
      </c>
      <c r="L12" s="12">
        <v>-5640</v>
      </c>
      <c r="M12" s="12">
        <v>1571.1337890625</v>
      </c>
      <c r="N12" s="12">
        <v>-729.78765869140625</v>
      </c>
      <c r="O12" s="12">
        <v>2.152864289154635</v>
      </c>
      <c r="P12" s="11">
        <v>56.426312460468061</v>
      </c>
      <c r="Q12" s="13">
        <v>9</v>
      </c>
      <c r="R12" s="83">
        <v>12</v>
      </c>
      <c r="S12" s="83">
        <v>70</v>
      </c>
      <c r="T12" s="83">
        <v>24</v>
      </c>
      <c r="U12" s="83">
        <v>-33415</v>
      </c>
      <c r="V12" s="12">
        <v>1.117993280956538</v>
      </c>
      <c r="W12" s="11">
        <v>1</v>
      </c>
      <c r="X12" s="83">
        <v>33415</v>
      </c>
      <c r="Y12" s="12">
        <v>266.97590902289392</v>
      </c>
      <c r="Z12" s="11">
        <v>1436.3303905431692</v>
      </c>
      <c r="AA12" s="91">
        <v>0.12105321017315</v>
      </c>
      <c r="AB12" s="11">
        <v>0.76257463891822497</v>
      </c>
      <c r="AC12" s="11">
        <v>86102.580741455109</v>
      </c>
      <c r="AD12" s="85">
        <v>139.8733829543377</v>
      </c>
      <c r="AE12" s="11">
        <f>(Opti_Salidas__30_OOS[[#This Row],[All: TS Index]]-Z$47) /ABS(Z$47)</f>
        <v>-0.30156244247118347</v>
      </c>
      <c r="AF12" s="11">
        <f>(Opti_Salidas__30_OOS[[#This Row],[All: Expectancy Score]]-AA$47) /ABS(AA$47)</f>
        <v>-0.83001565132864075</v>
      </c>
      <c r="AG12" s="11"/>
      <c r="AH12" s="11">
        <f>(Opti_Salidas__30_OOS[[#This Row],[All: Perfect Profit Correlation]]-AC$47) /ABS(AC$47)</f>
        <v>-0.25068156705253003</v>
      </c>
      <c r="AI12" s="11">
        <f>(Opti_Salidas__30_OOS[[#This Row],[All: Robustness Index]]-AD$47) /ABS(AD$47)</f>
        <v>-0.68376680724761441</v>
      </c>
      <c r="AJ12" s="11">
        <f>SUM(Opti_Salidas__30_OOS[[#This Row],[VAR TS Index]:[VAR Robustness Index]])</f>
        <v>-2.0660264680999685</v>
      </c>
      <c r="AK12" s="11">
        <f>Opti_Salidas__30_OOS[[#This Row],[SUMA]]-Opti_Salidas__30_OOS[[#This Row],[VAR Robustness Index]]</f>
        <v>-1.3822596608523541</v>
      </c>
      <c r="AL12" s="11"/>
    </row>
    <row r="13" spans="1:38" x14ac:dyDescent="0.25">
      <c r="A13" s="11"/>
      <c r="B13" s="83">
        <v>3</v>
      </c>
      <c r="C13" s="83">
        <v>4</v>
      </c>
      <c r="D13" s="83">
        <v>89230</v>
      </c>
      <c r="E13" s="10">
        <v>845270</v>
      </c>
      <c r="F13" s="10">
        <v>-756040</v>
      </c>
      <c r="G13" s="10">
        <v>1581</v>
      </c>
      <c r="H13" s="83">
        <v>34.029095509171412</v>
      </c>
      <c r="I13" s="11">
        <v>538</v>
      </c>
      <c r="J13" s="83">
        <v>1036</v>
      </c>
      <c r="K13" s="83">
        <v>15350</v>
      </c>
      <c r="L13" s="12">
        <v>-5640</v>
      </c>
      <c r="M13" s="12">
        <v>1571.1337890625</v>
      </c>
      <c r="N13" s="12">
        <v>-729.768310546875</v>
      </c>
      <c r="O13" s="12">
        <v>2.152921367447596</v>
      </c>
      <c r="P13" s="11">
        <v>56.438962681846931</v>
      </c>
      <c r="Q13" s="13">
        <v>9</v>
      </c>
      <c r="R13" s="83">
        <v>12</v>
      </c>
      <c r="S13" s="83">
        <v>70</v>
      </c>
      <c r="T13" s="83">
        <v>24</v>
      </c>
      <c r="U13" s="83">
        <v>-33415</v>
      </c>
      <c r="V13" s="12">
        <v>1.118022855933549</v>
      </c>
      <c r="W13" s="11">
        <v>1</v>
      </c>
      <c r="X13" s="83">
        <v>33415</v>
      </c>
      <c r="Y13" s="12">
        <v>267.03576238216368</v>
      </c>
      <c r="Z13" s="11">
        <v>1436.6524016160406</v>
      </c>
      <c r="AA13" s="91">
        <v>0.121089250417241</v>
      </c>
      <c r="AB13" s="11">
        <v>0.76276842522056698</v>
      </c>
      <c r="AC13" s="11">
        <v>86116.435089518025</v>
      </c>
      <c r="AD13" s="85">
        <v>138.98019880507121</v>
      </c>
      <c r="AE13" s="11">
        <f>(Opti_Salidas__30_OOS[[#This Row],[All: TS Index]]-Z$47) /ABS(Z$47)</f>
        <v>-0.3014058596760868</v>
      </c>
      <c r="AF13" s="11">
        <f>(Opti_Salidas__30_OOS[[#This Row],[All: Expectancy Score]]-AA$47) /ABS(AA$47)</f>
        <v>-0.82996504319186337</v>
      </c>
      <c r="AG13" s="11"/>
      <c r="AH13" s="11">
        <f>(Opti_Salidas__30_OOS[[#This Row],[All: Perfect Profit Correlation]]-AC$47) /ABS(AC$47)</f>
        <v>-0.25056099786295855</v>
      </c>
      <c r="AI13" s="11">
        <f>(Opti_Salidas__30_OOS[[#This Row],[All: Robustness Index]]-AD$47) /ABS(AD$47)</f>
        <v>-0.68578616553632155</v>
      </c>
      <c r="AJ13" s="11">
        <f>SUM(Opti_Salidas__30_OOS[[#This Row],[VAR TS Index]:[VAR Robustness Index]])</f>
        <v>-2.0677180662672301</v>
      </c>
      <c r="AK13" s="11">
        <f>Opti_Salidas__30_OOS[[#This Row],[SUMA]]-Opti_Salidas__30_OOS[[#This Row],[VAR Robustness Index]]</f>
        <v>-1.3819319007309085</v>
      </c>
      <c r="AL13" s="11"/>
    </row>
    <row r="14" spans="1:38" x14ac:dyDescent="0.25">
      <c r="A14" s="11"/>
      <c r="B14" s="83">
        <v>1</v>
      </c>
      <c r="C14" s="83">
        <v>2</v>
      </c>
      <c r="D14" s="83">
        <v>88110</v>
      </c>
      <c r="E14" s="4">
        <v>844920</v>
      </c>
      <c r="F14" s="4">
        <v>-756810</v>
      </c>
      <c r="G14" s="4">
        <v>1581</v>
      </c>
      <c r="H14" s="83">
        <v>33.965844402277042</v>
      </c>
      <c r="I14" s="5">
        <v>537</v>
      </c>
      <c r="J14" s="83">
        <v>1037</v>
      </c>
      <c r="K14" s="83">
        <v>15350</v>
      </c>
      <c r="L14" s="6">
        <v>-4030</v>
      </c>
      <c r="M14" s="6">
        <v>1573.4078369140625</v>
      </c>
      <c r="N14" s="6">
        <v>-729.80712890625</v>
      </c>
      <c r="O14" s="6">
        <v>2.1559228111023021</v>
      </c>
      <c r="P14" s="5">
        <v>55.730550284629985</v>
      </c>
      <c r="Q14" s="7">
        <v>9</v>
      </c>
      <c r="R14" s="83">
        <v>12</v>
      </c>
      <c r="S14" s="83">
        <v>70</v>
      </c>
      <c r="T14" s="83">
        <v>24</v>
      </c>
      <c r="U14" s="83">
        <v>-33415</v>
      </c>
      <c r="V14" s="6">
        <v>1.1164228802473539</v>
      </c>
      <c r="W14" s="5">
        <v>1</v>
      </c>
      <c r="X14" s="83">
        <v>33415</v>
      </c>
      <c r="Y14" s="6">
        <v>263.68397426305552</v>
      </c>
      <c r="Z14" s="5">
        <v>1415.982941792608</v>
      </c>
      <c r="AA14" s="93">
        <v>0.119344143898981</v>
      </c>
      <c r="AB14" s="5">
        <v>0.751506136543306</v>
      </c>
      <c r="AC14" s="5">
        <v>84994.074594232981</v>
      </c>
      <c r="AD14" s="84">
        <v>139.12090003037886</v>
      </c>
      <c r="AE14" s="5">
        <f>(Opti_Salidas__30_OOS[[#This Row],[All: TS Index]]-Z$47) /ABS(Z$47)</f>
        <v>-0.31145669974016077</v>
      </c>
      <c r="AF14" s="11">
        <f>(Opti_Salidas__30_OOS[[#This Row],[All: Expectancy Score]]-AA$47) /ABS(AA$47)</f>
        <v>-0.83241554239336557</v>
      </c>
      <c r="AG14" s="11"/>
      <c r="AH14" s="11">
        <f>(Opti_Salidas__30_OOS[[#This Row],[All: Perfect Profit Correlation]]-AC$47) /ABS(AC$47)</f>
        <v>-0.26032847986276603</v>
      </c>
      <c r="AI14" s="11">
        <f>(Opti_Salidas__30_OOS[[#This Row],[All: Robustness Index]]-AD$47) /ABS(AD$47)</f>
        <v>-0.68546806071349242</v>
      </c>
      <c r="AJ14" s="11">
        <f>SUM(Opti_Salidas__30_OOS[[#This Row],[VAR TS Index]:[VAR Robustness Index]])</f>
        <v>-2.0896687827097846</v>
      </c>
      <c r="AK14" s="11">
        <f>Opti_Salidas__30_OOS[[#This Row],[SUMA]]-Opti_Salidas__30_OOS[[#This Row],[VAR Robustness Index]]</f>
        <v>-1.4042007219962922</v>
      </c>
      <c r="AL14" s="11"/>
    </row>
    <row r="15" spans="1:38" x14ac:dyDescent="0.25">
      <c r="A15" s="11"/>
      <c r="B15" s="83">
        <v>28</v>
      </c>
      <c r="C15" s="83">
        <v>29</v>
      </c>
      <c r="D15" s="83">
        <v>87290</v>
      </c>
      <c r="E15" s="10">
        <v>843080</v>
      </c>
      <c r="F15" s="10">
        <v>-755790</v>
      </c>
      <c r="G15" s="10">
        <v>1581</v>
      </c>
      <c r="H15" s="83">
        <v>33.902593295382673</v>
      </c>
      <c r="I15" s="11">
        <v>536</v>
      </c>
      <c r="J15" s="83">
        <v>1038</v>
      </c>
      <c r="K15" s="83">
        <v>15350</v>
      </c>
      <c r="L15" s="12">
        <v>-5640</v>
      </c>
      <c r="M15" s="12">
        <v>1572.910400390625</v>
      </c>
      <c r="N15" s="12">
        <v>-728.12139892578125</v>
      </c>
      <c r="O15" s="12">
        <v>2.160230976195983</v>
      </c>
      <c r="P15" s="11">
        <v>55.211891208096141</v>
      </c>
      <c r="Q15" s="13">
        <v>9</v>
      </c>
      <c r="R15" s="83">
        <v>12</v>
      </c>
      <c r="S15" s="83">
        <v>70</v>
      </c>
      <c r="T15" s="83">
        <v>24</v>
      </c>
      <c r="U15" s="83">
        <v>-33415</v>
      </c>
      <c r="V15" s="12">
        <v>1.115495044919885</v>
      </c>
      <c r="W15" s="11">
        <v>1</v>
      </c>
      <c r="X15" s="83">
        <v>33415</v>
      </c>
      <c r="Y15" s="12">
        <v>261.22998653299419</v>
      </c>
      <c r="Z15" s="11">
        <v>1400.1927278168487</v>
      </c>
      <c r="AA15" s="91">
        <v>0.10724997804126001</v>
      </c>
      <c r="AB15" s="11">
        <v>0.74333110622293996</v>
      </c>
      <c r="AC15" s="11">
        <v>84156.043861393628</v>
      </c>
      <c r="AD15" s="85">
        <v>130.4467183670989</v>
      </c>
      <c r="AE15" s="11">
        <f>(Opti_Salidas__30_OOS[[#This Row],[All: TS Index]]-Z$47) /ABS(Z$47)</f>
        <v>-0.31913493209860594</v>
      </c>
      <c r="AF15" s="11">
        <f>(Opti_Salidas__30_OOS[[#This Row],[All: Expectancy Score]]-AA$47) /ABS(AA$47)</f>
        <v>-0.84939831305353664</v>
      </c>
      <c r="AG15" s="11"/>
      <c r="AH15" s="11">
        <f>(Opti_Salidas__30_OOS[[#This Row],[All: Perfect Profit Correlation]]-AC$47) /ABS(AC$47)</f>
        <v>-0.26762154669172195</v>
      </c>
      <c r="AI15" s="11">
        <f>(Opti_Salidas__30_OOS[[#This Row],[All: Robustness Index]]-AD$47) /ABS(AD$47)</f>
        <v>-0.70507911253733146</v>
      </c>
      <c r="AJ15" s="11">
        <f>SUM(Opti_Salidas__30_OOS[[#This Row],[VAR TS Index]:[VAR Robustness Index]])</f>
        <v>-2.1412339043811963</v>
      </c>
      <c r="AK15" s="11">
        <f>Opti_Salidas__30_OOS[[#This Row],[SUMA]]-Opti_Salidas__30_OOS[[#This Row],[VAR Robustness Index]]</f>
        <v>-1.4361547918438649</v>
      </c>
      <c r="AL15" s="11"/>
    </row>
    <row r="16" spans="1:38" x14ac:dyDescent="0.25">
      <c r="A16" s="11"/>
      <c r="B16" s="31">
        <v>20</v>
      </c>
      <c r="C16" s="31">
        <v>21</v>
      </c>
      <c r="D16" s="31">
        <v>44320</v>
      </c>
      <c r="E16" s="32">
        <v>639330</v>
      </c>
      <c r="F16" s="32">
        <v>-595010</v>
      </c>
      <c r="G16" s="32">
        <v>1580</v>
      </c>
      <c r="H16" s="31">
        <v>28.860759493670887</v>
      </c>
      <c r="I16" s="33">
        <v>456</v>
      </c>
      <c r="J16" s="31">
        <v>1121</v>
      </c>
      <c r="K16" s="31">
        <v>13980</v>
      </c>
      <c r="L16" s="34">
        <v>-3570</v>
      </c>
      <c r="M16" s="34">
        <v>1402.0394287109375</v>
      </c>
      <c r="N16" s="34">
        <v>-530.7850341796875</v>
      </c>
      <c r="O16" s="34">
        <v>2.641444913528407</v>
      </c>
      <c r="P16" s="33">
        <v>28.050632911392405</v>
      </c>
      <c r="Q16" s="35">
        <v>6</v>
      </c>
      <c r="R16" s="31">
        <v>16</v>
      </c>
      <c r="S16" s="31">
        <v>48</v>
      </c>
      <c r="T16" s="31">
        <v>16</v>
      </c>
      <c r="U16" s="31">
        <v>-35995</v>
      </c>
      <c r="V16" s="34">
        <v>1.0744861430900321</v>
      </c>
      <c r="W16" s="33">
        <v>1</v>
      </c>
      <c r="X16" s="31">
        <v>35995</v>
      </c>
      <c r="Y16" s="34">
        <v>123.12821225170163</v>
      </c>
      <c r="Z16" s="33">
        <v>561.46464786775937</v>
      </c>
      <c r="AA16" s="94">
        <v>0.71214327153842405</v>
      </c>
      <c r="AB16" s="33">
        <v>0.32152022137832098</v>
      </c>
      <c r="AC16" s="33">
        <v>34154.402816527399</v>
      </c>
      <c r="AD16" s="88">
        <v>98.687637165539542</v>
      </c>
      <c r="AE16" s="11">
        <f>(Opti_Salidas__30_OOS[[#This Row],[All: TS Index]]-Z$47) /ABS(Z$47)</f>
        <v>-0.72697925221282933</v>
      </c>
      <c r="AF16" s="11">
        <f>(Opti_Salidas__30_OOS[[#This Row],[All: Expectancy Score]]-AA$47) /ABS(AA$47)</f>
        <v>0</v>
      </c>
      <c r="AG16" s="11"/>
      <c r="AH16" s="11">
        <f>(Opti_Salidas__30_OOS[[#This Row],[All: Perfect Profit Correlation]]-AC$47) /ABS(AC$47)</f>
        <v>-0.70276705557078456</v>
      </c>
      <c r="AI16" s="11">
        <f>(Opti_Salidas__30_OOS[[#This Row],[All: Robustness Index]]-AD$47) /ABS(AD$47)</f>
        <v>-0.77688173455963627</v>
      </c>
      <c r="AJ16" s="11">
        <f>SUM(Opti_Salidas__30_OOS[[#This Row],[VAR TS Index]:[VAR Robustness Index]])</f>
        <v>-2.2066280423432501</v>
      </c>
      <c r="AK16" s="11">
        <f>Opti_Salidas__30_OOS[[#This Row],[SUMA]]-Opti_Salidas__30_OOS[[#This Row],[VAR Robustness Index]]</f>
        <v>-1.4297463077836139</v>
      </c>
      <c r="AL16" s="11"/>
    </row>
    <row r="17" spans="1:38" x14ac:dyDescent="0.25">
      <c r="A17" s="11"/>
      <c r="B17" s="83">
        <v>25</v>
      </c>
      <c r="C17" s="83">
        <v>26</v>
      </c>
      <c r="D17" s="83">
        <v>84160</v>
      </c>
      <c r="E17" s="10">
        <v>833180</v>
      </c>
      <c r="F17" s="10">
        <v>-749020</v>
      </c>
      <c r="G17" s="10">
        <v>1581</v>
      </c>
      <c r="H17" s="83">
        <v>33.586337760910816</v>
      </c>
      <c r="I17" s="11">
        <v>531</v>
      </c>
      <c r="J17" s="83">
        <v>1043</v>
      </c>
      <c r="K17" s="83">
        <v>15350</v>
      </c>
      <c r="L17" s="12">
        <v>-3340</v>
      </c>
      <c r="M17" s="12">
        <v>1569.0772705078125</v>
      </c>
      <c r="N17" s="12">
        <v>-718.13995361328125</v>
      </c>
      <c r="O17" s="12">
        <v>2.1849185003745961</v>
      </c>
      <c r="P17" s="11">
        <v>53.232131562302342</v>
      </c>
      <c r="Q17" s="13">
        <v>9</v>
      </c>
      <c r="R17" s="83">
        <v>12</v>
      </c>
      <c r="S17" s="83">
        <v>70</v>
      </c>
      <c r="T17" s="83">
        <v>24</v>
      </c>
      <c r="U17" s="83">
        <v>-33915</v>
      </c>
      <c r="V17" s="12">
        <v>1.11236015059678</v>
      </c>
      <c r="W17" s="11">
        <v>1</v>
      </c>
      <c r="X17" s="83">
        <v>33915</v>
      </c>
      <c r="Y17" s="12">
        <v>248.14978623028159</v>
      </c>
      <c r="Z17" s="11">
        <v>1317.6753648827953</v>
      </c>
      <c r="AA17" s="91">
        <v>6.5067355194520005E-2</v>
      </c>
      <c r="AB17" s="11">
        <v>0.71195765024692204</v>
      </c>
      <c r="AC17" s="11">
        <v>80597.348730166574</v>
      </c>
      <c r="AD17" s="85">
        <v>147.42948266636969</v>
      </c>
      <c r="AE17" s="11">
        <f>(Opti_Salidas__30_OOS[[#This Row],[All: TS Index]]-Z$47) /ABS(Z$47)</f>
        <v>-0.35926025827762265</v>
      </c>
      <c r="AF17" s="11">
        <f>(Opti_Salidas__30_OOS[[#This Row],[All: Expectancy Score]]-AA$47) /ABS(AA$47)</f>
        <v>-0.90863165068742879</v>
      </c>
      <c r="AG17" s="11"/>
      <c r="AH17" s="11">
        <f>(Opti_Salidas__30_OOS[[#This Row],[All: Perfect Profit Correlation]]-AC$47) /ABS(AC$47)</f>
        <v>-0.29859153430540314</v>
      </c>
      <c r="AI17" s="11">
        <f>(Opti_Salidas__30_OOS[[#This Row],[All: Robustness Index]]-AD$47) /ABS(AD$47)</f>
        <v>-0.666683574639511</v>
      </c>
      <c r="AJ17" s="11">
        <f>SUM(Opti_Salidas__30_OOS[[#This Row],[VAR TS Index]:[VAR Robustness Index]])</f>
        <v>-2.2331670179099654</v>
      </c>
      <c r="AK17" s="11">
        <f>Opti_Salidas__30_OOS[[#This Row],[SUMA]]-Opti_Salidas__30_OOS[[#This Row],[VAR Robustness Index]]</f>
        <v>-1.5664834432704544</v>
      </c>
      <c r="AL17" s="11"/>
    </row>
    <row r="18" spans="1:38" x14ac:dyDescent="0.25">
      <c r="A18" s="11"/>
      <c r="B18" s="83">
        <v>27</v>
      </c>
      <c r="C18" s="83">
        <v>28</v>
      </c>
      <c r="D18" s="83">
        <v>86260</v>
      </c>
      <c r="E18" s="10">
        <v>840450</v>
      </c>
      <c r="F18" s="10">
        <v>-754190</v>
      </c>
      <c r="G18" s="10">
        <v>1581</v>
      </c>
      <c r="H18" s="83">
        <v>33.649588867805186</v>
      </c>
      <c r="I18" s="11">
        <v>532</v>
      </c>
      <c r="J18" s="83">
        <v>1042</v>
      </c>
      <c r="K18" s="83">
        <v>15350</v>
      </c>
      <c r="L18" s="12">
        <v>-5640</v>
      </c>
      <c r="M18" s="12">
        <v>1579.793212890625</v>
      </c>
      <c r="N18" s="12">
        <v>-723.790771484375</v>
      </c>
      <c r="O18" s="12">
        <v>2.182665592227337</v>
      </c>
      <c r="P18" s="11">
        <v>54.560404807084126</v>
      </c>
      <c r="Q18" s="13">
        <v>9</v>
      </c>
      <c r="R18" s="83">
        <v>12</v>
      </c>
      <c r="S18" s="83">
        <v>70</v>
      </c>
      <c r="T18" s="83">
        <v>24</v>
      </c>
      <c r="U18" s="83">
        <v>-33415</v>
      </c>
      <c r="V18" s="12">
        <v>1.1143743618981949</v>
      </c>
      <c r="W18" s="11">
        <v>1</v>
      </c>
      <c r="X18" s="83">
        <v>33415</v>
      </c>
      <c r="Y18" s="12">
        <v>258.1475385306</v>
      </c>
      <c r="Z18" s="11">
        <v>1373.3449049827921</v>
      </c>
      <c r="AA18" s="91">
        <v>1.120783789006E-2</v>
      </c>
      <c r="AB18" s="11">
        <v>0.73185855846166703</v>
      </c>
      <c r="AC18" s="11">
        <v>83107.054113360064</v>
      </c>
      <c r="AD18" s="85">
        <v>132.94328878530263</v>
      </c>
      <c r="AE18" s="11">
        <f>(Opti_Salidas__30_OOS[[#This Row],[All: TS Index]]-Z$47) /ABS(Z$47)</f>
        <v>-0.33219009540131494</v>
      </c>
      <c r="AF18" s="11">
        <f>(Opti_Salidas__30_OOS[[#This Row],[All: Expectancy Score]]-AA$47) /ABS(AA$47)</f>
        <v>-0.98426182154912734</v>
      </c>
      <c r="AG18" s="11"/>
      <c r="AH18" s="11">
        <f>(Opti_Salidas__30_OOS[[#This Row],[All: Perfect Profit Correlation]]-AC$47) /ABS(AC$47)</f>
        <v>-0.27675051062527373</v>
      </c>
      <c r="AI18" s="11">
        <f>(Opti_Salidas__30_OOS[[#This Row],[All: Robustness Index]]-AD$47) /ABS(AD$47)</f>
        <v>-0.69943473318792049</v>
      </c>
      <c r="AJ18" s="11">
        <f>SUM(Opti_Salidas__30_OOS[[#This Row],[VAR TS Index]:[VAR Robustness Index]])</f>
        <v>-2.2926371607636362</v>
      </c>
      <c r="AK18" s="11">
        <f>Opti_Salidas__30_OOS[[#This Row],[SUMA]]-Opti_Salidas__30_OOS[[#This Row],[VAR Robustness Index]]</f>
        <v>-1.5932024275757157</v>
      </c>
      <c r="AL18" s="11"/>
    </row>
    <row r="19" spans="1:38" x14ac:dyDescent="0.25">
      <c r="A19" s="11"/>
      <c r="B19" s="83">
        <v>9</v>
      </c>
      <c r="C19" s="83">
        <v>10</v>
      </c>
      <c r="D19" s="83">
        <v>86290</v>
      </c>
      <c r="E19" s="10">
        <v>831580</v>
      </c>
      <c r="F19" s="10">
        <v>-745290</v>
      </c>
      <c r="G19" s="10">
        <v>1581</v>
      </c>
      <c r="H19" s="83">
        <v>34.471853257432002</v>
      </c>
      <c r="I19" s="11">
        <v>545</v>
      </c>
      <c r="J19" s="83">
        <v>1030</v>
      </c>
      <c r="K19" s="83">
        <v>16650</v>
      </c>
      <c r="L19" s="12">
        <v>-5640</v>
      </c>
      <c r="M19" s="12">
        <v>1525.8348388671875</v>
      </c>
      <c r="N19" s="12">
        <v>-723.58251953125</v>
      </c>
      <c r="O19" s="12">
        <v>2.1087226372683121</v>
      </c>
      <c r="P19" s="11">
        <v>54.579380139152434</v>
      </c>
      <c r="Q19" s="13">
        <v>9</v>
      </c>
      <c r="R19" s="83">
        <v>12</v>
      </c>
      <c r="S19" s="83">
        <v>61</v>
      </c>
      <c r="T19" s="83">
        <v>24</v>
      </c>
      <c r="U19" s="83">
        <v>-33405</v>
      </c>
      <c r="V19" s="12">
        <v>1.115780434461753</v>
      </c>
      <c r="W19" s="11">
        <v>1</v>
      </c>
      <c r="X19" s="83">
        <v>33405</v>
      </c>
      <c r="Y19" s="12">
        <v>258.31462355934741</v>
      </c>
      <c r="Z19" s="11">
        <v>1407.8146983984434</v>
      </c>
      <c r="AA19" s="91">
        <v>4.9670114254817002E-2</v>
      </c>
      <c r="AB19" s="11">
        <v>0.73891404034559005</v>
      </c>
      <c r="AC19" s="11">
        <v>82968.913874341015</v>
      </c>
      <c r="AD19" s="85">
        <v>100.76375748013011</v>
      </c>
      <c r="AE19" s="11">
        <f>(Opti_Salidas__30_OOS[[#This Row],[All: TS Index]]-Z$47) /ABS(Z$47)</f>
        <v>-0.31542863266247662</v>
      </c>
      <c r="AF19" s="11">
        <f>(Opti_Salidas__30_OOS[[#This Row],[All: Expectancy Score]]-AA$47) /ABS(AA$47)</f>
        <v>-0.93025263842272077</v>
      </c>
      <c r="AG19" s="11"/>
      <c r="AH19" s="11">
        <f>(Opti_Salidas__30_OOS[[#This Row],[All: Perfect Profit Correlation]]-AC$47) /ABS(AC$47)</f>
        <v>-0.27795269326065325</v>
      </c>
      <c r="AI19" s="11">
        <f>(Opti_Salidas__30_OOS[[#This Row],[All: Robustness Index]]-AD$47) /ABS(AD$47)</f>
        <v>-0.77218793119437845</v>
      </c>
      <c r="AJ19" s="11">
        <f>SUM(Opti_Salidas__30_OOS[[#This Row],[VAR TS Index]:[VAR Robustness Index]])</f>
        <v>-2.2958218955402292</v>
      </c>
      <c r="AK19" s="11">
        <f>Opti_Salidas__30_OOS[[#This Row],[SUMA]]-Opti_Salidas__30_OOS[[#This Row],[VAR Robustness Index]]</f>
        <v>-1.5236339643458507</v>
      </c>
      <c r="AL19" s="11"/>
    </row>
    <row r="20" spans="1:38" x14ac:dyDescent="0.25">
      <c r="A20" s="11"/>
      <c r="B20" s="83">
        <v>7</v>
      </c>
      <c r="C20" s="83">
        <v>8</v>
      </c>
      <c r="D20" s="83">
        <v>79870</v>
      </c>
      <c r="E20" s="10">
        <v>833180</v>
      </c>
      <c r="F20" s="10">
        <v>-753310</v>
      </c>
      <c r="G20" s="10">
        <v>1581</v>
      </c>
      <c r="H20" s="83">
        <v>33.586337760910816</v>
      </c>
      <c r="I20" s="11">
        <v>531</v>
      </c>
      <c r="J20" s="83">
        <v>1043</v>
      </c>
      <c r="K20" s="83">
        <v>15350</v>
      </c>
      <c r="L20" s="12">
        <v>-5640</v>
      </c>
      <c r="M20" s="12">
        <v>1569.0772705078125</v>
      </c>
      <c r="N20" s="12">
        <v>-722.25311279296875</v>
      </c>
      <c r="O20" s="12">
        <v>2.172475608225704</v>
      </c>
      <c r="P20" s="11">
        <v>50.518659076533837</v>
      </c>
      <c r="Q20" s="13">
        <v>9</v>
      </c>
      <c r="R20" s="83">
        <v>12</v>
      </c>
      <c r="S20" s="83">
        <v>70</v>
      </c>
      <c r="T20" s="83">
        <v>24</v>
      </c>
      <c r="U20" s="83">
        <v>-33415</v>
      </c>
      <c r="V20" s="12">
        <v>1.106025407866615</v>
      </c>
      <c r="W20" s="11">
        <v>1</v>
      </c>
      <c r="X20" s="83">
        <v>33415</v>
      </c>
      <c r="Y20" s="12">
        <v>239.02439024390245</v>
      </c>
      <c r="Z20" s="11">
        <v>1269.219512195122</v>
      </c>
      <c r="AA20" s="91">
        <v>6.1045131717517E-2</v>
      </c>
      <c r="AB20" s="11">
        <v>0.67038600825408901</v>
      </c>
      <c r="AC20" s="11">
        <v>76441.727981661053</v>
      </c>
      <c r="AD20" s="85">
        <v>123.65043216917041</v>
      </c>
      <c r="AE20" s="11">
        <f>(Opti_Salidas__30_OOS[[#This Row],[All: TS Index]]-Z$47) /ABS(Z$47)</f>
        <v>-0.38282265563548701</v>
      </c>
      <c r="AF20" s="11">
        <f>(Opti_Salidas__30_OOS[[#This Row],[All: Expectancy Score]]-AA$47) /ABS(AA$47)</f>
        <v>-0.91427970443975004</v>
      </c>
      <c r="AG20" s="11"/>
      <c r="AH20" s="11">
        <f>(Opti_Salidas__30_OOS[[#This Row],[All: Perfect Profit Correlation]]-AC$47) /ABS(AC$47)</f>
        <v>-0.33475634145031757</v>
      </c>
      <c r="AI20" s="11">
        <f>(Opti_Salidas__30_OOS[[#This Row],[All: Robustness Index]]-AD$47) /ABS(AD$47)</f>
        <v>-0.72044451829098743</v>
      </c>
      <c r="AJ20" s="11">
        <f>SUM(Opti_Salidas__30_OOS[[#This Row],[VAR TS Index]:[VAR Robustness Index]])</f>
        <v>-2.3523032198165419</v>
      </c>
      <c r="AK20" s="11">
        <f>Opti_Salidas__30_OOS[[#This Row],[SUMA]]-Opti_Salidas__30_OOS[[#This Row],[VAR Robustness Index]]</f>
        <v>-1.6318587015255543</v>
      </c>
      <c r="AL20" s="11"/>
    </row>
    <row r="21" spans="1:38" x14ac:dyDescent="0.25">
      <c r="A21" s="11"/>
      <c r="B21" s="83">
        <v>12</v>
      </c>
      <c r="C21" s="83">
        <v>13</v>
      </c>
      <c r="D21" s="83">
        <v>71720</v>
      </c>
      <c r="E21" s="10">
        <v>790060</v>
      </c>
      <c r="F21" s="10">
        <v>-718340</v>
      </c>
      <c r="G21" s="10">
        <v>1581</v>
      </c>
      <c r="H21" s="83">
        <v>32.005060088551552</v>
      </c>
      <c r="I21" s="11">
        <v>506</v>
      </c>
      <c r="J21" s="83">
        <v>1068</v>
      </c>
      <c r="K21" s="83">
        <v>15350</v>
      </c>
      <c r="L21" s="12">
        <v>-5050</v>
      </c>
      <c r="M21" s="12">
        <v>1561.3834228515625</v>
      </c>
      <c r="N21" s="12">
        <v>-672.60296630859375</v>
      </c>
      <c r="O21" s="12">
        <v>2.3214043069432311</v>
      </c>
      <c r="P21" s="11">
        <v>45.363693864642634</v>
      </c>
      <c r="Q21" s="13">
        <v>9</v>
      </c>
      <c r="R21" s="83">
        <v>14</v>
      </c>
      <c r="S21" s="83">
        <v>68</v>
      </c>
      <c r="T21" s="83">
        <v>22</v>
      </c>
      <c r="U21" s="83">
        <v>-30665</v>
      </c>
      <c r="V21" s="12">
        <v>1.0998413007767911</v>
      </c>
      <c r="W21" s="11">
        <v>1</v>
      </c>
      <c r="X21" s="83">
        <v>30665</v>
      </c>
      <c r="Y21" s="12">
        <v>233.88227621066363</v>
      </c>
      <c r="Z21" s="11">
        <v>1183.4443176259579</v>
      </c>
      <c r="AA21" s="91">
        <v>0.123710028781594</v>
      </c>
      <c r="AB21" s="11">
        <v>0.58578395975119302</v>
      </c>
      <c r="AC21" s="11">
        <v>65832.728711365125</v>
      </c>
      <c r="AD21" s="85">
        <v>122.9783947629312</v>
      </c>
      <c r="AE21" s="11">
        <f>(Opti_Salidas__30_OOS[[#This Row],[All: TS Index]]-Z$47) /ABS(Z$47)</f>
        <v>-0.42453215213147821</v>
      </c>
      <c r="AF21" s="11">
        <f>(Opti_Salidas__30_OOS[[#This Row],[All: Expectancy Score]]-AA$47) /ABS(AA$47)</f>
        <v>-0.82628491523293268</v>
      </c>
      <c r="AG21" s="11"/>
      <c r="AH21" s="11">
        <f>(Opti_Salidas__30_OOS[[#This Row],[All: Perfect Profit Correlation]]-AC$47) /ABS(AC$47)</f>
        <v>-0.42708247894704893</v>
      </c>
      <c r="AI21" s="11">
        <f>(Opti_Salidas__30_OOS[[#This Row],[All: Robustness Index]]-AD$47) /ABS(AD$47)</f>
        <v>-0.72196389624650192</v>
      </c>
      <c r="AJ21" s="11">
        <f>SUM(Opti_Salidas__30_OOS[[#This Row],[VAR TS Index]:[VAR Robustness Index]])</f>
        <v>-2.3998634425579617</v>
      </c>
      <c r="AK21" s="11">
        <f>Opti_Salidas__30_OOS[[#This Row],[SUMA]]-Opti_Salidas__30_OOS[[#This Row],[VAR Robustness Index]]</f>
        <v>-1.6778995463114597</v>
      </c>
      <c r="AL21" s="11"/>
    </row>
    <row r="22" spans="1:38" x14ac:dyDescent="0.25">
      <c r="A22" s="11"/>
      <c r="B22" s="83">
        <v>26</v>
      </c>
      <c r="C22" s="83">
        <v>27</v>
      </c>
      <c r="D22" s="83">
        <v>77870</v>
      </c>
      <c r="E22" s="10">
        <v>831820</v>
      </c>
      <c r="F22" s="10">
        <v>-753950</v>
      </c>
      <c r="G22" s="10">
        <v>1581</v>
      </c>
      <c r="H22" s="83">
        <v>34.155597722960152</v>
      </c>
      <c r="I22" s="11">
        <v>540</v>
      </c>
      <c r="J22" s="83">
        <v>1034</v>
      </c>
      <c r="K22" s="83">
        <v>4100</v>
      </c>
      <c r="L22" s="12">
        <v>-5640</v>
      </c>
      <c r="M22" s="12">
        <v>1540.4073486328125</v>
      </c>
      <c r="N22" s="12">
        <v>-729.15863037109375</v>
      </c>
      <c r="O22" s="12">
        <v>2.1125819327528861</v>
      </c>
      <c r="P22" s="11">
        <v>49.253636938646423</v>
      </c>
      <c r="Q22" s="13">
        <v>9</v>
      </c>
      <c r="R22" s="83">
        <v>12</v>
      </c>
      <c r="S22" s="83">
        <v>55</v>
      </c>
      <c r="T22" s="83">
        <v>24</v>
      </c>
      <c r="U22" s="83">
        <v>-33595</v>
      </c>
      <c r="V22" s="12">
        <v>1.10328271105511</v>
      </c>
      <c r="W22" s="11">
        <v>1</v>
      </c>
      <c r="X22" s="83">
        <v>33595</v>
      </c>
      <c r="Y22" s="12">
        <v>231.79044500669744</v>
      </c>
      <c r="Z22" s="11">
        <v>1251.6684030361662</v>
      </c>
      <c r="AA22" s="91">
        <v>8.8033438021935001E-2</v>
      </c>
      <c r="AB22" s="11">
        <v>0.65520896254016903</v>
      </c>
      <c r="AC22" s="11">
        <v>74032.59141377073</v>
      </c>
      <c r="AD22" s="85">
        <v>87.849538095145363</v>
      </c>
      <c r="AE22" s="11">
        <f>(Opti_Salidas__30_OOS[[#This Row],[All: TS Index]]-Z$47) /ABS(Z$47)</f>
        <v>-0.39135715013174777</v>
      </c>
      <c r="AF22" s="11">
        <f>(Opti_Salidas__30_OOS[[#This Row],[All: Expectancy Score]]-AA$47) /ABS(AA$47)</f>
        <v>-0.87638240570361814</v>
      </c>
      <c r="AG22" s="11"/>
      <c r="AH22" s="11">
        <f>(Opti_Salidas__30_OOS[[#This Row],[All: Perfect Profit Correlation]]-AC$47) /ABS(AC$47)</f>
        <v>-0.35572215248946198</v>
      </c>
      <c r="AI22" s="11">
        <f>(Opti_Salidas__30_OOS[[#This Row],[All: Robustness Index]]-AD$47) /ABS(AD$47)</f>
        <v>-0.80138508609090142</v>
      </c>
      <c r="AJ22" s="11">
        <f>SUM(Opti_Salidas__30_OOS[[#This Row],[VAR TS Index]:[VAR Robustness Index]])</f>
        <v>-2.4248467944157293</v>
      </c>
      <c r="AK22" s="11">
        <f>Opti_Salidas__30_OOS[[#This Row],[SUMA]]-Opti_Salidas__30_OOS[[#This Row],[VAR Robustness Index]]</f>
        <v>-1.6234617083248279</v>
      </c>
      <c r="AL22" s="11"/>
    </row>
    <row r="23" spans="1:38" x14ac:dyDescent="0.25">
      <c r="A23" s="11"/>
      <c r="B23" s="83">
        <v>16</v>
      </c>
      <c r="C23" s="83">
        <v>17</v>
      </c>
      <c r="D23" s="83">
        <v>61370</v>
      </c>
      <c r="E23" s="10">
        <v>813460</v>
      </c>
      <c r="F23" s="10">
        <v>-752090</v>
      </c>
      <c r="G23" s="10">
        <v>1581</v>
      </c>
      <c r="H23" s="83">
        <v>34.282099936748892</v>
      </c>
      <c r="I23" s="11">
        <v>542</v>
      </c>
      <c r="J23" s="83">
        <v>1032</v>
      </c>
      <c r="K23" s="83">
        <v>3690</v>
      </c>
      <c r="L23" s="12">
        <v>-4990</v>
      </c>
      <c r="M23" s="12">
        <v>1500.8487548828125</v>
      </c>
      <c r="N23" s="12">
        <v>-728.7694091796875</v>
      </c>
      <c r="O23" s="12">
        <v>2.0594288618291321</v>
      </c>
      <c r="P23" s="11">
        <v>38.817204301075272</v>
      </c>
      <c r="Q23" s="13">
        <v>9</v>
      </c>
      <c r="R23" s="83">
        <v>12</v>
      </c>
      <c r="S23" s="83">
        <v>52</v>
      </c>
      <c r="T23" s="83">
        <v>24</v>
      </c>
      <c r="U23" s="83">
        <v>-33065</v>
      </c>
      <c r="V23" s="12">
        <v>1.0815992766823119</v>
      </c>
      <c r="W23" s="11">
        <v>1</v>
      </c>
      <c r="X23" s="83">
        <v>33065</v>
      </c>
      <c r="Y23" s="12">
        <v>185.60411311053986</v>
      </c>
      <c r="Z23" s="11">
        <v>1005.974293059126</v>
      </c>
      <c r="AA23" s="91">
        <v>9.4357562799731995E-2</v>
      </c>
      <c r="AB23" s="11">
        <v>0.49840440224611499</v>
      </c>
      <c r="AC23" s="11">
        <v>56447.669051125129</v>
      </c>
      <c r="AD23" s="85">
        <v>85.686131477930175</v>
      </c>
      <c r="AE23" s="11">
        <f>(Opti_Salidas__30_OOS[[#This Row],[All: TS Index]]-Z$47) /ABS(Z$47)</f>
        <v>-0.51082965812949788</v>
      </c>
      <c r="AF23" s="11">
        <f>(Opti_Salidas__30_OOS[[#This Row],[All: Expectancy Score]]-AA$47) /ABS(AA$47)</f>
        <v>-0.86750199493439872</v>
      </c>
      <c r="AG23" s="11"/>
      <c r="AH23" s="11">
        <f>(Opti_Salidas__30_OOS[[#This Row],[All: Perfect Profit Correlation]]-AC$47) /ABS(AC$47)</f>
        <v>-0.50875712954603747</v>
      </c>
      <c r="AI23" s="11">
        <f>(Opti_Salidas__30_OOS[[#This Row],[All: Robustness Index]]-AD$47) /ABS(AD$47)</f>
        <v>-0.80627623097732304</v>
      </c>
      <c r="AJ23" s="11">
        <f>SUM(Opti_Salidas__30_OOS[[#This Row],[VAR TS Index]:[VAR Robustness Index]])</f>
        <v>-2.6933650135872571</v>
      </c>
      <c r="AK23" s="11">
        <f>Opti_Salidas__30_OOS[[#This Row],[SUMA]]-Opti_Salidas__30_OOS[[#This Row],[VAR Robustness Index]]</f>
        <v>-1.8870887826099341</v>
      </c>
      <c r="AL23" s="11"/>
    </row>
    <row r="24" spans="1:38" x14ac:dyDescent="0.25">
      <c r="A24" s="11"/>
      <c r="B24" s="83">
        <v>10</v>
      </c>
      <c r="C24" s="83">
        <v>11</v>
      </c>
      <c r="D24" s="83">
        <v>16340</v>
      </c>
      <c r="E24" s="10">
        <v>604070</v>
      </c>
      <c r="F24" s="10">
        <v>-587730</v>
      </c>
      <c r="G24" s="10">
        <v>1581</v>
      </c>
      <c r="H24" s="83">
        <v>40.79696394686907</v>
      </c>
      <c r="I24" s="11">
        <v>645</v>
      </c>
      <c r="J24" s="83">
        <v>923</v>
      </c>
      <c r="K24" s="83">
        <v>10570</v>
      </c>
      <c r="L24" s="12">
        <v>-5640</v>
      </c>
      <c r="M24" s="12">
        <v>936.54266357421875</v>
      </c>
      <c r="N24" s="12">
        <v>-636.76055908203125</v>
      </c>
      <c r="O24" s="12">
        <v>1.4707925141035121</v>
      </c>
      <c r="P24" s="11">
        <v>10.335230866540165</v>
      </c>
      <c r="Q24" s="13">
        <v>10</v>
      </c>
      <c r="R24" s="83">
        <v>10</v>
      </c>
      <c r="S24" s="83">
        <v>21</v>
      </c>
      <c r="T24" s="83">
        <v>14</v>
      </c>
      <c r="U24" s="83">
        <v>-32025</v>
      </c>
      <c r="V24" s="12">
        <v>1.02780188181648</v>
      </c>
      <c r="W24" s="11">
        <v>1</v>
      </c>
      <c r="X24" s="83">
        <v>32025</v>
      </c>
      <c r="Y24" s="12">
        <v>51.022638563622174</v>
      </c>
      <c r="Z24" s="11">
        <v>329.09601873536297</v>
      </c>
      <c r="AA24" s="91">
        <v>1.1000065818775001E-2</v>
      </c>
      <c r="AB24" s="11">
        <v>0.119001355685962</v>
      </c>
      <c r="AC24" s="11">
        <v>13863.862319327316</v>
      </c>
      <c r="AD24" s="85">
        <v>442.31088374034221</v>
      </c>
      <c r="AE24" s="11">
        <f>(Opti_Salidas__30_OOS[[#This Row],[All: TS Index]]-Z$47) /ABS(Z$47)</f>
        <v>-0.8399720419261878</v>
      </c>
      <c r="AF24" s="11">
        <f>(Opti_Salidas__30_OOS[[#This Row],[All: Expectancy Score]]-AA$47) /ABS(AA$47)</f>
        <v>-0.9845535775476586</v>
      </c>
      <c r="AG24" s="11"/>
      <c r="AH24" s="11">
        <f>(Opti_Salidas__30_OOS[[#This Row],[All: Perfect Profit Correlation]]-AC$47) /ABS(AC$47)</f>
        <v>-0.87934801142706998</v>
      </c>
      <c r="AI24" s="11">
        <f>(Opti_Salidas__30_OOS[[#This Row],[All: Robustness Index]]-AD$47) /ABS(AD$47)</f>
        <v>0</v>
      </c>
      <c r="AJ24" s="11">
        <f>SUM(Opti_Salidas__30_OOS[[#This Row],[VAR TS Index]:[VAR Robustness Index]])</f>
        <v>-2.7038736309009161</v>
      </c>
      <c r="AK24" s="11">
        <f>Opti_Salidas__30_OOS[[#This Row],[SUMA]]-Opti_Salidas__30_OOS[[#This Row],[VAR Robustness Index]]</f>
        <v>-2.7038736309009161</v>
      </c>
      <c r="AL24" s="11"/>
    </row>
    <row r="25" spans="1:38" x14ac:dyDescent="0.25">
      <c r="A25" s="11"/>
      <c r="B25" s="83">
        <v>5</v>
      </c>
      <c r="C25" s="83">
        <v>6</v>
      </c>
      <c r="D25" s="83">
        <v>51320</v>
      </c>
      <c r="E25" s="10">
        <v>805210</v>
      </c>
      <c r="F25" s="10">
        <v>-753890</v>
      </c>
      <c r="G25" s="10">
        <v>1581</v>
      </c>
      <c r="H25" s="83">
        <v>34.282099936748892</v>
      </c>
      <c r="I25" s="11">
        <v>542</v>
      </c>
      <c r="J25" s="83">
        <v>1032</v>
      </c>
      <c r="K25" s="83">
        <v>3510</v>
      </c>
      <c r="L25" s="12">
        <v>-5640</v>
      </c>
      <c r="M25" s="12">
        <v>1485.6273193359375</v>
      </c>
      <c r="N25" s="12">
        <v>-730.5135498046875</v>
      </c>
      <c r="O25" s="12">
        <v>2.0336752408400089</v>
      </c>
      <c r="P25" s="11">
        <v>32.460468058191019</v>
      </c>
      <c r="Q25" s="13">
        <v>9</v>
      </c>
      <c r="R25" s="83">
        <v>12</v>
      </c>
      <c r="S25" s="83">
        <v>51</v>
      </c>
      <c r="T25" s="83">
        <v>24</v>
      </c>
      <c r="U25" s="83">
        <v>-32145</v>
      </c>
      <c r="V25" s="12">
        <v>1.0680735916380371</v>
      </c>
      <c r="W25" s="11">
        <v>1</v>
      </c>
      <c r="X25" s="83">
        <v>32145</v>
      </c>
      <c r="Y25" s="12">
        <v>159.65157878363664</v>
      </c>
      <c r="Z25" s="11">
        <v>865.31155700731063</v>
      </c>
      <c r="AA25" s="91">
        <v>7.8024625022310001E-2</v>
      </c>
      <c r="AB25" s="11">
        <v>0.40200839620343998</v>
      </c>
      <c r="AC25" s="11">
        <v>46358.457274139597</v>
      </c>
      <c r="AD25" s="85">
        <v>74.516699450475855</v>
      </c>
      <c r="AE25" s="11">
        <f>(Opti_Salidas__30_OOS[[#This Row],[All: TS Index]]-Z$47) /ABS(Z$47)</f>
        <v>-0.57922905874804098</v>
      </c>
      <c r="AF25" s="11">
        <f>(Opti_Salidas__30_OOS[[#This Row],[All: Expectancy Score]]-AA$47) /ABS(AA$47)</f>
        <v>-0.89043689922990432</v>
      </c>
      <c r="AG25" s="11"/>
      <c r="AH25" s="11">
        <f>(Opti_Salidas__30_OOS[[#This Row],[All: Perfect Profit Correlation]]-AC$47) /ABS(AC$47)</f>
        <v>-0.59655975164289288</v>
      </c>
      <c r="AI25" s="11">
        <f>(Opti_Salidas__30_OOS[[#This Row],[All: Robustness Index]]-AD$47) /ABS(AD$47)</f>
        <v>-0.83152867770212779</v>
      </c>
      <c r="AJ25" s="11">
        <f>SUM(Opti_Salidas__30_OOS[[#This Row],[VAR TS Index]:[VAR Robustness Index]])</f>
        <v>-2.8977543873229661</v>
      </c>
      <c r="AK25" s="11">
        <f>Opti_Salidas__30_OOS[[#This Row],[SUMA]]-Opti_Salidas__30_OOS[[#This Row],[VAR Robustness Index]]</f>
        <v>-2.0662257096208383</v>
      </c>
      <c r="AL25" s="11"/>
    </row>
    <row r="26" spans="1:38" x14ac:dyDescent="0.25">
      <c r="A26" s="11"/>
      <c r="B26" s="83">
        <v>8</v>
      </c>
      <c r="C26" s="83">
        <v>9</v>
      </c>
      <c r="D26" s="83">
        <v>41710</v>
      </c>
      <c r="E26" s="10">
        <v>724600</v>
      </c>
      <c r="F26" s="10">
        <v>-682890</v>
      </c>
      <c r="G26" s="10">
        <v>1581</v>
      </c>
      <c r="H26" s="83">
        <v>33.206831119544589</v>
      </c>
      <c r="I26" s="11">
        <v>525</v>
      </c>
      <c r="J26" s="83">
        <v>1051</v>
      </c>
      <c r="K26" s="83">
        <v>13980</v>
      </c>
      <c r="L26" s="12">
        <v>-4270</v>
      </c>
      <c r="M26" s="12">
        <v>1380.1904296875</v>
      </c>
      <c r="N26" s="12">
        <v>-649.75262451171875</v>
      </c>
      <c r="O26" s="12">
        <v>2.1241783066666282</v>
      </c>
      <c r="P26" s="11">
        <v>26.382036685641999</v>
      </c>
      <c r="Q26" s="13">
        <v>7</v>
      </c>
      <c r="R26" s="83">
        <v>13</v>
      </c>
      <c r="S26" s="83">
        <v>57</v>
      </c>
      <c r="T26" s="83">
        <v>20</v>
      </c>
      <c r="U26" s="83">
        <v>-26585</v>
      </c>
      <c r="V26" s="12">
        <v>1.0610786510272521</v>
      </c>
      <c r="W26" s="11">
        <v>1</v>
      </c>
      <c r="X26" s="83">
        <v>26585</v>
      </c>
      <c r="Y26" s="12">
        <v>156.8929847658454</v>
      </c>
      <c r="Z26" s="11">
        <v>823.6881700206884</v>
      </c>
      <c r="AA26" s="91">
        <v>6.4546781416762997E-2</v>
      </c>
      <c r="AB26" s="11">
        <v>0.31150277991601399</v>
      </c>
      <c r="AC26" s="11">
        <v>36274.537111579892</v>
      </c>
      <c r="AD26" s="85">
        <v>78.665284583748047</v>
      </c>
      <c r="AE26" s="11">
        <f>(Opti_Salidas__30_OOS[[#This Row],[All: TS Index]]-Z$47) /ABS(Z$47)</f>
        <v>-0.59946906545848822</v>
      </c>
      <c r="AF26" s="11">
        <f>(Opti_Salidas__30_OOS[[#This Row],[All: Expectancy Score]]-AA$47) /ABS(AA$47)</f>
        <v>-0.90936264653975563</v>
      </c>
      <c r="AG26" s="11"/>
      <c r="AH26" s="11">
        <f>(Opti_Salidas__30_OOS[[#This Row],[All: Perfect Profit Correlation]]-AC$47) /ABS(AC$47)</f>
        <v>-0.68431632280613874</v>
      </c>
      <c r="AI26" s="11">
        <f>(Opti_Salidas__30_OOS[[#This Row],[All: Robustness Index]]-AD$47) /ABS(AD$47)</f>
        <v>-0.82214933551142644</v>
      </c>
      <c r="AJ26" s="11">
        <f>SUM(Opti_Salidas__30_OOS[[#This Row],[VAR TS Index]:[VAR Robustness Index]])</f>
        <v>-3.0152973703158086</v>
      </c>
      <c r="AK26" s="11">
        <f>Opti_Salidas__30_OOS[[#This Row],[SUMA]]-Opti_Salidas__30_OOS[[#This Row],[VAR Robustness Index]]</f>
        <v>-2.1931480348043824</v>
      </c>
      <c r="AL26" s="11"/>
    </row>
    <row r="27" spans="1:38" x14ac:dyDescent="0.25">
      <c r="A27" s="11"/>
      <c r="B27" s="83">
        <v>22</v>
      </c>
      <c r="C27" s="83">
        <v>23</v>
      </c>
      <c r="D27" s="83">
        <v>5480</v>
      </c>
      <c r="E27" s="10">
        <v>292740</v>
      </c>
      <c r="F27" s="10">
        <v>-287260</v>
      </c>
      <c r="G27" s="10">
        <v>1581</v>
      </c>
      <c r="H27" s="83">
        <v>56.040480708412396</v>
      </c>
      <c r="I27" s="11">
        <v>886</v>
      </c>
      <c r="J27" s="83">
        <v>678</v>
      </c>
      <c r="K27" s="83">
        <v>2990</v>
      </c>
      <c r="L27" s="12">
        <v>-4440</v>
      </c>
      <c r="M27" s="12">
        <v>330.40631103515625</v>
      </c>
      <c r="N27" s="12">
        <v>-423.68731689453125</v>
      </c>
      <c r="O27" s="12">
        <v>0.77983526497066302</v>
      </c>
      <c r="P27" s="11">
        <v>3.4661606578115118</v>
      </c>
      <c r="Q27" s="13">
        <v>12</v>
      </c>
      <c r="R27" s="83">
        <v>7</v>
      </c>
      <c r="S27" s="83">
        <v>7</v>
      </c>
      <c r="T27" s="83">
        <v>8</v>
      </c>
      <c r="U27" s="83">
        <v>-22425</v>
      </c>
      <c r="V27" s="12">
        <v>1.01907679454153</v>
      </c>
      <c r="W27" s="11">
        <v>1</v>
      </c>
      <c r="X27" s="83">
        <v>22425</v>
      </c>
      <c r="Y27" s="12">
        <v>24.43701226309922</v>
      </c>
      <c r="Z27" s="11">
        <v>216.51192865105909</v>
      </c>
      <c r="AA27" s="91">
        <v>0.21422326314009599</v>
      </c>
      <c r="AB27" s="11">
        <v>6.6773611970824001E-2</v>
      </c>
      <c r="AC27" s="11">
        <v>3561.4635261127232</v>
      </c>
      <c r="AD27" s="85">
        <v>24.984065888092172</v>
      </c>
      <c r="AE27" s="11">
        <f>(Opti_Salidas__30_OOS[[#This Row],[All: TS Index]]-Z$47) /ABS(Z$47)</f>
        <v>-0.89471777272239361</v>
      </c>
      <c r="AF27" s="11">
        <f>(Opti_Salidas__30_OOS[[#This Row],[All: Expectancy Score]]-AA$47) /ABS(AA$47)</f>
        <v>-0.69918516160755795</v>
      </c>
      <c r="AG27" s="11"/>
      <c r="AH27" s="11">
        <f>(Opti_Salidas__30_OOS[[#This Row],[All: Perfect Profit Correlation]]-AC$47) /ABS(AC$47)</f>
        <v>-0.96900592008502373</v>
      </c>
      <c r="AI27" s="11">
        <f>(Opti_Salidas__30_OOS[[#This Row],[All: Robustness Index]]-AD$47) /ABS(AD$47)</f>
        <v>-0.94351469338303906</v>
      </c>
      <c r="AJ27" s="11">
        <f>SUM(Opti_Salidas__30_OOS[[#This Row],[VAR TS Index]:[VAR Robustness Index]])</f>
        <v>-3.5064235477980144</v>
      </c>
      <c r="AK27" s="11">
        <f>Opti_Salidas__30_OOS[[#This Row],[SUMA]]-Opti_Salidas__30_OOS[[#This Row],[VAR Robustness Index]]</f>
        <v>-2.5629088544149754</v>
      </c>
      <c r="AL27" s="11"/>
    </row>
    <row r="28" spans="1:38" x14ac:dyDescent="0.25">
      <c r="A28" s="11"/>
      <c r="B28" s="83">
        <v>11</v>
      </c>
      <c r="C28" s="83">
        <v>12</v>
      </c>
      <c r="D28" s="83">
        <v>19770</v>
      </c>
      <c r="E28" s="10">
        <v>767750</v>
      </c>
      <c r="F28" s="10">
        <v>-747980</v>
      </c>
      <c r="G28" s="10">
        <v>1580</v>
      </c>
      <c r="H28" s="83">
        <v>34.303797468354432</v>
      </c>
      <c r="I28" s="11">
        <v>542</v>
      </c>
      <c r="J28" s="83">
        <v>1031</v>
      </c>
      <c r="K28" s="83">
        <v>5630</v>
      </c>
      <c r="L28" s="12">
        <v>-5370</v>
      </c>
      <c r="M28" s="12">
        <v>1416.512939453125</v>
      </c>
      <c r="N28" s="12">
        <v>-725.48980712890625</v>
      </c>
      <c r="O28" s="12">
        <v>1.952491855204572</v>
      </c>
      <c r="P28" s="11">
        <v>12.512658227848101</v>
      </c>
      <c r="Q28" s="13">
        <v>9</v>
      </c>
      <c r="R28" s="83">
        <v>12</v>
      </c>
      <c r="S28" s="83">
        <v>42</v>
      </c>
      <c r="T28" s="83">
        <v>23</v>
      </c>
      <c r="U28" s="83">
        <v>-38405</v>
      </c>
      <c r="V28" s="12">
        <v>1.026431187999679</v>
      </c>
      <c r="W28" s="11">
        <v>1</v>
      </c>
      <c r="X28" s="83">
        <v>38405</v>
      </c>
      <c r="Y28" s="12">
        <v>51.477672178101813</v>
      </c>
      <c r="Z28" s="11">
        <v>279.00898320531184</v>
      </c>
      <c r="AA28" s="91">
        <v>2.5674783408732998E-2</v>
      </c>
      <c r="AB28" s="11">
        <v>0.100872031514302</v>
      </c>
      <c r="AC28" s="11">
        <v>8003.5468324672356</v>
      </c>
      <c r="AD28" s="85">
        <v>31.694017920768776</v>
      </c>
      <c r="AE28" s="11">
        <f>(Opti_Salidas__30_OOS[[#This Row],[All: TS Index]]-Z$47) /ABS(Z$47)</f>
        <v>-0.86432762681793329</v>
      </c>
      <c r="AF28" s="11">
        <f>(Opti_Salidas__30_OOS[[#This Row],[All: Expectancy Score]]-AA$47) /ABS(AA$47)</f>
        <v>-0.96394716564088512</v>
      </c>
      <c r="AG28" s="11"/>
      <c r="AH28" s="11">
        <f>(Opti_Salidas__30_OOS[[#This Row],[All: Perfect Profit Correlation]]-AC$47) /ABS(AC$47)</f>
        <v>-0.93034813685162154</v>
      </c>
      <c r="AI28" s="11">
        <f>(Opti_Salidas__30_OOS[[#This Row],[All: Robustness Index]]-AD$47) /ABS(AD$47)</f>
        <v>-0.92834447650767127</v>
      </c>
      <c r="AJ28" s="11">
        <f>SUM(Opti_Salidas__30_OOS[[#This Row],[VAR TS Index]:[VAR Robustness Index]])</f>
        <v>-3.6869674058181112</v>
      </c>
      <c r="AK28" s="11">
        <f>Opti_Salidas__30_OOS[[#This Row],[SUMA]]-Opti_Salidas__30_OOS[[#This Row],[VAR Robustness Index]]</f>
        <v>-2.7586229293104401</v>
      </c>
      <c r="AL28" s="11"/>
    </row>
    <row r="29" spans="1:38" x14ac:dyDescent="0.25">
      <c r="A29" s="11"/>
      <c r="B29" s="83">
        <v>18</v>
      </c>
      <c r="C29" s="83">
        <v>19</v>
      </c>
      <c r="D29" s="83">
        <v>8750</v>
      </c>
      <c r="E29" s="10">
        <v>718190</v>
      </c>
      <c r="F29" s="10">
        <v>-709440</v>
      </c>
      <c r="G29" s="10">
        <v>1581</v>
      </c>
      <c r="H29" s="83">
        <v>31.562302340290955</v>
      </c>
      <c r="I29" s="11">
        <v>499</v>
      </c>
      <c r="J29" s="83">
        <v>1074</v>
      </c>
      <c r="K29" s="83">
        <v>3510</v>
      </c>
      <c r="L29" s="12">
        <v>-4630</v>
      </c>
      <c r="M29" s="12">
        <v>1439.258544921875</v>
      </c>
      <c r="N29" s="12">
        <v>-660.55865478515625</v>
      </c>
      <c r="O29" s="12">
        <v>2.1788504843525018</v>
      </c>
      <c r="P29" s="11">
        <v>5.5344718532574317</v>
      </c>
      <c r="Q29" s="13">
        <v>9</v>
      </c>
      <c r="R29" s="83">
        <v>14</v>
      </c>
      <c r="S29" s="83">
        <v>49</v>
      </c>
      <c r="T29" s="83">
        <v>21</v>
      </c>
      <c r="U29" s="83">
        <v>-39625</v>
      </c>
      <c r="V29" s="12">
        <v>1.0123336716283271</v>
      </c>
      <c r="W29" s="11">
        <v>1</v>
      </c>
      <c r="X29" s="83">
        <v>39625</v>
      </c>
      <c r="Y29" s="12">
        <v>22.082018927444796</v>
      </c>
      <c r="Z29" s="11">
        <v>110.18927444794953</v>
      </c>
      <c r="AA29" s="91">
        <v>1.5455551463658001E-2</v>
      </c>
      <c r="AB29" s="11">
        <v>-1.7528116777928999E-2</v>
      </c>
      <c r="AC29" s="11">
        <v>3585.1504556216378</v>
      </c>
      <c r="AD29" s="85">
        <v>15.442819218616036</v>
      </c>
      <c r="AE29" s="11">
        <f>(Opti_Salidas__30_OOS[[#This Row],[All: TS Index]]-Z$47) /ABS(Z$47)</f>
        <v>-0.94641878482972519</v>
      </c>
      <c r="AF29" s="11">
        <f>(Opti_Salidas__30_OOS[[#This Row],[All: Expectancy Score]]-AA$47) /ABS(AA$47)</f>
        <v>-0.97829713193769319</v>
      </c>
      <c r="AG29" s="11"/>
      <c r="AH29" s="11">
        <f>(Opti_Salidas__30_OOS[[#This Row],[All: Perfect Profit Correlation]]-AC$47) /ABS(AC$47)</f>
        <v>-0.96879978163077396</v>
      </c>
      <c r="AI29" s="11">
        <f>(Opti_Salidas__30_OOS[[#This Row],[All: Robustness Index]]-AD$47) /ABS(AD$47)</f>
        <v>-0.9650860519460297</v>
      </c>
      <c r="AJ29" s="11">
        <f>SUM(Opti_Salidas__30_OOS[[#This Row],[VAR TS Index]:[VAR Robustness Index]])</f>
        <v>-3.858601750344222</v>
      </c>
      <c r="AK29" s="11">
        <f>Opti_Salidas__30_OOS[[#This Row],[SUMA]]-Opti_Salidas__30_OOS[[#This Row],[VAR Robustness Index]]</f>
        <v>-2.8935156983981924</v>
      </c>
      <c r="AL29" s="11"/>
    </row>
    <row r="30" spans="1:38" x14ac:dyDescent="0.25">
      <c r="A30" s="11"/>
      <c r="B30" s="83">
        <v>31</v>
      </c>
      <c r="C30" s="83">
        <v>32</v>
      </c>
      <c r="D30" s="83">
        <v>4690</v>
      </c>
      <c r="E30" s="10">
        <v>713410</v>
      </c>
      <c r="F30" s="10">
        <v>-708720</v>
      </c>
      <c r="G30" s="10">
        <v>1580</v>
      </c>
      <c r="H30" s="83">
        <v>31.708860759493671</v>
      </c>
      <c r="I30" s="11">
        <v>501</v>
      </c>
      <c r="J30" s="83">
        <v>1074</v>
      </c>
      <c r="K30" s="83">
        <v>5830</v>
      </c>
      <c r="L30" s="12">
        <v>-3490</v>
      </c>
      <c r="M30" s="12">
        <v>1423.9720458984375</v>
      </c>
      <c r="N30" s="12">
        <v>-659.88824462890625</v>
      </c>
      <c r="O30" s="12">
        <v>2.1578987919374439</v>
      </c>
      <c r="P30" s="11">
        <v>2.9683544303797471</v>
      </c>
      <c r="Q30" s="13">
        <v>5</v>
      </c>
      <c r="R30" s="83">
        <v>13</v>
      </c>
      <c r="S30" s="83">
        <v>42</v>
      </c>
      <c r="T30" s="83">
        <v>20</v>
      </c>
      <c r="U30" s="83">
        <v>-41135</v>
      </c>
      <c r="V30" s="12">
        <v>1.006617564059149</v>
      </c>
      <c r="W30" s="11">
        <v>1</v>
      </c>
      <c r="X30" s="83">
        <v>41135</v>
      </c>
      <c r="Y30" s="12">
        <v>11.401482922085815</v>
      </c>
      <c r="Z30" s="11">
        <v>57.12142943964993</v>
      </c>
      <c r="AA30" s="91">
        <v>-2.4116111987700002E-3</v>
      </c>
      <c r="AB30" s="11">
        <v>-5.5569900152178997E-2</v>
      </c>
      <c r="AC30" s="11">
        <v>-619.61292550678604</v>
      </c>
      <c r="AD30" s="85">
        <v>7.9961171203183481</v>
      </c>
      <c r="AE30" s="11">
        <f>(Opti_Salidas__30_OOS[[#This Row],[All: TS Index]]-Z$47) /ABS(Z$47)</f>
        <v>-0.97222383378987298</v>
      </c>
      <c r="AF30" s="11">
        <f>(Opti_Salidas__30_OOS[[#This Row],[All: Expectancy Score]]-AA$47) /ABS(AA$47)</f>
        <v>-1.0033864129524952</v>
      </c>
      <c r="AG30" s="11"/>
      <c r="AH30" s="11">
        <f>(Opti_Salidas__30_OOS[[#This Row],[All: Perfect Profit Correlation]]-AC$47) /ABS(AC$47)</f>
        <v>-1.0053922586567861</v>
      </c>
      <c r="AI30" s="11">
        <f>(Opti_Salidas__30_OOS[[#This Row],[All: Robustness Index]]-AD$47) /ABS(AD$47)</f>
        <v>-0.98192195260333581</v>
      </c>
      <c r="AJ30" s="11">
        <f>SUM(Opti_Salidas__30_OOS[[#This Row],[VAR TS Index]:[VAR Robustness Index]])</f>
        <v>-3.9629244580024903</v>
      </c>
      <c r="AK30" s="11">
        <f>Opti_Salidas__30_OOS[[#This Row],[SUMA]]-Opti_Salidas__30_OOS[[#This Row],[VAR Robustness Index]]</f>
        <v>-2.9810025053991547</v>
      </c>
      <c r="AL30" s="11"/>
    </row>
    <row r="31" spans="1:38" x14ac:dyDescent="0.25">
      <c r="A31" s="11"/>
      <c r="B31" s="83">
        <v>13</v>
      </c>
      <c r="C31" s="83">
        <v>14</v>
      </c>
      <c r="D31" s="83">
        <v>2080</v>
      </c>
      <c r="E31" s="10">
        <v>293060</v>
      </c>
      <c r="F31" s="10">
        <v>-290980</v>
      </c>
      <c r="G31" s="10">
        <v>1581</v>
      </c>
      <c r="H31" s="83">
        <v>56.103731815306766</v>
      </c>
      <c r="I31" s="11">
        <v>887</v>
      </c>
      <c r="J31" s="83">
        <v>677</v>
      </c>
      <c r="K31" s="83">
        <v>2990</v>
      </c>
      <c r="L31" s="12">
        <v>-5640</v>
      </c>
      <c r="M31" s="12">
        <v>330.39459228515625</v>
      </c>
      <c r="N31" s="12">
        <v>-429.8079833984375</v>
      </c>
      <c r="O31" s="12">
        <v>0.76870278135079695</v>
      </c>
      <c r="P31" s="11">
        <v>1.31562302340291</v>
      </c>
      <c r="Q31" s="13">
        <v>12</v>
      </c>
      <c r="R31" s="83">
        <v>7</v>
      </c>
      <c r="S31" s="83">
        <v>7</v>
      </c>
      <c r="T31" s="83">
        <v>8</v>
      </c>
      <c r="U31" s="83">
        <v>-23695</v>
      </c>
      <c r="V31" s="12">
        <v>1.0071482576122071</v>
      </c>
      <c r="W31" s="11">
        <v>1</v>
      </c>
      <c r="X31" s="83">
        <v>23695</v>
      </c>
      <c r="Y31" s="12">
        <v>8.7782232538510243</v>
      </c>
      <c r="Z31" s="11">
        <v>77.862840261658576</v>
      </c>
      <c r="AA31" s="91">
        <v>-7.6448454085667999E-2</v>
      </c>
      <c r="AB31" s="11">
        <v>3.4232780953342999E-2</v>
      </c>
      <c r="AC31" s="11">
        <v>1063.7487617990212</v>
      </c>
      <c r="AD31" s="85">
        <v>9.0447279018112123</v>
      </c>
      <c r="AE31" s="11">
        <f>(Opti_Salidas__30_OOS[[#This Row],[All: TS Index]]-Z$47) /ABS(Z$47)</f>
        <v>-0.96213800645543412</v>
      </c>
      <c r="AF31" s="11">
        <f>(Opti_Salidas__30_OOS[[#This Row],[All: Expectancy Score]]-AA$47) /ABS(AA$47)</f>
        <v>-1.107349822909256</v>
      </c>
      <c r="AG31" s="11"/>
      <c r="AH31" s="11">
        <f>(Opti_Salidas__30_OOS[[#This Row],[All: Perfect Profit Correlation]]-AC$47) /ABS(AC$47)</f>
        <v>-0.99074259391092456</v>
      </c>
      <c r="AI31" s="11">
        <f>(Opti_Salidas__30_OOS[[#This Row],[All: Robustness Index]]-AD$47) /ABS(AD$47)</f>
        <v>-0.97955119750767672</v>
      </c>
      <c r="AJ31" s="11">
        <f>SUM(Opti_Salidas__30_OOS[[#This Row],[VAR TS Index]:[VAR Robustness Index]])</f>
        <v>-4.0397816207832911</v>
      </c>
      <c r="AK31" s="11">
        <f>Opti_Salidas__30_OOS[[#This Row],[SUMA]]-Opti_Salidas__30_OOS[[#This Row],[VAR Robustness Index]]</f>
        <v>-3.0602304232756143</v>
      </c>
      <c r="AL31" s="11"/>
    </row>
    <row r="32" spans="1:38" x14ac:dyDescent="0.25">
      <c r="A32" s="11"/>
      <c r="B32" s="83">
        <v>32</v>
      </c>
      <c r="C32" s="83">
        <v>33</v>
      </c>
      <c r="D32" s="83">
        <v>4690</v>
      </c>
      <c r="E32" s="10">
        <v>546730</v>
      </c>
      <c r="F32" s="10">
        <v>-542040</v>
      </c>
      <c r="G32" s="10">
        <v>1581</v>
      </c>
      <c r="H32" s="83">
        <v>27.640733712839975</v>
      </c>
      <c r="I32" s="11">
        <v>437</v>
      </c>
      <c r="J32" s="83">
        <v>1132</v>
      </c>
      <c r="K32" s="83">
        <v>15630</v>
      </c>
      <c r="L32" s="12">
        <v>-3420</v>
      </c>
      <c r="M32" s="12">
        <v>1251.098388671875</v>
      </c>
      <c r="N32" s="12">
        <v>-478.83392333984375</v>
      </c>
      <c r="O32" s="12">
        <v>2.6128023260038131</v>
      </c>
      <c r="P32" s="11">
        <v>2.966476913345983</v>
      </c>
      <c r="Q32" s="13">
        <v>6</v>
      </c>
      <c r="R32" s="83">
        <v>16</v>
      </c>
      <c r="S32" s="83">
        <v>51</v>
      </c>
      <c r="T32" s="83">
        <v>13</v>
      </c>
      <c r="U32" s="83">
        <v>-50485</v>
      </c>
      <c r="V32" s="12">
        <v>1.0086524979706299</v>
      </c>
      <c r="W32" s="11">
        <v>1</v>
      </c>
      <c r="X32" s="83">
        <v>50485</v>
      </c>
      <c r="Y32" s="12">
        <v>9.2898880855699719</v>
      </c>
      <c r="Z32" s="11">
        <v>40.596810933940773</v>
      </c>
      <c r="AA32" s="91">
        <v>-0.12292580406829701</v>
      </c>
      <c r="AB32" s="11">
        <v>-5.3531759544499E-2</v>
      </c>
      <c r="AC32" s="11">
        <v>-59.978792863882312</v>
      </c>
      <c r="AD32" s="85">
        <v>23.697457537608685</v>
      </c>
      <c r="AE32" s="11">
        <f>(Opti_Salidas__30_OOS[[#This Row],[All: TS Index]]-Z$47) /ABS(Z$47)</f>
        <v>-0.98025918155123204</v>
      </c>
      <c r="AF32" s="11">
        <f>(Opti_Salidas__30_OOS[[#This Row],[All: Expectancy Score]]-AA$47) /ABS(AA$47)</f>
        <v>-1.1726138671544895</v>
      </c>
      <c r="AG32" s="11"/>
      <c r="AH32" s="11">
        <f>(Opti_Salidas__30_OOS[[#This Row],[All: Perfect Profit Correlation]]-AC$47) /ABS(AC$47)</f>
        <v>-1.0005219729152346</v>
      </c>
      <c r="AI32" s="11">
        <f>(Opti_Salidas__30_OOS[[#This Row],[All: Robustness Index]]-AD$47) /ABS(AD$47)</f>
        <v>-0.94642352605657287</v>
      </c>
      <c r="AJ32" s="11">
        <f>SUM(Opti_Salidas__30_OOS[[#This Row],[VAR TS Index]:[VAR Robustness Index]])</f>
        <v>-4.0998185476775291</v>
      </c>
      <c r="AK32" s="11">
        <f>Opti_Salidas__30_OOS[[#This Row],[SUMA]]-Opti_Salidas__30_OOS[[#This Row],[VAR Robustness Index]]</f>
        <v>-3.1533950216209563</v>
      </c>
      <c r="AL32" s="11"/>
    </row>
    <row r="33" spans="1:38" x14ac:dyDescent="0.25">
      <c r="A33" s="11"/>
      <c r="B33" s="83">
        <v>23</v>
      </c>
      <c r="C33" s="83">
        <v>24</v>
      </c>
      <c r="D33" s="83">
        <v>-18700</v>
      </c>
      <c r="E33" s="10">
        <v>390390</v>
      </c>
      <c r="F33" s="10">
        <v>-409090</v>
      </c>
      <c r="G33" s="10">
        <v>1580</v>
      </c>
      <c r="H33" s="83">
        <v>31.835443037974684</v>
      </c>
      <c r="I33" s="11">
        <v>503</v>
      </c>
      <c r="J33" s="83">
        <v>1058</v>
      </c>
      <c r="K33" s="83">
        <v>9760</v>
      </c>
      <c r="L33" s="12">
        <v>-4170</v>
      </c>
      <c r="M33" s="12">
        <v>776.12322998046875</v>
      </c>
      <c r="N33" s="12">
        <v>-386.66351318359375</v>
      </c>
      <c r="O33" s="12">
        <v>2.0072316200467402</v>
      </c>
      <c r="P33" s="11">
        <v>-11.835443037974683</v>
      </c>
      <c r="Q33" s="13">
        <v>7</v>
      </c>
      <c r="R33" s="83">
        <v>14</v>
      </c>
      <c r="S33" s="83">
        <v>17</v>
      </c>
      <c r="T33" s="83">
        <v>8</v>
      </c>
      <c r="U33" s="83">
        <v>-41655</v>
      </c>
      <c r="V33" s="12">
        <v>0.95428878730841604</v>
      </c>
      <c r="W33" s="11">
        <v>1</v>
      </c>
      <c r="X33" s="83">
        <v>41655</v>
      </c>
      <c r="Y33" s="12">
        <v>-44.892569919577483</v>
      </c>
      <c r="Z33" s="11">
        <v>-225.80962669547472</v>
      </c>
      <c r="AA33" s="91">
        <v>-0.106269256702669</v>
      </c>
      <c r="AB33" s="11">
        <v>-0.235296596257003</v>
      </c>
      <c r="AC33" s="11">
        <v>-13477.41090997669</v>
      </c>
      <c r="AD33" s="85">
        <v>-111.33947846842362</v>
      </c>
      <c r="AE33" s="11">
        <f>(Opti_Salidas__30_OOS[[#This Row],[All: TS Index]]-Z$47) /ABS(Z$47)</f>
        <v>-1.1098033747486464</v>
      </c>
      <c r="AF33" s="11">
        <f>(Opti_Salidas__30_OOS[[#This Row],[All: Expectancy Score]]-AA$47) /ABS(AA$47)</f>
        <v>-1.1492245464498996</v>
      </c>
      <c r="AG33" s="11"/>
      <c r="AH33" s="11">
        <f>(Opti_Salidas__30_OOS[[#This Row],[All: Perfect Profit Correlation]]-AC$47) /ABS(AC$47)</f>
        <v>-1.1172888470506743</v>
      </c>
      <c r="AI33" s="11">
        <f>(Opti_Salidas__30_OOS[[#This Row],[All: Robustness Index]]-AD$47) /ABS(AD$47)</f>
        <v>-1.2517222219966562</v>
      </c>
      <c r="AJ33" s="11">
        <f>SUM(Opti_Salidas__30_OOS[[#This Row],[VAR TS Index]:[VAR Robustness Index]])</f>
        <v>-4.6280389902458765</v>
      </c>
      <c r="AK33" s="11">
        <f>Opti_Salidas__30_OOS[[#This Row],[SUMA]]-Opti_Salidas__30_OOS[[#This Row],[VAR Robustness Index]]</f>
        <v>-3.3763167682492203</v>
      </c>
      <c r="AL33" s="11"/>
    </row>
    <row r="34" spans="1:38" x14ac:dyDescent="0.25">
      <c r="A34" s="11"/>
      <c r="B34" s="83">
        <v>21</v>
      </c>
      <c r="C34" s="83">
        <v>22</v>
      </c>
      <c r="D34" s="83">
        <v>-14280</v>
      </c>
      <c r="E34" s="10">
        <v>241440</v>
      </c>
      <c r="F34" s="10">
        <v>-255720</v>
      </c>
      <c r="G34" s="10">
        <v>1581</v>
      </c>
      <c r="H34" s="83">
        <v>51.486401012017708</v>
      </c>
      <c r="I34" s="11">
        <v>814</v>
      </c>
      <c r="J34" s="83">
        <v>750</v>
      </c>
      <c r="K34" s="83">
        <v>2990</v>
      </c>
      <c r="L34" s="12">
        <v>-5640</v>
      </c>
      <c r="M34" s="12">
        <v>296.60934448242188</v>
      </c>
      <c r="N34" s="12">
        <v>-340.95999145507813</v>
      </c>
      <c r="O34" s="12">
        <v>0.86992419027409695</v>
      </c>
      <c r="P34" s="11">
        <v>-9.0322580645161299</v>
      </c>
      <c r="Q34" s="13">
        <v>12</v>
      </c>
      <c r="R34" s="83">
        <v>9</v>
      </c>
      <c r="S34" s="83">
        <v>5</v>
      </c>
      <c r="T34" s="83">
        <v>6</v>
      </c>
      <c r="U34" s="83">
        <v>-27995</v>
      </c>
      <c r="V34" s="12">
        <v>0.94415767245424698</v>
      </c>
      <c r="W34" s="11">
        <v>1</v>
      </c>
      <c r="X34" s="83">
        <v>27995</v>
      </c>
      <c r="Y34" s="12">
        <v>-51.009108769423108</v>
      </c>
      <c r="Z34" s="11">
        <v>-415.21414538310415</v>
      </c>
      <c r="AA34" s="91">
        <v>-1.9405635446191609</v>
      </c>
      <c r="AB34" s="11">
        <v>-0.13404893460326001</v>
      </c>
      <c r="AC34" s="11">
        <v>-4263.2766884864441</v>
      </c>
      <c r="AD34" s="85">
        <v>-41.551894879083981</v>
      </c>
      <c r="AE34" s="11">
        <f>(Opti_Salidas__30_OOS[[#This Row],[All: TS Index]]-Z$47) /ABS(Z$47)</f>
        <v>-1.2019042105229856</v>
      </c>
      <c r="AF34" s="11">
        <f>(Opti_Salidas__30_OOS[[#This Row],[All: Expectancy Score]]-AA$47) /ABS(AA$47)</f>
        <v>-3.7249622683747519</v>
      </c>
      <c r="AG34" s="11"/>
      <c r="AH34" s="11">
        <f>(Opti_Salidas__30_OOS[[#This Row],[All: Perfect Profit Correlation]]-AC$47) /ABS(AC$47)</f>
        <v>-1.0371016963711064</v>
      </c>
      <c r="AI34" s="11">
        <f>(Opti_Salidas__30_OOS[[#This Row],[All: Robustness Index]]-AD$47) /ABS(AD$47)</f>
        <v>-1.0939427366735948</v>
      </c>
      <c r="AJ34" s="11">
        <f>SUM(Opti_Salidas__30_OOS[[#This Row],[VAR TS Index]:[VAR Robustness Index]])</f>
        <v>-7.0579109119424395</v>
      </c>
      <c r="AK34" s="11">
        <f>Opti_Salidas__30_OOS[[#This Row],[SUMA]]-Opti_Salidas__30_OOS[[#This Row],[VAR Robustness Index]]</f>
        <v>-5.9639681752688443</v>
      </c>
      <c r="AL34" s="11"/>
    </row>
    <row r="35" spans="1:38" x14ac:dyDescent="0.25">
      <c r="A35" s="11"/>
      <c r="B35" s="83"/>
      <c r="C35" s="83"/>
      <c r="D35" s="83"/>
      <c r="E35" s="10"/>
      <c r="F35" s="10"/>
      <c r="G35" s="10"/>
      <c r="H35" s="83"/>
      <c r="I35" s="11"/>
      <c r="J35" s="83"/>
      <c r="K35" s="83"/>
      <c r="L35" s="12"/>
      <c r="M35" s="12"/>
      <c r="N35" s="12"/>
      <c r="O35" s="12"/>
      <c r="P35" s="11"/>
      <c r="Q35" s="13"/>
      <c r="R35" s="83"/>
      <c r="S35" s="83"/>
      <c r="T35" s="83"/>
      <c r="U35" s="83"/>
      <c r="V35" s="12"/>
      <c r="W35" s="11"/>
      <c r="X35" s="83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83"/>
      <c r="C36" s="83"/>
      <c r="D36" s="83"/>
      <c r="E36" s="10"/>
      <c r="F36" s="10"/>
      <c r="G36" s="10"/>
      <c r="H36" s="83"/>
      <c r="I36" s="11"/>
      <c r="J36" s="83"/>
      <c r="K36" s="83"/>
      <c r="L36" s="12"/>
      <c r="M36" s="12"/>
      <c r="N36" s="12"/>
      <c r="O36" s="12"/>
      <c r="P36" s="11"/>
      <c r="Q36" s="13"/>
      <c r="R36" s="83"/>
      <c r="S36" s="83"/>
      <c r="T36" s="83"/>
      <c r="U36" s="83"/>
      <c r="V36" s="12"/>
      <c r="W36" s="11"/>
      <c r="X36" s="83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ht="30" customHeight="1" x14ac:dyDescent="0.25">
      <c r="A37" s="39" t="s">
        <v>36</v>
      </c>
      <c r="B37" s="40">
        <v>16</v>
      </c>
      <c r="C37" s="47"/>
      <c r="D37" s="48">
        <v>64199.393939393936</v>
      </c>
      <c r="E37" s="48">
        <v>741454.84848484851</v>
      </c>
      <c r="F37" s="48">
        <v>-677255.45454545459</v>
      </c>
      <c r="G37" s="40">
        <v>1580.8484848484848</v>
      </c>
      <c r="H37" s="40">
        <v>35.444801824116318</v>
      </c>
      <c r="I37" s="40">
        <v>560.33333333333337</v>
      </c>
      <c r="J37" s="40">
        <v>1012.2424242424242</v>
      </c>
      <c r="K37" s="49">
        <v>10520.90909090909</v>
      </c>
      <c r="L37" s="49">
        <v>-4992.727272727273</v>
      </c>
      <c r="M37" s="49">
        <v>1380.5423685709636</v>
      </c>
      <c r="N37" s="49">
        <v>-662.20793290571737</v>
      </c>
      <c r="O37" s="50">
        <v>2.040195287521037</v>
      </c>
      <c r="P37" s="49">
        <v>40.608646695620962</v>
      </c>
      <c r="Q37" s="40">
        <v>8.7878787878787872</v>
      </c>
      <c r="R37" s="40">
        <v>12.030303030303031</v>
      </c>
      <c r="S37" s="40">
        <v>53.81818181818182</v>
      </c>
      <c r="T37" s="40">
        <v>20.636363636363637</v>
      </c>
      <c r="U37" s="49">
        <v>-33128.030303030304</v>
      </c>
      <c r="V37" s="50">
        <v>1.0850722652799465</v>
      </c>
      <c r="W37" s="47"/>
      <c r="X37" s="47"/>
      <c r="Y37" s="40">
        <v>199.21110205310077</v>
      </c>
      <c r="Z37" s="47">
        <v>1065.9971156839085</v>
      </c>
      <c r="AA37" s="50">
        <v>3.3370203377770073E-2</v>
      </c>
      <c r="AB37" s="50">
        <v>0.53399163672515326</v>
      </c>
      <c r="AC37" s="50">
        <v>60784.576890818535</v>
      </c>
      <c r="AD37" s="50">
        <v>106.99079395325217</v>
      </c>
      <c r="AE37" s="11"/>
      <c r="AF37" s="11"/>
      <c r="AG37" s="11"/>
      <c r="AH37" s="11"/>
      <c r="AI37" s="11"/>
      <c r="AJ37" s="11"/>
      <c r="AK37" s="11"/>
      <c r="AL37" s="11"/>
    </row>
    <row r="38" spans="1:38" ht="30" customHeight="1" x14ac:dyDescent="0.25">
      <c r="A38" s="41" t="s">
        <v>37</v>
      </c>
      <c r="B38" s="42">
        <v>1.6832508230603462</v>
      </c>
      <c r="C38" s="51"/>
      <c r="D38" s="52">
        <v>7373.406478323448</v>
      </c>
      <c r="E38" s="52">
        <v>31967.834891287101</v>
      </c>
      <c r="F38" s="52">
        <v>26000.91027722857</v>
      </c>
      <c r="G38" s="42">
        <v>6.3383335343490568E-2</v>
      </c>
      <c r="H38" s="42">
        <v>1.1294108082556771</v>
      </c>
      <c r="I38" s="42">
        <v>17.860023216472307</v>
      </c>
      <c r="J38" s="42">
        <v>18.322915271833008</v>
      </c>
      <c r="K38" s="53">
        <v>883.95508031915199</v>
      </c>
      <c r="L38" s="53">
        <v>152.37592613340775</v>
      </c>
      <c r="M38" s="53">
        <v>67.423404321263078</v>
      </c>
      <c r="N38" s="53">
        <v>20.251951917099191</v>
      </c>
      <c r="O38" s="54">
        <v>7.5978305257935932E-2</v>
      </c>
      <c r="P38" s="53">
        <v>4.6639196673000551</v>
      </c>
      <c r="Q38" s="42">
        <v>0.27093264760981306</v>
      </c>
      <c r="R38" s="42">
        <v>0.32123356131991199</v>
      </c>
      <c r="S38" s="42">
        <v>3.538600601208906</v>
      </c>
      <c r="T38" s="42">
        <v>0.99793174545909791</v>
      </c>
      <c r="U38" s="53">
        <v>898.5323138875367</v>
      </c>
      <c r="V38" s="54">
        <v>1.024199887311807E-2</v>
      </c>
      <c r="W38" s="51"/>
      <c r="X38" s="51"/>
      <c r="Y38" s="42">
        <v>23.152269484849352</v>
      </c>
      <c r="Z38" s="51">
        <v>125.31240253641928</v>
      </c>
      <c r="AA38" s="54">
        <v>6.6070602237501552E-2</v>
      </c>
      <c r="AB38" s="54">
        <v>6.7622625073894327E-2</v>
      </c>
      <c r="AC38" s="55">
        <v>7245.640770817763</v>
      </c>
      <c r="AD38" s="54">
        <v>15.903006473981852</v>
      </c>
      <c r="AE38" s="11"/>
      <c r="AF38" s="11"/>
      <c r="AG38" s="11"/>
      <c r="AH38" s="11"/>
      <c r="AI38" s="11"/>
      <c r="AJ38" s="11"/>
      <c r="AK38" s="11"/>
      <c r="AL38" s="11"/>
    </row>
    <row r="39" spans="1:38" ht="30" customHeight="1" x14ac:dyDescent="0.25">
      <c r="A39" s="43" t="s">
        <v>38</v>
      </c>
      <c r="B39" s="44">
        <v>16</v>
      </c>
      <c r="C39" s="56"/>
      <c r="D39" s="57">
        <v>84160</v>
      </c>
      <c r="E39" s="57">
        <v>833180</v>
      </c>
      <c r="F39" s="57">
        <v>-750240</v>
      </c>
      <c r="G39" s="44">
        <v>1581</v>
      </c>
      <c r="H39" s="44">
        <v>34.029095509171412</v>
      </c>
      <c r="I39" s="44">
        <v>538</v>
      </c>
      <c r="J39" s="44">
        <v>1036</v>
      </c>
      <c r="K39" s="58">
        <v>10570</v>
      </c>
      <c r="L39" s="58">
        <v>-5640</v>
      </c>
      <c r="M39" s="58">
        <v>1561.3834228515625</v>
      </c>
      <c r="N39" s="58">
        <v>-722.91748046875</v>
      </c>
      <c r="O39" s="59">
        <v>2.1578987919374439</v>
      </c>
      <c r="P39" s="58">
        <v>53.232131562302342</v>
      </c>
      <c r="Q39" s="44">
        <v>9</v>
      </c>
      <c r="R39" s="44">
        <v>12</v>
      </c>
      <c r="S39" s="44">
        <v>61</v>
      </c>
      <c r="T39" s="44">
        <v>24</v>
      </c>
      <c r="U39" s="58">
        <v>-33065</v>
      </c>
      <c r="V39" s="59">
        <v>1.11236015059678</v>
      </c>
      <c r="W39" s="56"/>
      <c r="X39" s="56"/>
      <c r="Y39" s="44">
        <v>248.14978623028159</v>
      </c>
      <c r="Z39" s="60">
        <v>1317.6753648827953</v>
      </c>
      <c r="AA39" s="61">
        <v>8.7150226859944002E-2</v>
      </c>
      <c r="AB39" s="59">
        <v>0.71195765024692204</v>
      </c>
      <c r="AC39" s="62">
        <v>80597.348730166574</v>
      </c>
      <c r="AD39" s="63">
        <v>122.9783947629312</v>
      </c>
      <c r="AE39" s="11"/>
      <c r="AF39" s="11"/>
      <c r="AG39" s="11"/>
      <c r="AH39" s="11"/>
      <c r="AI39" s="11"/>
      <c r="AJ39" s="11"/>
      <c r="AK39" s="11"/>
      <c r="AL39" s="11"/>
    </row>
    <row r="40" spans="1:38" ht="30" customHeight="1" x14ac:dyDescent="0.25">
      <c r="A40" s="41" t="s">
        <v>39</v>
      </c>
      <c r="B40" s="42" t="e">
        <v>#N/A</v>
      </c>
      <c r="C40" s="51"/>
      <c r="D40" s="52">
        <v>4690</v>
      </c>
      <c r="E40" s="52">
        <v>845270</v>
      </c>
      <c r="F40" s="52">
        <v>-755700</v>
      </c>
      <c r="G40" s="42">
        <v>1581</v>
      </c>
      <c r="H40" s="42">
        <v>34.029095509171412</v>
      </c>
      <c r="I40" s="42">
        <v>538</v>
      </c>
      <c r="J40" s="42">
        <v>1036</v>
      </c>
      <c r="K40" s="53">
        <v>15350</v>
      </c>
      <c r="L40" s="53">
        <v>-5640</v>
      </c>
      <c r="M40" s="53">
        <v>1571.1337890625</v>
      </c>
      <c r="N40" s="53">
        <v>-730.1448974609375</v>
      </c>
      <c r="O40" s="54" t="e">
        <v>#N/A</v>
      </c>
      <c r="P40" s="53" t="e">
        <v>#N/A</v>
      </c>
      <c r="Q40" s="42">
        <v>9</v>
      </c>
      <c r="R40" s="42">
        <v>12</v>
      </c>
      <c r="S40" s="42">
        <v>70</v>
      </c>
      <c r="T40" s="42">
        <v>24</v>
      </c>
      <c r="U40" s="53">
        <v>-33415</v>
      </c>
      <c r="V40" s="54" t="e">
        <v>#N/A</v>
      </c>
      <c r="W40" s="51"/>
      <c r="X40" s="51"/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ht="30" customHeight="1" x14ac:dyDescent="0.25">
      <c r="A41" s="43" t="s">
        <v>40</v>
      </c>
      <c r="B41" s="44">
        <v>9.6695398029068578</v>
      </c>
      <c r="C41" s="59"/>
      <c r="D41" s="57">
        <v>42356.995433118391</v>
      </c>
      <c r="E41" s="57">
        <v>183641.23020718296</v>
      </c>
      <c r="F41" s="57">
        <v>149363.85795455397</v>
      </c>
      <c r="G41" s="44">
        <v>0.36410954062720957</v>
      </c>
      <c r="H41" s="44">
        <v>6.4879711417018857</v>
      </c>
      <c r="I41" s="44">
        <v>102.5980222356488</v>
      </c>
      <c r="J41" s="44">
        <v>105.25713464625308</v>
      </c>
      <c r="K41" s="58">
        <v>5077.9353356189231</v>
      </c>
      <c r="L41" s="58">
        <v>875.3330534976119</v>
      </c>
      <c r="M41" s="58">
        <v>387.31796996635859</v>
      </c>
      <c r="N41" s="58">
        <v>116.33860650245224</v>
      </c>
      <c r="O41" s="59">
        <v>0.43646213433200265</v>
      </c>
      <c r="P41" s="58">
        <v>26.792178707225968</v>
      </c>
      <c r="Q41" s="44">
        <v>1.556389567186983</v>
      </c>
      <c r="R41" s="44">
        <v>1.8453463171727498</v>
      </c>
      <c r="S41" s="44">
        <v>20.327712834721691</v>
      </c>
      <c r="T41" s="44">
        <v>5.7326814287588297</v>
      </c>
      <c r="U41" s="58">
        <v>5161.6751670657268</v>
      </c>
      <c r="V41" s="59">
        <v>5.8835804152398641E-2</v>
      </c>
      <c r="W41" s="59"/>
      <c r="X41" s="59"/>
      <c r="Y41" s="44">
        <v>132.99966246524784</v>
      </c>
      <c r="Z41" s="59">
        <v>719.86494675865151</v>
      </c>
      <c r="AA41" s="59">
        <v>0.37954671364782328</v>
      </c>
      <c r="AB41" s="59">
        <v>0.38846240606033922</v>
      </c>
      <c r="AC41" s="50">
        <v>41623.037322272728</v>
      </c>
      <c r="AD41" s="59">
        <v>91.355816958088596</v>
      </c>
      <c r="AE41" s="11"/>
      <c r="AF41" s="11"/>
      <c r="AG41" s="11"/>
      <c r="AH41" s="11"/>
      <c r="AI41" s="11"/>
      <c r="AJ41" s="11"/>
      <c r="AK41" s="11"/>
      <c r="AL41" s="11"/>
    </row>
    <row r="42" spans="1:38" ht="30" customHeight="1" x14ac:dyDescent="0.25">
      <c r="A42" s="41" t="s">
        <v>41</v>
      </c>
      <c r="B42" s="42">
        <v>93.5</v>
      </c>
      <c r="C42" s="54"/>
      <c r="D42" s="52">
        <v>1794115062.121212</v>
      </c>
      <c r="E42" s="52">
        <v>33724101432.007568</v>
      </c>
      <c r="F42" s="52">
        <v>22309562063.068176</v>
      </c>
      <c r="G42" s="42">
        <v>0.13257575757575757</v>
      </c>
      <c r="H42" s="42">
        <v>42.093769535556476</v>
      </c>
      <c r="I42" s="42">
        <v>10526.354166666686</v>
      </c>
      <c r="J42" s="42">
        <v>11079.06439393945</v>
      </c>
      <c r="K42" s="52">
        <v>25785427.272727266</v>
      </c>
      <c r="L42" s="52">
        <v>766207.95454545319</v>
      </c>
      <c r="M42" s="52">
        <v>150015.20985886105</v>
      </c>
      <c r="N42" s="52">
        <v>13534.671362932422</v>
      </c>
      <c r="O42" s="54">
        <v>0.19049919470564713</v>
      </c>
      <c r="P42" s="52">
        <v>717.82083987993246</v>
      </c>
      <c r="Q42" s="42">
        <v>2.4223484848484844</v>
      </c>
      <c r="R42" s="42">
        <v>3.4053030303030312</v>
      </c>
      <c r="S42" s="42">
        <v>413.21590909090901</v>
      </c>
      <c r="T42" s="42">
        <v>32.863636363636374</v>
      </c>
      <c r="U42" s="52">
        <v>26642890.530303001</v>
      </c>
      <c r="V42" s="54">
        <v>3.4616518502594094E-3</v>
      </c>
      <c r="W42" s="51"/>
      <c r="X42" s="51"/>
      <c r="Y42" s="42">
        <v>17688.910215869852</v>
      </c>
      <c r="Z42" s="51">
        <v>518205.54157183622</v>
      </c>
      <c r="AA42" s="54">
        <v>0.14405570784086275</v>
      </c>
      <c r="AB42" s="54">
        <v>0.15090304092218787</v>
      </c>
      <c r="AC42" s="64">
        <v>1732477235.9313087</v>
      </c>
      <c r="AD42" s="54">
        <v>8345.8852920797872</v>
      </c>
      <c r="AE42" s="11"/>
      <c r="AF42" s="11"/>
      <c r="AG42" s="11"/>
      <c r="AH42" s="11"/>
      <c r="AI42" s="11"/>
      <c r="AJ42" s="11"/>
      <c r="AK42" s="11"/>
      <c r="AL42" s="11"/>
    </row>
    <row r="43" spans="1:38" ht="30" customHeight="1" x14ac:dyDescent="0.25">
      <c r="A43" s="43" t="s">
        <v>42</v>
      </c>
      <c r="B43" s="44">
        <v>-1.1999999999999993</v>
      </c>
      <c r="C43" s="59"/>
      <c r="D43" s="57">
        <v>-1.0473894119797471</v>
      </c>
      <c r="E43" s="57">
        <v>2.1128000821516513</v>
      </c>
      <c r="F43" s="57">
        <v>3.0086800936871065</v>
      </c>
      <c r="G43" s="44">
        <v>2.2871889400898922</v>
      </c>
      <c r="H43" s="44">
        <v>5.9649613206929892</v>
      </c>
      <c r="I43" s="44">
        <v>5.962678754068703</v>
      </c>
      <c r="J43" s="44">
        <v>6.0049248076967778</v>
      </c>
      <c r="K43" s="58">
        <v>-1.5802921815653046</v>
      </c>
      <c r="L43" s="58">
        <v>-0.96506760136129488</v>
      </c>
      <c r="M43" s="58">
        <v>3.4329506898022522</v>
      </c>
      <c r="N43" s="58">
        <v>1.7149782819564794</v>
      </c>
      <c r="O43" s="59">
        <v>4.3559000629881606</v>
      </c>
      <c r="P43" s="58">
        <v>-1.0471403558890335</v>
      </c>
      <c r="Q43" s="44">
        <v>1.3813691767622118</v>
      </c>
      <c r="R43" s="44">
        <v>2.9569602994400435</v>
      </c>
      <c r="S43" s="44">
        <v>0.93159404926513512</v>
      </c>
      <c r="T43" s="44">
        <v>1.2597870826670889</v>
      </c>
      <c r="U43" s="58">
        <v>3.4966159385000997</v>
      </c>
      <c r="V43" s="59">
        <v>-0.2216275155381231</v>
      </c>
      <c r="W43" s="59"/>
      <c r="X43" s="59"/>
      <c r="Y43" s="44">
        <v>-1.0556894213137147</v>
      </c>
      <c r="Z43" s="59">
        <v>-0.95254247950774218</v>
      </c>
      <c r="AA43" s="59">
        <v>24.672578703607638</v>
      </c>
      <c r="AB43" s="59">
        <v>-1.0888673680988239</v>
      </c>
      <c r="AC43" s="50">
        <v>-1.2870326834092696</v>
      </c>
      <c r="AD43" s="59">
        <v>5.3240204905441662</v>
      </c>
      <c r="AE43" s="11"/>
      <c r="AF43" s="11"/>
      <c r="AG43" s="11"/>
      <c r="AH43" s="11"/>
      <c r="AI43" s="11"/>
      <c r="AJ43" s="11"/>
      <c r="AK43" s="11"/>
      <c r="AL43" s="11"/>
    </row>
    <row r="44" spans="1:38" ht="30" customHeight="1" x14ac:dyDescent="0.25">
      <c r="A44" s="41" t="s">
        <v>43</v>
      </c>
      <c r="B44" s="42">
        <v>1.0618186437632229E-16</v>
      </c>
      <c r="C44" s="54"/>
      <c r="D44" s="52">
        <v>-0.63516874130431156</v>
      </c>
      <c r="E44" s="52">
        <v>-1.7966387789949165</v>
      </c>
      <c r="F44" s="52">
        <v>2.0479287450648647</v>
      </c>
      <c r="G44" s="42">
        <v>-2.0376710881913018</v>
      </c>
      <c r="H44" s="42">
        <v>2.5326126340053241</v>
      </c>
      <c r="I44" s="42">
        <v>2.5319182015560724</v>
      </c>
      <c r="J44" s="42">
        <v>-2.5565983500658462</v>
      </c>
      <c r="K44" s="53">
        <v>-0.24049445432899383</v>
      </c>
      <c r="L44" s="53">
        <v>0.5870516810440769</v>
      </c>
      <c r="M44" s="53">
        <v>-2.13534753383489</v>
      </c>
      <c r="N44" s="53">
        <v>1.7478991081285833</v>
      </c>
      <c r="O44" s="54">
        <v>-2.1424314084919822</v>
      </c>
      <c r="P44" s="53">
        <v>-0.63526092384812749</v>
      </c>
      <c r="Q44" s="42">
        <v>-0.25903717273538646</v>
      </c>
      <c r="R44" s="42">
        <v>-0.74593669670869622</v>
      </c>
      <c r="S44" s="42">
        <v>-1.406509907457745</v>
      </c>
      <c r="T44" s="42">
        <v>-1.6352903198668327</v>
      </c>
      <c r="U44" s="53">
        <v>-0.97567453575618113</v>
      </c>
      <c r="V44" s="54">
        <v>-0.89920943868692227</v>
      </c>
      <c r="W44" s="54"/>
      <c r="X44" s="54"/>
      <c r="Y44" s="42">
        <v>-0.54554186523425474</v>
      </c>
      <c r="Z44" s="54">
        <v>-0.54766700107255828</v>
      </c>
      <c r="AA44" s="54">
        <v>-4.4795961015395713</v>
      </c>
      <c r="AB44" s="54">
        <v>-0.59211130950020241</v>
      </c>
      <c r="AC44" s="55">
        <v>-0.53509691608271881</v>
      </c>
      <c r="AD44" s="54">
        <v>0.95534367375397355</v>
      </c>
      <c r="AE44" s="11"/>
      <c r="AF44" s="11"/>
      <c r="AG44" s="11"/>
      <c r="AH44" s="11"/>
      <c r="AI44" s="11"/>
      <c r="AJ44" s="11"/>
      <c r="AK44" s="11"/>
      <c r="AL44" s="11"/>
    </row>
    <row r="45" spans="1:38" ht="30" customHeight="1" x14ac:dyDescent="0.25">
      <c r="A45" s="43" t="s">
        <v>44</v>
      </c>
      <c r="B45" s="44">
        <v>32</v>
      </c>
      <c r="C45" s="56"/>
      <c r="D45" s="57">
        <v>136930</v>
      </c>
      <c r="E45" s="57">
        <v>632860</v>
      </c>
      <c r="F45" s="57">
        <v>502680</v>
      </c>
      <c r="G45" s="44">
        <v>1</v>
      </c>
      <c r="H45" s="44">
        <v>28.462998102466791</v>
      </c>
      <c r="I45" s="44">
        <v>450</v>
      </c>
      <c r="J45" s="44">
        <v>455</v>
      </c>
      <c r="K45" s="58">
        <v>13970</v>
      </c>
      <c r="L45" s="58">
        <v>3200</v>
      </c>
      <c r="M45" s="58">
        <v>1325.4685363769531</v>
      </c>
      <c r="N45" s="58">
        <v>390.31539916992188</v>
      </c>
      <c r="O45" s="59">
        <v>1.8727421321776101</v>
      </c>
      <c r="P45" s="58">
        <v>86.617226719189105</v>
      </c>
      <c r="Q45" s="44">
        <v>7</v>
      </c>
      <c r="R45" s="44">
        <v>9</v>
      </c>
      <c r="S45" s="44">
        <v>65</v>
      </c>
      <c r="T45" s="44">
        <v>18</v>
      </c>
      <c r="U45" s="58">
        <v>28060</v>
      </c>
      <c r="V45" s="59">
        <v>0.212293300153931</v>
      </c>
      <c r="W45" s="56"/>
      <c r="X45" s="56"/>
      <c r="Y45" s="44">
        <v>432.46111461642653</v>
      </c>
      <c r="Z45" s="56">
        <v>2471.7049154744709</v>
      </c>
      <c r="AA45" s="59">
        <v>2.6527068161575849</v>
      </c>
      <c r="AB45" s="59">
        <v>1.276066258357246</v>
      </c>
      <c r="AC45" s="50">
        <v>128385.27511767759</v>
      </c>
      <c r="AD45" s="59">
        <v>553.65036220876584</v>
      </c>
      <c r="AE45" s="11"/>
      <c r="AF45" s="11"/>
      <c r="AG45" s="11"/>
      <c r="AH45" s="11"/>
      <c r="AI45" s="11"/>
      <c r="AJ45" s="11"/>
      <c r="AK45" s="11"/>
      <c r="AL45" s="11"/>
    </row>
    <row r="46" spans="1:38" ht="30" customHeight="1" x14ac:dyDescent="0.25">
      <c r="A46" s="41" t="s">
        <v>45</v>
      </c>
      <c r="B46" s="42">
        <v>0</v>
      </c>
      <c r="C46" s="51"/>
      <c r="D46" s="52">
        <v>-18700</v>
      </c>
      <c r="E46" s="52">
        <v>241440</v>
      </c>
      <c r="F46" s="52">
        <v>-758400</v>
      </c>
      <c r="G46" s="42">
        <v>1580</v>
      </c>
      <c r="H46" s="42">
        <v>27.640733712839975</v>
      </c>
      <c r="I46" s="42">
        <v>437</v>
      </c>
      <c r="J46" s="42">
        <v>677</v>
      </c>
      <c r="K46" s="53">
        <v>2990</v>
      </c>
      <c r="L46" s="53">
        <v>-6540</v>
      </c>
      <c r="M46" s="53">
        <v>296.60934448242188</v>
      </c>
      <c r="N46" s="53">
        <v>-731.275390625</v>
      </c>
      <c r="O46" s="54">
        <v>0.76870278135079695</v>
      </c>
      <c r="P46" s="53">
        <v>-11.835443037974683</v>
      </c>
      <c r="Q46" s="42">
        <v>5</v>
      </c>
      <c r="R46" s="42">
        <v>7</v>
      </c>
      <c r="S46" s="42">
        <v>5</v>
      </c>
      <c r="T46" s="42">
        <v>6</v>
      </c>
      <c r="U46" s="53">
        <v>-50485</v>
      </c>
      <c r="V46" s="54">
        <v>0.94415767245424698</v>
      </c>
      <c r="W46" s="51"/>
      <c r="X46" s="51"/>
      <c r="Y46" s="51">
        <v>-51.009108769423108</v>
      </c>
      <c r="Z46" s="60">
        <v>-415.21414538310415</v>
      </c>
      <c r="AA46" s="61">
        <v>-1.9405635446191609</v>
      </c>
      <c r="AB46" s="54">
        <v>-0.235296596257003</v>
      </c>
      <c r="AC46" s="62">
        <v>-13477.41090997669</v>
      </c>
      <c r="AD46" s="63">
        <v>-111.33947846842362</v>
      </c>
      <c r="AE46" s="5"/>
      <c r="AF46" s="11"/>
      <c r="AG46" s="11"/>
      <c r="AH46" s="11"/>
      <c r="AI46" s="11"/>
      <c r="AJ46" s="11"/>
      <c r="AK46" s="11"/>
      <c r="AL46" s="11"/>
    </row>
    <row r="47" spans="1:38" ht="30" customHeight="1" x14ac:dyDescent="0.25">
      <c r="A47" s="43" t="s">
        <v>46</v>
      </c>
      <c r="B47" s="44">
        <v>32</v>
      </c>
      <c r="C47" s="56"/>
      <c r="D47" s="57">
        <v>118230</v>
      </c>
      <c r="E47" s="57">
        <v>874300</v>
      </c>
      <c r="F47" s="57">
        <v>-255720</v>
      </c>
      <c r="G47" s="44">
        <v>1581</v>
      </c>
      <c r="H47" s="44">
        <v>56.103731815306766</v>
      </c>
      <c r="I47" s="44">
        <v>887</v>
      </c>
      <c r="J47" s="44">
        <v>1132</v>
      </c>
      <c r="K47" s="58">
        <v>16960</v>
      </c>
      <c r="L47" s="58">
        <v>-3340</v>
      </c>
      <c r="M47" s="58">
        <v>1622.077880859375</v>
      </c>
      <c r="N47" s="58">
        <v>-340.95999145507813</v>
      </c>
      <c r="O47" s="59">
        <v>2.641444913528407</v>
      </c>
      <c r="P47" s="58">
        <v>74.781783681214421</v>
      </c>
      <c r="Q47" s="44">
        <v>12</v>
      </c>
      <c r="R47" s="44">
        <v>16</v>
      </c>
      <c r="S47" s="44">
        <v>70</v>
      </c>
      <c r="T47" s="44">
        <v>24</v>
      </c>
      <c r="U47" s="58">
        <v>-22425</v>
      </c>
      <c r="V47" s="59">
        <v>1.156450972608178</v>
      </c>
      <c r="W47" s="56"/>
      <c r="X47" s="56"/>
      <c r="Y47" s="44">
        <v>381.45200584700342</v>
      </c>
      <c r="Z47" s="60">
        <v>2056.4907700913668</v>
      </c>
      <c r="AA47" s="61">
        <v>0.71214327153842405</v>
      </c>
      <c r="AB47" s="59">
        <v>1.0407696621002429</v>
      </c>
      <c r="AC47" s="62">
        <v>114907.8642077009</v>
      </c>
      <c r="AD47" s="65">
        <v>442.31088374034221</v>
      </c>
      <c r="AE47" s="11"/>
      <c r="AF47" s="11"/>
      <c r="AG47" s="11"/>
      <c r="AH47" s="11"/>
      <c r="AI47" s="11"/>
      <c r="AJ47" s="11"/>
      <c r="AK47" s="11"/>
      <c r="AL47" s="11"/>
    </row>
    <row r="48" spans="1:38" ht="30" customHeight="1" x14ac:dyDescent="0.25">
      <c r="A48" s="45" t="s">
        <v>47</v>
      </c>
      <c r="B48" s="46">
        <v>3.4286697268982782</v>
      </c>
      <c r="C48" s="66"/>
      <c r="D48" s="67">
        <v>15019.137510581751</v>
      </c>
      <c r="E48" s="67">
        <v>65116.348808289913</v>
      </c>
      <c r="F48" s="67">
        <v>52962.121104001293</v>
      </c>
      <c r="G48" s="46">
        <v>0.12910762918086904</v>
      </c>
      <c r="H48" s="46">
        <v>2.3005345338002114</v>
      </c>
      <c r="I48" s="46">
        <v>36.379676804603967</v>
      </c>
      <c r="J48" s="46">
        <v>37.322557066590953</v>
      </c>
      <c r="K48" s="68">
        <v>1800.5575772230325</v>
      </c>
      <c r="L48" s="68">
        <v>310.37960468175163</v>
      </c>
      <c r="M48" s="68">
        <v>137.33698039157264</v>
      </c>
      <c r="N48" s="68">
        <v>41.251876130090061</v>
      </c>
      <c r="O48" s="66">
        <v>0.15476274335947962</v>
      </c>
      <c r="P48" s="68">
        <v>9.5000934815428231</v>
      </c>
      <c r="Q48" s="46">
        <v>0.5518717437483539</v>
      </c>
      <c r="R48" s="46">
        <v>0.65433135209096371</v>
      </c>
      <c r="S48" s="46">
        <v>7.207893553790381</v>
      </c>
      <c r="T48" s="46">
        <v>2.0327204468229749</v>
      </c>
      <c r="U48" s="68">
        <v>1830.2504303338812</v>
      </c>
      <c r="V48" s="66">
        <v>2.0862269008334978E-2</v>
      </c>
      <c r="W48" s="66"/>
      <c r="X48" s="66"/>
      <c r="Y48" s="46">
        <v>47.159629690463461</v>
      </c>
      <c r="Z48" s="66">
        <v>255.25301107552659</v>
      </c>
      <c r="AA48" s="66">
        <v>0.13458141272005647</v>
      </c>
      <c r="AB48" s="66">
        <v>0.13774277978531643</v>
      </c>
      <c r="AC48" s="69">
        <v>14758.887280812651</v>
      </c>
      <c r="AD48" s="66">
        <v>32.393364148115488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83"/>
      <c r="C49" s="83"/>
      <c r="D49" s="83"/>
      <c r="E49" s="10"/>
      <c r="F49" s="10"/>
      <c r="G49" s="10"/>
      <c r="H49" s="83"/>
      <c r="I49" s="11"/>
      <c r="J49" s="83"/>
      <c r="K49" s="83"/>
      <c r="L49" s="12"/>
      <c r="M49" s="12"/>
      <c r="N49" s="12"/>
      <c r="O49" s="12"/>
      <c r="P49" s="11"/>
      <c r="Q49" s="13"/>
      <c r="R49" s="83"/>
      <c r="S49" s="83"/>
      <c r="T49" s="83"/>
      <c r="U49" s="83"/>
      <c r="V49" s="12"/>
      <c r="W49" s="11"/>
      <c r="X49" s="83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83"/>
      <c r="C50" s="83"/>
      <c r="D50" s="83"/>
      <c r="E50" s="10"/>
      <c r="F50" s="10"/>
      <c r="G50" s="10"/>
      <c r="H50" s="83"/>
      <c r="I50" s="11"/>
      <c r="J50" s="83"/>
      <c r="K50" s="83"/>
      <c r="L50" s="12"/>
      <c r="M50" s="12"/>
      <c r="N50" s="12"/>
      <c r="O50" s="12"/>
      <c r="P50" s="11"/>
      <c r="Q50" s="13"/>
      <c r="R50" s="83"/>
      <c r="S50" s="83"/>
      <c r="T50" s="83"/>
      <c r="U50" s="83"/>
      <c r="V50" s="12"/>
      <c r="W50" s="11"/>
      <c r="X50" s="83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83"/>
      <c r="C51" s="83"/>
      <c r="D51" s="83"/>
      <c r="E51" s="10"/>
      <c r="F51" s="10"/>
      <c r="G51" s="10"/>
      <c r="H51" s="83"/>
      <c r="I51" s="11"/>
      <c r="J51" s="83"/>
      <c r="K51" s="83"/>
      <c r="L51" s="12"/>
      <c r="M51" s="12"/>
      <c r="N51" s="12"/>
      <c r="O51" s="12"/>
      <c r="P51" s="11"/>
      <c r="Q51" s="13"/>
      <c r="R51" s="83"/>
      <c r="S51" s="83"/>
      <c r="T51" s="83"/>
      <c r="U51" s="83"/>
      <c r="V51" s="12"/>
      <c r="W51" s="11"/>
      <c r="X51" s="83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83"/>
      <c r="C52" s="83"/>
      <c r="D52" s="83"/>
      <c r="E52" s="10"/>
      <c r="F52" s="10"/>
      <c r="G52" s="10"/>
      <c r="H52" s="83"/>
      <c r="I52" s="11"/>
      <c r="J52" s="83"/>
      <c r="K52" s="83"/>
      <c r="L52" s="12"/>
      <c r="M52" s="12"/>
      <c r="N52" s="12"/>
      <c r="O52" s="12"/>
      <c r="P52" s="11"/>
      <c r="Q52" s="13"/>
      <c r="R52" s="83"/>
      <c r="S52" s="83"/>
      <c r="T52" s="83"/>
      <c r="U52" s="83"/>
      <c r="V52" s="12"/>
      <c r="W52" s="11"/>
      <c r="X52" s="83"/>
      <c r="Y52" s="12"/>
      <c r="Z52" s="11"/>
      <c r="AA52" s="14"/>
      <c r="AB52" s="11"/>
      <c r="AC52" s="11"/>
      <c r="AD52" s="15"/>
      <c r="AE52" s="11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83"/>
      <c r="C53" s="83"/>
      <c r="D53" s="83"/>
      <c r="E53" s="10"/>
      <c r="F53" s="10"/>
      <c r="G53" s="10"/>
      <c r="H53" s="83"/>
      <c r="I53" s="11"/>
      <c r="J53" s="83"/>
      <c r="K53" s="83"/>
      <c r="L53" s="12"/>
      <c r="M53" s="12"/>
      <c r="N53" s="12"/>
      <c r="O53" s="12"/>
      <c r="P53" s="11"/>
      <c r="Q53" s="13"/>
      <c r="R53" s="83"/>
      <c r="S53" s="83"/>
      <c r="T53" s="83"/>
      <c r="U53" s="83"/>
      <c r="V53" s="12"/>
      <c r="W53" s="11"/>
      <c r="X53" s="83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83"/>
      <c r="C54" s="83"/>
      <c r="D54" s="83"/>
      <c r="E54" s="10"/>
      <c r="F54" s="10"/>
      <c r="G54" s="10"/>
      <c r="H54" s="83"/>
      <c r="I54" s="11"/>
      <c r="J54" s="83"/>
      <c r="K54" s="83"/>
      <c r="L54" s="12"/>
      <c r="M54" s="12"/>
      <c r="N54" s="12"/>
      <c r="O54" s="12"/>
      <c r="P54" s="11"/>
      <c r="Q54" s="13"/>
      <c r="R54" s="83"/>
      <c r="S54" s="83"/>
      <c r="T54" s="83"/>
      <c r="U54" s="83"/>
      <c r="V54" s="12"/>
      <c r="W54" s="11"/>
      <c r="X54" s="83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83"/>
      <c r="C55" s="83"/>
      <c r="D55" s="83"/>
      <c r="E55" s="10"/>
      <c r="F55" s="10"/>
      <c r="G55" s="10"/>
      <c r="H55" s="83"/>
      <c r="I55" s="11"/>
      <c r="J55" s="83"/>
      <c r="K55" s="83"/>
      <c r="L55" s="12"/>
      <c r="M55" s="12"/>
      <c r="N55" s="12"/>
      <c r="O55" s="12"/>
      <c r="P55" s="11"/>
      <c r="Q55" s="13"/>
      <c r="R55" s="83"/>
      <c r="S55" s="83"/>
      <c r="T55" s="83"/>
      <c r="U55" s="83"/>
      <c r="V55" s="12"/>
      <c r="W55" s="11"/>
      <c r="X55" s="83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83"/>
      <c r="C56" s="83"/>
      <c r="D56" s="83"/>
      <c r="E56" s="10"/>
      <c r="F56" s="10"/>
      <c r="G56" s="10"/>
      <c r="H56" s="83"/>
      <c r="I56" s="11"/>
      <c r="J56" s="83"/>
      <c r="K56" s="83"/>
      <c r="L56" s="12"/>
      <c r="M56" s="12"/>
      <c r="N56" s="12"/>
      <c r="O56" s="12"/>
      <c r="P56" s="11"/>
      <c r="Q56" s="13"/>
      <c r="R56" s="83"/>
      <c r="S56" s="83"/>
      <c r="T56" s="83"/>
      <c r="U56" s="83"/>
      <c r="V56" s="12"/>
      <c r="W56" s="11"/>
      <c r="X56" s="83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83"/>
      <c r="C57" s="83"/>
      <c r="D57" s="83"/>
      <c r="E57" s="10"/>
      <c r="F57" s="10"/>
      <c r="G57" s="10"/>
      <c r="H57" s="83"/>
      <c r="I57" s="11"/>
      <c r="J57" s="83"/>
      <c r="K57" s="83"/>
      <c r="L57" s="12"/>
      <c r="M57" s="12"/>
      <c r="N57" s="12"/>
      <c r="O57" s="12"/>
      <c r="P57" s="11"/>
      <c r="Q57" s="13"/>
      <c r="R57" s="83"/>
      <c r="S57" s="83"/>
      <c r="T57" s="83"/>
      <c r="U57" s="83"/>
      <c r="V57" s="12"/>
      <c r="W57" s="11"/>
      <c r="X57" s="83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83"/>
      <c r="C58" s="83"/>
      <c r="D58" s="83"/>
      <c r="E58" s="10"/>
      <c r="F58" s="10"/>
      <c r="G58" s="10"/>
      <c r="H58" s="83"/>
      <c r="I58" s="11"/>
      <c r="J58" s="83"/>
      <c r="K58" s="83"/>
      <c r="L58" s="12"/>
      <c r="M58" s="12"/>
      <c r="N58" s="12"/>
      <c r="O58" s="12"/>
      <c r="P58" s="11"/>
      <c r="Q58" s="13"/>
      <c r="R58" s="83"/>
      <c r="S58" s="83"/>
      <c r="T58" s="83"/>
      <c r="U58" s="83"/>
      <c r="V58" s="12"/>
      <c r="W58" s="11"/>
      <c r="X58" s="83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83"/>
      <c r="C59" s="83"/>
      <c r="D59" s="83"/>
      <c r="E59" s="4"/>
      <c r="F59" s="4"/>
      <c r="G59" s="4"/>
      <c r="H59" s="83"/>
      <c r="I59" s="5"/>
      <c r="J59" s="83"/>
      <c r="K59" s="83"/>
      <c r="L59" s="6"/>
      <c r="M59" s="6"/>
      <c r="N59" s="6"/>
      <c r="O59" s="6"/>
      <c r="P59" s="5"/>
      <c r="Q59" s="7"/>
      <c r="R59" s="83"/>
      <c r="S59" s="83"/>
      <c r="T59" s="83"/>
      <c r="U59" s="83"/>
      <c r="V59" s="6"/>
      <c r="W59" s="5"/>
      <c r="X59" s="83"/>
      <c r="Y59" s="6"/>
      <c r="Z59" s="5"/>
      <c r="AA59" s="8"/>
      <c r="AB59" s="5"/>
      <c r="AC59" s="5"/>
      <c r="AD59" s="9"/>
      <c r="AE59" s="5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83"/>
      <c r="C60" s="83"/>
      <c r="D60" s="83"/>
      <c r="E60" s="10"/>
      <c r="F60" s="10"/>
      <c r="G60" s="10"/>
      <c r="H60" s="83"/>
      <c r="I60" s="11"/>
      <c r="J60" s="83"/>
      <c r="K60" s="83"/>
      <c r="L60" s="12"/>
      <c r="M60" s="12"/>
      <c r="N60" s="12"/>
      <c r="O60" s="12"/>
      <c r="P60" s="11"/>
      <c r="Q60" s="13"/>
      <c r="R60" s="83"/>
      <c r="S60" s="83"/>
      <c r="T60" s="83"/>
      <c r="U60" s="83"/>
      <c r="V60" s="12"/>
      <c r="W60" s="11"/>
      <c r="X60" s="83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83"/>
      <c r="C61" s="83"/>
      <c r="D61" s="83"/>
      <c r="E61" s="10"/>
      <c r="F61" s="10"/>
      <c r="G61" s="10"/>
      <c r="H61" s="83"/>
      <c r="I61" s="11"/>
      <c r="J61" s="83"/>
      <c r="K61" s="83"/>
      <c r="L61" s="12"/>
      <c r="M61" s="12"/>
      <c r="N61" s="12"/>
      <c r="O61" s="12"/>
      <c r="P61" s="11"/>
      <c r="Q61" s="13"/>
      <c r="R61" s="83"/>
      <c r="S61" s="83"/>
      <c r="T61" s="83"/>
      <c r="U61" s="83"/>
      <c r="V61" s="12"/>
      <c r="W61" s="11"/>
      <c r="X61" s="83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83"/>
      <c r="C62" s="83"/>
      <c r="D62" s="83"/>
      <c r="E62" s="10"/>
      <c r="F62" s="10"/>
      <c r="G62" s="10"/>
      <c r="H62" s="83"/>
      <c r="I62" s="11"/>
      <c r="J62" s="83"/>
      <c r="K62" s="83"/>
      <c r="L62" s="12"/>
      <c r="M62" s="12"/>
      <c r="N62" s="12"/>
      <c r="O62" s="12"/>
      <c r="P62" s="11"/>
      <c r="Q62" s="13"/>
      <c r="R62" s="83"/>
      <c r="S62" s="83"/>
      <c r="T62" s="83"/>
      <c r="U62" s="83"/>
      <c r="V62" s="12"/>
      <c r="W62" s="11"/>
      <c r="X62" s="83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83"/>
      <c r="C63" s="83"/>
      <c r="D63" s="83"/>
      <c r="E63" s="10"/>
      <c r="F63" s="10"/>
      <c r="G63" s="10"/>
      <c r="H63" s="83"/>
      <c r="I63" s="11"/>
      <c r="J63" s="83"/>
      <c r="K63" s="83"/>
      <c r="L63" s="12"/>
      <c r="M63" s="12"/>
      <c r="N63" s="12"/>
      <c r="O63" s="12"/>
      <c r="P63" s="11"/>
      <c r="Q63" s="13"/>
      <c r="R63" s="83"/>
      <c r="S63" s="83"/>
      <c r="T63" s="83"/>
      <c r="U63" s="83"/>
      <c r="V63" s="12"/>
      <c r="W63" s="11"/>
      <c r="X63" s="83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83"/>
      <c r="C64" s="83"/>
      <c r="D64" s="83"/>
      <c r="E64" s="10"/>
      <c r="F64" s="10"/>
      <c r="G64" s="10"/>
      <c r="H64" s="83"/>
      <c r="I64" s="11"/>
      <c r="J64" s="83"/>
      <c r="K64" s="83"/>
      <c r="L64" s="12"/>
      <c r="M64" s="12"/>
      <c r="N64" s="12"/>
      <c r="O64" s="12"/>
      <c r="P64" s="11"/>
      <c r="Q64" s="13"/>
      <c r="R64" s="83"/>
      <c r="S64" s="83"/>
      <c r="T64" s="83"/>
      <c r="U64" s="83"/>
      <c r="V64" s="12"/>
      <c r="W64" s="11"/>
      <c r="X64" s="83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83"/>
      <c r="C65" s="83"/>
      <c r="D65" s="83"/>
      <c r="E65" s="4"/>
      <c r="F65" s="4"/>
      <c r="G65" s="4"/>
      <c r="H65" s="83"/>
      <c r="I65" s="5"/>
      <c r="J65" s="83"/>
      <c r="K65" s="83"/>
      <c r="L65" s="6"/>
      <c r="M65" s="6"/>
      <c r="N65" s="6"/>
      <c r="O65" s="6"/>
      <c r="P65" s="5"/>
      <c r="Q65" s="7"/>
      <c r="R65" s="83"/>
      <c r="S65" s="83"/>
      <c r="T65" s="83"/>
      <c r="U65" s="83"/>
      <c r="V65" s="6"/>
      <c r="W65" s="5"/>
      <c r="X65" s="83"/>
      <c r="Y65" s="6"/>
      <c r="Z65" s="5"/>
      <c r="AA65" s="8"/>
      <c r="AB65" s="5"/>
      <c r="AC65" s="5"/>
      <c r="AD65" s="9"/>
      <c r="AE65" s="5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83"/>
      <c r="C66" s="83"/>
      <c r="D66" s="83"/>
      <c r="E66" s="10"/>
      <c r="F66" s="10"/>
      <c r="G66" s="10"/>
      <c r="H66" s="83"/>
      <c r="I66" s="11"/>
      <c r="J66" s="83"/>
      <c r="K66" s="83"/>
      <c r="L66" s="12"/>
      <c r="M66" s="12"/>
      <c r="N66" s="12"/>
      <c r="O66" s="12"/>
      <c r="P66" s="11"/>
      <c r="Q66" s="13"/>
      <c r="R66" s="83"/>
      <c r="S66" s="83"/>
      <c r="T66" s="83"/>
      <c r="U66" s="83"/>
      <c r="V66" s="12"/>
      <c r="W66" s="11"/>
      <c r="X66" s="83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83"/>
      <c r="C67" s="83"/>
      <c r="D67" s="83"/>
      <c r="E67" s="10"/>
      <c r="F67" s="10"/>
      <c r="G67" s="10"/>
      <c r="H67" s="83"/>
      <c r="I67" s="11"/>
      <c r="J67" s="83"/>
      <c r="K67" s="83"/>
      <c r="L67" s="12"/>
      <c r="M67" s="12"/>
      <c r="N67" s="12"/>
      <c r="O67" s="12"/>
      <c r="P67" s="11"/>
      <c r="Q67" s="13"/>
      <c r="R67" s="83"/>
      <c r="S67" s="83"/>
      <c r="T67" s="83"/>
      <c r="U67" s="83"/>
      <c r="V67" s="12"/>
      <c r="W67" s="11"/>
      <c r="X67" s="83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83"/>
      <c r="C68" s="83"/>
      <c r="D68" s="83"/>
      <c r="E68" s="10"/>
      <c r="F68" s="10"/>
      <c r="G68" s="10"/>
      <c r="H68" s="83"/>
      <c r="I68" s="11"/>
      <c r="J68" s="83"/>
      <c r="K68" s="83"/>
      <c r="L68" s="12"/>
      <c r="M68" s="12"/>
      <c r="N68" s="12"/>
      <c r="O68" s="12"/>
      <c r="P68" s="11"/>
      <c r="Q68" s="13"/>
      <c r="R68" s="83"/>
      <c r="S68" s="83"/>
      <c r="T68" s="83"/>
      <c r="U68" s="83"/>
      <c r="V68" s="12"/>
      <c r="W68" s="11"/>
      <c r="X68" s="83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83"/>
      <c r="C69" s="83"/>
      <c r="D69" s="83"/>
      <c r="E69" s="10"/>
      <c r="F69" s="10"/>
      <c r="G69" s="10"/>
      <c r="H69" s="83"/>
      <c r="I69" s="11"/>
      <c r="J69" s="83"/>
      <c r="K69" s="83"/>
      <c r="L69" s="12"/>
      <c r="M69" s="12"/>
      <c r="N69" s="12"/>
      <c r="O69" s="12"/>
      <c r="P69" s="11"/>
      <c r="Q69" s="13"/>
      <c r="R69" s="83"/>
      <c r="S69" s="83"/>
      <c r="T69" s="83"/>
      <c r="U69" s="83"/>
      <c r="V69" s="12"/>
      <c r="W69" s="11"/>
      <c r="X69" s="83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83"/>
      <c r="C70" s="83"/>
      <c r="D70" s="83"/>
      <c r="E70" s="10"/>
      <c r="F70" s="10"/>
      <c r="G70" s="10"/>
      <c r="H70" s="83"/>
      <c r="I70" s="11"/>
      <c r="J70" s="83"/>
      <c r="K70" s="83"/>
      <c r="L70" s="12"/>
      <c r="M70" s="12"/>
      <c r="N70" s="12"/>
      <c r="O70" s="12"/>
      <c r="P70" s="11"/>
      <c r="Q70" s="13"/>
      <c r="R70" s="83"/>
      <c r="S70" s="83"/>
      <c r="T70" s="83"/>
      <c r="U70" s="83"/>
      <c r="V70" s="12"/>
      <c r="W70" s="11"/>
      <c r="X70" s="83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83"/>
      <c r="C71" s="83"/>
      <c r="D71" s="83"/>
      <c r="E71" s="10"/>
      <c r="F71" s="10"/>
      <c r="G71" s="10"/>
      <c r="H71" s="83"/>
      <c r="I71" s="11"/>
      <c r="J71" s="83"/>
      <c r="K71" s="83"/>
      <c r="L71" s="12"/>
      <c r="M71" s="12"/>
      <c r="N71" s="12"/>
      <c r="O71" s="12"/>
      <c r="P71" s="11"/>
      <c r="Q71" s="13"/>
      <c r="R71" s="83"/>
      <c r="S71" s="83"/>
      <c r="T71" s="83"/>
      <c r="U71" s="83"/>
      <c r="V71" s="12"/>
      <c r="W71" s="11"/>
      <c r="X71" s="83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83"/>
      <c r="C72" s="83"/>
      <c r="D72" s="83"/>
      <c r="E72" s="10"/>
      <c r="F72" s="10"/>
      <c r="G72" s="10"/>
      <c r="H72" s="83"/>
      <c r="I72" s="11"/>
      <c r="J72" s="83"/>
      <c r="K72" s="83"/>
      <c r="L72" s="12"/>
      <c r="M72" s="12"/>
      <c r="N72" s="12"/>
      <c r="O72" s="12"/>
      <c r="P72" s="11"/>
      <c r="Q72" s="13"/>
      <c r="R72" s="83"/>
      <c r="S72" s="83"/>
      <c r="T72" s="83"/>
      <c r="U72" s="83"/>
      <c r="V72" s="12"/>
      <c r="W72" s="11"/>
      <c r="X72" s="83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83"/>
      <c r="C73" s="83"/>
      <c r="D73" s="83"/>
      <c r="E73" s="10"/>
      <c r="F73" s="10"/>
      <c r="G73" s="10"/>
      <c r="H73" s="83"/>
      <c r="I73" s="11"/>
      <c r="J73" s="83"/>
      <c r="K73" s="83"/>
      <c r="L73" s="12"/>
      <c r="M73" s="12"/>
      <c r="N73" s="12"/>
      <c r="O73" s="12"/>
      <c r="P73" s="11"/>
      <c r="Q73" s="13"/>
      <c r="R73" s="83"/>
      <c r="S73" s="83"/>
      <c r="T73" s="83"/>
      <c r="U73" s="83"/>
      <c r="V73" s="12"/>
      <c r="W73" s="11"/>
      <c r="X73" s="83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83"/>
      <c r="C74" s="83"/>
      <c r="D74" s="83"/>
      <c r="E74" s="10"/>
      <c r="F74" s="10"/>
      <c r="G74" s="10"/>
      <c r="H74" s="83"/>
      <c r="I74" s="11"/>
      <c r="J74" s="83"/>
      <c r="K74" s="83"/>
      <c r="L74" s="12"/>
      <c r="M74" s="12"/>
      <c r="N74" s="12"/>
      <c r="O74" s="12"/>
      <c r="P74" s="11"/>
      <c r="Q74" s="13"/>
      <c r="R74" s="83"/>
      <c r="S74" s="83"/>
      <c r="T74" s="83"/>
      <c r="U74" s="83"/>
      <c r="V74" s="12"/>
      <c r="W74" s="11"/>
      <c r="X74" s="83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83"/>
      <c r="C75" s="83"/>
      <c r="D75" s="83"/>
      <c r="E75" s="10"/>
      <c r="F75" s="10"/>
      <c r="G75" s="10"/>
      <c r="H75" s="83"/>
      <c r="I75" s="11"/>
      <c r="J75" s="83"/>
      <c r="K75" s="83"/>
      <c r="L75" s="12"/>
      <c r="M75" s="12"/>
      <c r="N75" s="12"/>
      <c r="O75" s="12"/>
      <c r="P75" s="11"/>
      <c r="Q75" s="13"/>
      <c r="R75" s="83"/>
      <c r="S75" s="83"/>
      <c r="T75" s="83"/>
      <c r="U75" s="83"/>
      <c r="V75" s="12"/>
      <c r="W75" s="11"/>
      <c r="X75" s="83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83"/>
      <c r="C76" s="83"/>
      <c r="D76" s="83"/>
      <c r="E76" s="10"/>
      <c r="F76" s="10"/>
      <c r="G76" s="10"/>
      <c r="H76" s="83"/>
      <c r="I76" s="11"/>
      <c r="J76" s="83"/>
      <c r="K76" s="83"/>
      <c r="L76" s="12"/>
      <c r="M76" s="12"/>
      <c r="N76" s="12"/>
      <c r="O76" s="12"/>
      <c r="P76" s="11"/>
      <c r="Q76" s="13"/>
      <c r="R76" s="83"/>
      <c r="S76" s="83"/>
      <c r="T76" s="83"/>
      <c r="U76" s="83"/>
      <c r="V76" s="12"/>
      <c r="W76" s="11"/>
      <c r="X76" s="83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83"/>
      <c r="C77" s="83"/>
      <c r="D77" s="83"/>
      <c r="E77" s="10"/>
      <c r="F77" s="10"/>
      <c r="G77" s="10"/>
      <c r="H77" s="83"/>
      <c r="I77" s="11"/>
      <c r="J77" s="83"/>
      <c r="K77" s="83"/>
      <c r="L77" s="12"/>
      <c r="M77" s="12"/>
      <c r="N77" s="12"/>
      <c r="O77" s="12"/>
      <c r="P77" s="11"/>
      <c r="Q77" s="13"/>
      <c r="R77" s="83"/>
      <c r="S77" s="83"/>
      <c r="T77" s="83"/>
      <c r="U77" s="83"/>
      <c r="V77" s="12"/>
      <c r="W77" s="11"/>
      <c r="X77" s="83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83"/>
      <c r="C78" s="83"/>
      <c r="D78" s="83"/>
      <c r="E78" s="10"/>
      <c r="F78" s="10"/>
      <c r="G78" s="10"/>
      <c r="H78" s="83"/>
      <c r="I78" s="11"/>
      <c r="J78" s="83"/>
      <c r="K78" s="83"/>
      <c r="L78" s="12"/>
      <c r="M78" s="12"/>
      <c r="N78" s="12"/>
      <c r="O78" s="12"/>
      <c r="P78" s="11"/>
      <c r="Q78" s="13"/>
      <c r="R78" s="83"/>
      <c r="S78" s="83"/>
      <c r="T78" s="83"/>
      <c r="U78" s="83"/>
      <c r="V78" s="12"/>
      <c r="W78" s="11"/>
      <c r="X78" s="83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83"/>
      <c r="C79" s="83"/>
      <c r="D79" s="83"/>
      <c r="E79" s="10"/>
      <c r="F79" s="10"/>
      <c r="G79" s="10"/>
      <c r="H79" s="83"/>
      <c r="I79" s="11"/>
      <c r="J79" s="83"/>
      <c r="K79" s="83"/>
      <c r="L79" s="12"/>
      <c r="M79" s="12"/>
      <c r="N79" s="12"/>
      <c r="O79" s="12"/>
      <c r="P79" s="11"/>
      <c r="Q79" s="13"/>
      <c r="R79" s="83"/>
      <c r="S79" s="83"/>
      <c r="T79" s="83"/>
      <c r="U79" s="83"/>
      <c r="V79" s="12"/>
      <c r="W79" s="11"/>
      <c r="X79" s="83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83"/>
      <c r="C80" s="83"/>
      <c r="D80" s="83"/>
      <c r="E80" s="10"/>
      <c r="F80" s="10"/>
      <c r="G80" s="10"/>
      <c r="H80" s="83"/>
      <c r="I80" s="11"/>
      <c r="J80" s="83"/>
      <c r="K80" s="83"/>
      <c r="L80" s="12"/>
      <c r="M80" s="12"/>
      <c r="N80" s="12"/>
      <c r="O80" s="12"/>
      <c r="P80" s="11"/>
      <c r="Q80" s="13"/>
      <c r="R80" s="83"/>
      <c r="S80" s="83"/>
      <c r="T80" s="83"/>
      <c r="U80" s="83"/>
      <c r="V80" s="12"/>
      <c r="W80" s="11"/>
      <c r="X80" s="83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83"/>
      <c r="C81" s="83"/>
      <c r="D81" s="83"/>
      <c r="E81" s="10"/>
      <c r="F81" s="10"/>
      <c r="G81" s="10"/>
      <c r="H81" s="83"/>
      <c r="I81" s="11"/>
      <c r="J81" s="83"/>
      <c r="K81" s="83"/>
      <c r="L81" s="12"/>
      <c r="M81" s="12"/>
      <c r="N81" s="12"/>
      <c r="O81" s="12"/>
      <c r="P81" s="11"/>
      <c r="Q81" s="13"/>
      <c r="R81" s="83"/>
      <c r="S81" s="83"/>
      <c r="T81" s="83"/>
      <c r="U81" s="83"/>
      <c r="V81" s="12"/>
      <c r="W81" s="11"/>
      <c r="X81" s="83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83"/>
      <c r="C82" s="83"/>
      <c r="D82" s="83"/>
      <c r="E82" s="10"/>
      <c r="F82" s="10"/>
      <c r="G82" s="10"/>
      <c r="H82" s="83"/>
      <c r="I82" s="11"/>
      <c r="J82" s="83"/>
      <c r="K82" s="83"/>
      <c r="L82" s="12"/>
      <c r="M82" s="12"/>
      <c r="N82" s="12"/>
      <c r="O82" s="12"/>
      <c r="P82" s="11"/>
      <c r="Q82" s="13"/>
      <c r="R82" s="83"/>
      <c r="S82" s="83"/>
      <c r="T82" s="83"/>
      <c r="U82" s="83"/>
      <c r="V82" s="12"/>
      <c r="W82" s="11"/>
      <c r="X82" s="83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83"/>
      <c r="C83" s="83"/>
      <c r="D83" s="83"/>
      <c r="E83" s="10"/>
      <c r="F83" s="10"/>
      <c r="G83" s="10"/>
      <c r="H83" s="83"/>
      <c r="I83" s="11"/>
      <c r="J83" s="83"/>
      <c r="K83" s="83"/>
      <c r="L83" s="12"/>
      <c r="M83" s="12"/>
      <c r="N83" s="12"/>
      <c r="O83" s="12"/>
      <c r="P83" s="11"/>
      <c r="Q83" s="13"/>
      <c r="R83" s="83"/>
      <c r="S83" s="83"/>
      <c r="T83" s="83"/>
      <c r="U83" s="83"/>
      <c r="V83" s="12"/>
      <c r="W83" s="11"/>
      <c r="X83" s="83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83"/>
      <c r="C84" s="83"/>
      <c r="D84" s="83"/>
      <c r="E84" s="10"/>
      <c r="F84" s="10"/>
      <c r="G84" s="10"/>
      <c r="H84" s="83"/>
      <c r="I84" s="11"/>
      <c r="J84" s="83"/>
      <c r="K84" s="83"/>
      <c r="L84" s="12"/>
      <c r="M84" s="12"/>
      <c r="N84" s="12"/>
      <c r="O84" s="12"/>
      <c r="P84" s="11"/>
      <c r="Q84" s="13"/>
      <c r="R84" s="83"/>
      <c r="S84" s="83"/>
      <c r="T84" s="83"/>
      <c r="U84" s="83"/>
      <c r="V84" s="12"/>
      <c r="W84" s="11"/>
      <c r="X84" s="83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83"/>
      <c r="C85" s="83"/>
      <c r="D85" s="83"/>
      <c r="E85" s="10"/>
      <c r="F85" s="10"/>
      <c r="G85" s="10"/>
      <c r="H85" s="83"/>
      <c r="I85" s="11"/>
      <c r="J85" s="83"/>
      <c r="K85" s="83"/>
      <c r="L85" s="12"/>
      <c r="M85" s="12"/>
      <c r="N85" s="12"/>
      <c r="O85" s="12"/>
      <c r="P85" s="11"/>
      <c r="Q85" s="13"/>
      <c r="R85" s="83"/>
      <c r="S85" s="83"/>
      <c r="T85" s="83"/>
      <c r="U85" s="83"/>
      <c r="V85" s="12"/>
      <c r="W85" s="11"/>
      <c r="X85" s="83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83"/>
      <c r="C86" s="83"/>
      <c r="D86" s="83"/>
      <c r="E86" s="10"/>
      <c r="F86" s="10"/>
      <c r="G86" s="10"/>
      <c r="H86" s="83"/>
      <c r="I86" s="11"/>
      <c r="J86" s="83"/>
      <c r="K86" s="83"/>
      <c r="L86" s="12"/>
      <c r="M86" s="12"/>
      <c r="N86" s="12"/>
      <c r="O86" s="12"/>
      <c r="P86" s="11"/>
      <c r="Q86" s="13"/>
      <c r="R86" s="83"/>
      <c r="S86" s="83"/>
      <c r="T86" s="83"/>
      <c r="U86" s="83"/>
      <c r="V86" s="12"/>
      <c r="W86" s="11"/>
      <c r="X86" s="83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83"/>
      <c r="C87" s="83"/>
      <c r="D87" s="83"/>
      <c r="E87" s="10"/>
      <c r="F87" s="10"/>
      <c r="G87" s="10"/>
      <c r="H87" s="83"/>
      <c r="I87" s="11"/>
      <c r="J87" s="83"/>
      <c r="K87" s="83"/>
      <c r="L87" s="12"/>
      <c r="M87" s="12"/>
      <c r="N87" s="12"/>
      <c r="O87" s="12"/>
      <c r="P87" s="11"/>
      <c r="Q87" s="13"/>
      <c r="R87" s="83"/>
      <c r="S87" s="83"/>
      <c r="T87" s="83"/>
      <c r="U87" s="83"/>
      <c r="V87" s="12"/>
      <c r="W87" s="11"/>
      <c r="X87" s="83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83"/>
      <c r="C88" s="83"/>
      <c r="D88" s="83"/>
      <c r="E88" s="10"/>
      <c r="F88" s="10"/>
      <c r="G88" s="10"/>
      <c r="H88" s="83"/>
      <c r="I88" s="11"/>
      <c r="J88" s="83"/>
      <c r="K88" s="83"/>
      <c r="L88" s="12"/>
      <c r="M88" s="12"/>
      <c r="N88" s="12"/>
      <c r="O88" s="12"/>
      <c r="P88" s="11"/>
      <c r="Q88" s="13"/>
      <c r="R88" s="83"/>
      <c r="S88" s="83"/>
      <c r="T88" s="83"/>
      <c r="U88" s="83"/>
      <c r="V88" s="12"/>
      <c r="W88" s="11"/>
      <c r="X88" s="83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  <row r="89" spans="1:38" x14ac:dyDescent="0.25">
      <c r="A89" s="11"/>
      <c r="B89" s="83"/>
      <c r="C89" s="83"/>
      <c r="D89" s="83"/>
      <c r="E89" s="10"/>
      <c r="F89" s="10"/>
      <c r="G89" s="10"/>
      <c r="H89" s="83"/>
      <c r="I89" s="11"/>
      <c r="J89" s="83"/>
      <c r="K89" s="83"/>
      <c r="L89" s="12"/>
      <c r="M89" s="12"/>
      <c r="N89" s="12"/>
      <c r="O89" s="12"/>
      <c r="P89" s="11"/>
      <c r="Q89" s="13"/>
      <c r="R89" s="83"/>
      <c r="S89" s="83"/>
      <c r="T89" s="83"/>
      <c r="U89" s="83"/>
      <c r="V89" s="12"/>
      <c r="W89" s="11"/>
      <c r="X89" s="83"/>
      <c r="Y89" s="12"/>
      <c r="Z89" s="11"/>
      <c r="AA89" s="14"/>
      <c r="AB89" s="11"/>
      <c r="AC89" s="11"/>
      <c r="AD89" s="15"/>
      <c r="AE89" s="11"/>
      <c r="AF89" s="11"/>
      <c r="AG89" s="11"/>
      <c r="AH89" s="11"/>
      <c r="AI89" s="11"/>
      <c r="AJ89" s="11"/>
      <c r="AK89" s="11"/>
      <c r="AL89" s="11"/>
    </row>
    <row r="90" spans="1:38" x14ac:dyDescent="0.25">
      <c r="A90" s="11"/>
      <c r="B90" s="83"/>
      <c r="C90" s="83"/>
      <c r="D90" s="83"/>
      <c r="E90" s="10"/>
      <c r="F90" s="10"/>
      <c r="G90" s="10"/>
      <c r="H90" s="83"/>
      <c r="I90" s="11"/>
      <c r="J90" s="83"/>
      <c r="K90" s="83"/>
      <c r="L90" s="12"/>
      <c r="M90" s="12"/>
      <c r="N90" s="12"/>
      <c r="O90" s="12"/>
      <c r="P90" s="11"/>
      <c r="Q90" s="13"/>
      <c r="R90" s="83"/>
      <c r="S90" s="83"/>
      <c r="T90" s="83"/>
      <c r="U90" s="83"/>
      <c r="V90" s="12"/>
      <c r="W90" s="11"/>
      <c r="X90" s="83"/>
      <c r="Y90" s="12"/>
      <c r="Z90" s="11"/>
      <c r="AA90" s="14"/>
      <c r="AB90" s="11"/>
      <c r="AC90" s="11"/>
      <c r="AD90" s="15"/>
      <c r="AE90" s="11"/>
      <c r="AF90" s="11"/>
      <c r="AG90" s="11"/>
      <c r="AH90" s="11"/>
      <c r="AI90" s="11"/>
      <c r="AJ90" s="11"/>
      <c r="AK90" s="11"/>
      <c r="AL90" s="11"/>
    </row>
    <row r="91" spans="1:38" x14ac:dyDescent="0.25">
      <c r="A91" s="11"/>
      <c r="B91" s="83"/>
      <c r="C91" s="83"/>
      <c r="D91" s="83"/>
      <c r="E91" s="10"/>
      <c r="F91" s="10"/>
      <c r="G91" s="10"/>
      <c r="H91" s="83"/>
      <c r="I91" s="11"/>
      <c r="J91" s="83"/>
      <c r="K91" s="83"/>
      <c r="L91" s="12"/>
      <c r="M91" s="12"/>
      <c r="N91" s="12"/>
      <c r="O91" s="12"/>
      <c r="P91" s="11"/>
      <c r="Q91" s="13"/>
      <c r="R91" s="83"/>
      <c r="S91" s="83"/>
      <c r="T91" s="83"/>
      <c r="U91" s="83"/>
      <c r="V91" s="12"/>
      <c r="W91" s="11"/>
      <c r="X91" s="83"/>
      <c r="Y91" s="12"/>
      <c r="Z91" s="11"/>
      <c r="AA91" s="14"/>
      <c r="AB91" s="11"/>
      <c r="AC91" s="11"/>
      <c r="AD91" s="15"/>
      <c r="AE91" s="11"/>
      <c r="AF91" s="11"/>
      <c r="AG91" s="11"/>
      <c r="AH91" s="11"/>
      <c r="AI91" s="11"/>
      <c r="AJ91" s="11"/>
      <c r="AK91" s="11"/>
      <c r="AL91" s="11"/>
    </row>
    <row r="92" spans="1:38" x14ac:dyDescent="0.25">
      <c r="A92" s="11"/>
      <c r="B92" s="83"/>
      <c r="C92" s="83"/>
      <c r="D92" s="83"/>
      <c r="E92" s="10"/>
      <c r="F92" s="10"/>
      <c r="G92" s="10"/>
      <c r="H92" s="83"/>
      <c r="I92" s="11"/>
      <c r="J92" s="83"/>
      <c r="K92" s="83"/>
      <c r="L92" s="12"/>
      <c r="M92" s="12"/>
      <c r="N92" s="12"/>
      <c r="O92" s="12"/>
      <c r="P92" s="11"/>
      <c r="Q92" s="13"/>
      <c r="R92" s="83"/>
      <c r="S92" s="83"/>
      <c r="T92" s="83"/>
      <c r="U92" s="83"/>
      <c r="V92" s="12"/>
      <c r="W92" s="11"/>
      <c r="X92" s="83"/>
      <c r="Y92" s="12"/>
      <c r="Z92" s="11"/>
      <c r="AA92" s="14"/>
      <c r="AB92" s="11"/>
      <c r="AC92" s="11"/>
      <c r="AD92" s="15"/>
      <c r="AE92" s="11"/>
      <c r="AF92" s="11"/>
      <c r="AG92" s="11"/>
      <c r="AH92" s="11"/>
      <c r="AI92" s="11"/>
      <c r="AJ92" s="11"/>
      <c r="AK92" s="11"/>
      <c r="AL92" s="11"/>
    </row>
    <row r="93" spans="1:38" x14ac:dyDescent="0.25">
      <c r="A93" s="11"/>
      <c r="B93" s="83"/>
      <c r="C93" s="83"/>
      <c r="D93" s="83"/>
      <c r="E93" s="10"/>
      <c r="F93" s="10"/>
      <c r="G93" s="10"/>
      <c r="H93" s="83"/>
      <c r="I93" s="11"/>
      <c r="J93" s="83"/>
      <c r="K93" s="83"/>
      <c r="L93" s="12"/>
      <c r="M93" s="12"/>
      <c r="N93" s="12"/>
      <c r="O93" s="12"/>
      <c r="P93" s="11"/>
      <c r="Q93" s="13"/>
      <c r="R93" s="83"/>
      <c r="S93" s="83"/>
      <c r="T93" s="83"/>
      <c r="U93" s="83"/>
      <c r="V93" s="12"/>
      <c r="W93" s="11"/>
      <c r="X93" s="83"/>
      <c r="Y93" s="12"/>
      <c r="Z93" s="11"/>
      <c r="AA93" s="14"/>
      <c r="AB93" s="11"/>
      <c r="AC93" s="11"/>
      <c r="AD93" s="15"/>
      <c r="AE93" s="11"/>
      <c r="AF93" s="11"/>
      <c r="AG93" s="11"/>
      <c r="AH93" s="11"/>
      <c r="AI93" s="11"/>
      <c r="AJ93" s="11"/>
      <c r="AK93" s="11"/>
      <c r="AL93" s="11"/>
    </row>
    <row r="94" spans="1:38" x14ac:dyDescent="0.25">
      <c r="A94" s="11"/>
      <c r="B94" s="83"/>
      <c r="C94" s="83"/>
      <c r="D94" s="83"/>
      <c r="E94" s="10"/>
      <c r="F94" s="10"/>
      <c r="G94" s="10"/>
      <c r="H94" s="83"/>
      <c r="I94" s="11"/>
      <c r="J94" s="83"/>
      <c r="K94" s="83"/>
      <c r="L94" s="12"/>
      <c r="M94" s="12"/>
      <c r="N94" s="12"/>
      <c r="O94" s="12"/>
      <c r="P94" s="11"/>
      <c r="Q94" s="13"/>
      <c r="R94" s="83"/>
      <c r="S94" s="83"/>
      <c r="T94" s="83"/>
      <c r="U94" s="83"/>
      <c r="V94" s="12"/>
      <c r="W94" s="11"/>
      <c r="X94" s="83"/>
      <c r="Y94" s="12"/>
      <c r="Z94" s="11"/>
      <c r="AA94" s="14"/>
      <c r="AB94" s="11"/>
      <c r="AC94" s="11"/>
      <c r="AD94" s="15"/>
      <c r="AE94" s="11"/>
      <c r="AF94" s="11"/>
      <c r="AG94" s="11"/>
      <c r="AH94" s="11"/>
      <c r="AI94" s="11"/>
      <c r="AJ94" s="11"/>
      <c r="AK94" s="11"/>
      <c r="AL94" s="11"/>
    </row>
    <row r="95" spans="1:38" x14ac:dyDescent="0.25">
      <c r="A95" s="11"/>
      <c r="B95" s="83"/>
      <c r="C95" s="83"/>
      <c r="D95" s="83"/>
      <c r="E95" s="10"/>
      <c r="F95" s="10"/>
      <c r="G95" s="10"/>
      <c r="H95" s="83"/>
      <c r="I95" s="11"/>
      <c r="J95" s="83"/>
      <c r="K95" s="83"/>
      <c r="L95" s="12"/>
      <c r="M95" s="12"/>
      <c r="N95" s="12"/>
      <c r="O95" s="12"/>
      <c r="P95" s="11"/>
      <c r="Q95" s="13"/>
      <c r="R95" s="83"/>
      <c r="S95" s="83"/>
      <c r="T95" s="83"/>
      <c r="U95" s="83"/>
      <c r="V95" s="12"/>
      <c r="W95" s="11"/>
      <c r="X95" s="83"/>
      <c r="Y95" s="12"/>
      <c r="Z95" s="11"/>
      <c r="AA95" s="14"/>
      <c r="AB95" s="11"/>
      <c r="AC95" s="11"/>
      <c r="AD95" s="15"/>
      <c r="AE95" s="11"/>
      <c r="AF95" s="11"/>
      <c r="AG95" s="11"/>
      <c r="AH95" s="11"/>
      <c r="AI95" s="11"/>
      <c r="AJ95" s="11"/>
      <c r="AK95" s="11"/>
      <c r="AL95" s="11"/>
    </row>
    <row r="96" spans="1:38" x14ac:dyDescent="0.25">
      <c r="A96" s="11"/>
      <c r="B96" s="83"/>
      <c r="C96" s="83"/>
      <c r="D96" s="83"/>
      <c r="E96" s="10"/>
      <c r="F96" s="10"/>
      <c r="G96" s="10"/>
      <c r="H96" s="83"/>
      <c r="I96" s="11"/>
      <c r="J96" s="83"/>
      <c r="K96" s="83"/>
      <c r="L96" s="12"/>
      <c r="M96" s="12"/>
      <c r="N96" s="12"/>
      <c r="O96" s="12"/>
      <c r="P96" s="11"/>
      <c r="Q96" s="13"/>
      <c r="R96" s="83"/>
      <c r="S96" s="83"/>
      <c r="T96" s="83"/>
      <c r="U96" s="83"/>
      <c r="V96" s="12"/>
      <c r="W96" s="11"/>
      <c r="X96" s="83"/>
      <c r="Y96" s="12"/>
      <c r="Z96" s="11"/>
      <c r="AA96" s="14"/>
      <c r="AB96" s="11"/>
      <c r="AC96" s="11"/>
      <c r="AD96" s="15"/>
      <c r="AE96" s="11"/>
      <c r="AF96" s="11"/>
      <c r="AG96" s="11"/>
      <c r="AH96" s="11"/>
      <c r="AI96" s="11"/>
      <c r="AJ96" s="11"/>
      <c r="AK96" s="11"/>
      <c r="AL96" s="11"/>
    </row>
    <row r="97" spans="1:38" x14ac:dyDescent="0.25">
      <c r="A97" s="11"/>
      <c r="B97" s="83"/>
      <c r="C97" s="83"/>
      <c r="D97" s="83"/>
      <c r="E97" s="10"/>
      <c r="F97" s="10"/>
      <c r="G97" s="10"/>
      <c r="H97" s="83"/>
      <c r="I97" s="11"/>
      <c r="J97" s="83"/>
      <c r="K97" s="83"/>
      <c r="L97" s="12"/>
      <c r="M97" s="12"/>
      <c r="N97" s="12"/>
      <c r="O97" s="12"/>
      <c r="P97" s="11"/>
      <c r="Q97" s="13"/>
      <c r="R97" s="83"/>
      <c r="S97" s="83"/>
      <c r="T97" s="83"/>
      <c r="U97" s="83"/>
      <c r="V97" s="12"/>
      <c r="W97" s="11"/>
      <c r="X97" s="83"/>
      <c r="Y97" s="12"/>
      <c r="Z97" s="11"/>
      <c r="AA97" s="14"/>
      <c r="AB97" s="11"/>
      <c r="AC97" s="11"/>
      <c r="AD97" s="15"/>
      <c r="AE97" s="11"/>
      <c r="AF97" s="11"/>
      <c r="AG97" s="11"/>
      <c r="AH97" s="11"/>
      <c r="AI97" s="11"/>
      <c r="AJ97" s="11"/>
      <c r="AK97" s="11"/>
      <c r="AL97" s="11"/>
    </row>
    <row r="98" spans="1:38" x14ac:dyDescent="0.25">
      <c r="A98" s="11"/>
      <c r="B98" s="83"/>
      <c r="C98" s="83"/>
      <c r="D98" s="83"/>
      <c r="E98" s="10"/>
      <c r="F98" s="10"/>
      <c r="G98" s="10"/>
      <c r="H98" s="83"/>
      <c r="I98" s="11"/>
      <c r="J98" s="83"/>
      <c r="K98" s="83"/>
      <c r="L98" s="12"/>
      <c r="M98" s="12"/>
      <c r="N98" s="12"/>
      <c r="O98" s="12"/>
      <c r="P98" s="11"/>
      <c r="Q98" s="13"/>
      <c r="R98" s="83"/>
      <c r="S98" s="83"/>
      <c r="T98" s="83"/>
      <c r="U98" s="83"/>
      <c r="V98" s="12"/>
      <c r="W98" s="11"/>
      <c r="X98" s="83"/>
      <c r="Y98" s="12"/>
      <c r="Z98" s="11"/>
      <c r="AA98" s="14"/>
      <c r="AB98" s="11"/>
      <c r="AC98" s="11"/>
      <c r="AD98" s="15"/>
      <c r="AE98" s="11"/>
      <c r="AF98" s="11"/>
      <c r="AG98" s="11"/>
      <c r="AH98" s="11"/>
      <c r="AI98" s="11"/>
      <c r="AJ98" s="11"/>
      <c r="AK98" s="11"/>
      <c r="AL98" s="11"/>
    </row>
    <row r="99" spans="1:38" x14ac:dyDescent="0.25">
      <c r="A99" s="11"/>
      <c r="B99" s="83"/>
      <c r="C99" s="83"/>
      <c r="D99" s="83"/>
      <c r="E99" s="10"/>
      <c r="F99" s="10"/>
      <c r="G99" s="10"/>
      <c r="H99" s="83"/>
      <c r="I99" s="11"/>
      <c r="J99" s="83"/>
      <c r="K99" s="83"/>
      <c r="L99" s="12"/>
      <c r="M99" s="12"/>
      <c r="N99" s="12"/>
      <c r="O99" s="12"/>
      <c r="P99" s="11"/>
      <c r="Q99" s="13"/>
      <c r="R99" s="83"/>
      <c r="S99" s="83"/>
      <c r="T99" s="83"/>
      <c r="U99" s="83"/>
      <c r="V99" s="12"/>
      <c r="W99" s="11"/>
      <c r="X99" s="83"/>
      <c r="Y99" s="12"/>
      <c r="Z99" s="11"/>
      <c r="AA99" s="14"/>
      <c r="AB99" s="11"/>
      <c r="AC99" s="11"/>
      <c r="AD99" s="15"/>
      <c r="AE99" s="11"/>
      <c r="AF99" s="11"/>
      <c r="AG99" s="11"/>
      <c r="AH99" s="11"/>
      <c r="AI99" s="11"/>
      <c r="AJ99" s="11"/>
      <c r="AK99" s="11"/>
      <c r="AL99" s="11"/>
    </row>
    <row r="100" spans="1:38" x14ac:dyDescent="0.25">
      <c r="A100" s="11"/>
      <c r="B100" s="83"/>
      <c r="C100" s="83"/>
      <c r="D100" s="83"/>
      <c r="E100" s="10"/>
      <c r="F100" s="10"/>
      <c r="G100" s="10"/>
      <c r="H100" s="83"/>
      <c r="I100" s="11"/>
      <c r="J100" s="83"/>
      <c r="K100" s="83"/>
      <c r="L100" s="12"/>
      <c r="M100" s="12"/>
      <c r="N100" s="12"/>
      <c r="O100" s="12"/>
      <c r="P100" s="11"/>
      <c r="Q100" s="13"/>
      <c r="R100" s="83"/>
      <c r="S100" s="83"/>
      <c r="T100" s="83"/>
      <c r="U100" s="83"/>
      <c r="V100" s="12"/>
      <c r="W100" s="11"/>
      <c r="X100" s="83"/>
      <c r="Y100" s="12"/>
      <c r="Z100" s="11"/>
      <c r="AA100" s="14"/>
      <c r="AB100" s="11"/>
      <c r="AC100" s="11"/>
      <c r="AD100" s="15"/>
      <c r="AE100" s="11"/>
      <c r="AF100" s="11"/>
      <c r="AG100" s="11"/>
      <c r="AH100" s="11"/>
      <c r="AI100" s="11"/>
      <c r="AJ100" s="11"/>
      <c r="AK100" s="11"/>
      <c r="AL100" s="11"/>
    </row>
    <row r="101" spans="1:38" x14ac:dyDescent="0.25">
      <c r="A101" s="11"/>
      <c r="B101" s="83"/>
      <c r="C101" s="83"/>
      <c r="D101" s="83"/>
      <c r="E101" s="10"/>
      <c r="F101" s="10"/>
      <c r="G101" s="10"/>
      <c r="H101" s="83"/>
      <c r="I101" s="11"/>
      <c r="J101" s="83"/>
      <c r="K101" s="83"/>
      <c r="L101" s="12"/>
      <c r="M101" s="12"/>
      <c r="N101" s="12"/>
      <c r="O101" s="12"/>
      <c r="P101" s="11"/>
      <c r="Q101" s="13"/>
      <c r="R101" s="83"/>
      <c r="S101" s="83"/>
      <c r="T101" s="83"/>
      <c r="U101" s="83"/>
      <c r="V101" s="12"/>
      <c r="W101" s="11"/>
      <c r="X101" s="83"/>
      <c r="Y101" s="12"/>
      <c r="Z101" s="11"/>
      <c r="AA101" s="14"/>
      <c r="AB101" s="11"/>
      <c r="AC101" s="11"/>
      <c r="AD101" s="15"/>
      <c r="AE101" s="11"/>
      <c r="AF101" s="11"/>
      <c r="AG101" s="11"/>
      <c r="AH101" s="11"/>
      <c r="AI101" s="11"/>
      <c r="AJ101" s="11"/>
      <c r="AK101" s="11"/>
      <c r="AL101" s="1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F6D7-D3A6-4988-A94B-64B8E0583EE2}">
  <dimension ref="A1:AL101"/>
  <sheetViews>
    <sheetView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A2" sqref="A2:A6"/>
    </sheetView>
  </sheetViews>
  <sheetFormatPr baseColWidth="10" defaultColWidth="1.375" defaultRowHeight="15" x14ac:dyDescent="0.25"/>
  <cols>
    <col min="1" max="1" width="11.125" style="82" customWidth="1"/>
    <col min="2" max="2" width="12.75" style="82" bestFit="1" customWidth="1"/>
    <col min="3" max="3" width="11.75" style="82" bestFit="1" customWidth="1"/>
    <col min="4" max="4" width="14.375" style="82" bestFit="1" customWidth="1"/>
    <col min="5" max="6" width="15.375" style="82" bestFit="1" customWidth="1"/>
    <col min="7" max="7" width="10.625" style="82" bestFit="1" customWidth="1"/>
    <col min="8" max="8" width="7.625" style="82" bestFit="1" customWidth="1"/>
    <col min="9" max="9" width="11.5" style="82" bestFit="1" customWidth="1"/>
    <col min="10" max="10" width="8.375" style="82" bestFit="1" customWidth="1"/>
    <col min="11" max="11" width="11.5" style="82" bestFit="1" customWidth="1"/>
    <col min="12" max="15" width="9.25" style="82" bestFit="1" customWidth="1"/>
    <col min="16" max="16" width="8.625" style="82" bestFit="1" customWidth="1"/>
    <col min="17" max="17" width="7.375" style="82" bestFit="1" customWidth="1"/>
    <col min="18" max="18" width="11" style="82" bestFit="1" customWidth="1"/>
    <col min="19" max="19" width="9.875" style="82" bestFit="1" customWidth="1"/>
    <col min="20" max="20" width="10" style="82" bestFit="1" customWidth="1"/>
    <col min="21" max="21" width="9.125" style="82" bestFit="1" customWidth="1"/>
    <col min="22" max="22" width="11" style="82" bestFit="1" customWidth="1"/>
    <col min="23" max="23" width="7.5" style="82" bestFit="1" customWidth="1"/>
    <col min="24" max="24" width="8.625" style="82" bestFit="1" customWidth="1"/>
    <col min="25" max="25" width="10.125" style="82" bestFit="1" customWidth="1"/>
    <col min="26" max="26" width="8.875" style="82" bestFit="1" customWidth="1"/>
    <col min="27" max="27" width="7.375" style="82" bestFit="1" customWidth="1"/>
    <col min="28" max="28" width="9.25" style="82" bestFit="1" customWidth="1"/>
    <col min="29" max="29" width="12.375" style="82" bestFit="1" customWidth="1"/>
    <col min="30" max="30" width="10.125" style="82" bestFit="1" customWidth="1"/>
    <col min="31" max="31" width="9.25" style="82" bestFit="1" customWidth="1"/>
    <col min="32" max="32" width="10.125" style="82" bestFit="1" customWidth="1"/>
    <col min="33" max="33" width="13.875" style="82" bestFit="1" customWidth="1"/>
    <col min="34" max="34" width="13" style="82" bestFit="1" customWidth="1"/>
    <col min="35" max="35" width="14" style="82" bestFit="1" customWidth="1"/>
    <col min="36" max="36" width="13.125" style="82" bestFit="1" customWidth="1"/>
    <col min="37" max="37" width="9.625" style="82" bestFit="1" customWidth="1"/>
    <col min="38" max="38" width="12.625" style="82" bestFit="1" customWidth="1"/>
    <col min="39" max="16384" width="1.375" style="82"/>
  </cols>
  <sheetData>
    <row r="1" spans="1:38" ht="83.25" customHeight="1" x14ac:dyDescent="0.25">
      <c r="A1" s="81" t="s">
        <v>28</v>
      </c>
      <c r="B1" s="80" t="s">
        <v>53</v>
      </c>
      <c r="C1" s="80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80" t="s">
        <v>6</v>
      </c>
      <c r="J1" s="80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80" t="s">
        <v>14</v>
      </c>
      <c r="R1" s="80" t="s">
        <v>15</v>
      </c>
      <c r="S1" s="80" t="s">
        <v>16</v>
      </c>
      <c r="T1" s="80" t="s">
        <v>17</v>
      </c>
      <c r="U1" s="2" t="s">
        <v>18</v>
      </c>
      <c r="V1" s="2" t="s">
        <v>19</v>
      </c>
      <c r="W1" s="80" t="s">
        <v>20</v>
      </c>
      <c r="X1" s="2" t="s">
        <v>21</v>
      </c>
      <c r="Y1" s="2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81" t="s">
        <v>29</v>
      </c>
      <c r="AF1" s="81" t="s">
        <v>30</v>
      </c>
      <c r="AG1" s="81" t="s">
        <v>31</v>
      </c>
      <c r="AH1" s="81" t="s">
        <v>32</v>
      </c>
      <c r="AI1" s="81" t="s">
        <v>33</v>
      </c>
      <c r="AJ1" s="81" t="s">
        <v>34</v>
      </c>
      <c r="AK1" s="81" t="s">
        <v>35</v>
      </c>
      <c r="AL1" s="1"/>
    </row>
    <row r="2" spans="1:38" x14ac:dyDescent="0.25">
      <c r="A2" s="70" t="s">
        <v>49</v>
      </c>
      <c r="B2" s="21">
        <v>17</v>
      </c>
      <c r="C2" s="21">
        <v>18</v>
      </c>
      <c r="D2" s="21">
        <v>323070</v>
      </c>
      <c r="E2" s="22">
        <v>2379460</v>
      </c>
      <c r="F2" s="22">
        <v>-2056390</v>
      </c>
      <c r="G2" s="22">
        <v>5283</v>
      </c>
      <c r="H2" s="21">
        <v>35.434412265758091</v>
      </c>
      <c r="I2" s="23">
        <v>1872</v>
      </c>
      <c r="J2" s="21">
        <v>3386</v>
      </c>
      <c r="K2" s="21">
        <v>11980</v>
      </c>
      <c r="L2" s="24">
        <v>-5290</v>
      </c>
      <c r="M2" s="24">
        <v>1271.0791015625</v>
      </c>
      <c r="N2" s="24">
        <v>-607.32135009765625</v>
      </c>
      <c r="O2" s="24">
        <v>2.0929267534528671</v>
      </c>
      <c r="P2" s="23">
        <v>61.15275411697899</v>
      </c>
      <c r="Q2" s="25">
        <v>9</v>
      </c>
      <c r="R2" s="21">
        <v>17</v>
      </c>
      <c r="S2" s="21">
        <v>61</v>
      </c>
      <c r="T2" s="21">
        <v>23</v>
      </c>
      <c r="U2" s="21">
        <v>-38485</v>
      </c>
      <c r="V2" s="24">
        <v>1.157105412883743</v>
      </c>
      <c r="W2" s="23">
        <v>1</v>
      </c>
      <c r="X2" s="21">
        <v>38485</v>
      </c>
      <c r="Y2" s="24">
        <v>839.46992334675849</v>
      </c>
      <c r="Z2" s="23">
        <v>15714.876965051319</v>
      </c>
      <c r="AA2" s="92">
        <v>2.4108133126894828</v>
      </c>
      <c r="AB2" s="23">
        <v>3.0341434196127461</v>
      </c>
      <c r="AC2" s="23">
        <v>313642.68405653536</v>
      </c>
      <c r="AD2" s="86">
        <v>111.51268598378006</v>
      </c>
      <c r="AE2" s="5">
        <f>(Opti_Salidas__30_ALL_Data[[#This Row],[All: TS Index]]-Z$47) /ABS(Z$47)</f>
        <v>-2.7914359956406906E-3</v>
      </c>
      <c r="AF2" s="11">
        <f>(Opti_Salidas__30_ALL_Data[[#This Row],[All: Expectancy Score]]-AA$47) /ABS(AA$47)</f>
        <v>-0.91134204781553763</v>
      </c>
      <c r="AG2" s="11"/>
      <c r="AH2" s="11">
        <f>(Opti_Salidas__30_ALL_Data[[#This Row],[All: Perfect Profit Correlation]]-AC$47) /ABS(AC$47)</f>
        <v>0</v>
      </c>
      <c r="AI2" s="11">
        <f>(Opti_Salidas__30_ALL_Data[[#This Row],[All: Robustness Index]]-AD$47) /ABS(AD$47)</f>
        <v>-0.74788618122893991</v>
      </c>
      <c r="AJ2" s="11">
        <f>SUM(Opti_Salidas__30_ALL_Data[[#This Row],[VAR TS Index]:[VAR Robustness Index]])</f>
        <v>-1.6620196650401182</v>
      </c>
      <c r="AK2" s="11">
        <f>Opti_Salidas__30_ALL_Data[[#This Row],[SUMA]]-Opti_Salidas__30_ALL_Data[[#This Row],[VAR Robustness Index]]</f>
        <v>-0.91413348381117832</v>
      </c>
      <c r="AL2" s="11"/>
    </row>
    <row r="3" spans="1:38" x14ac:dyDescent="0.25">
      <c r="A3" s="70" t="s">
        <v>50</v>
      </c>
      <c r="B3" s="26">
        <v>6</v>
      </c>
      <c r="C3" s="26">
        <v>7</v>
      </c>
      <c r="D3" s="26">
        <v>316300</v>
      </c>
      <c r="E3" s="27">
        <v>2398770</v>
      </c>
      <c r="F3" s="27">
        <v>-2082470</v>
      </c>
      <c r="G3" s="27">
        <v>5283</v>
      </c>
      <c r="H3" s="26">
        <v>35.86977096346773</v>
      </c>
      <c r="I3" s="28">
        <v>1895</v>
      </c>
      <c r="J3" s="26">
        <v>3362</v>
      </c>
      <c r="K3" s="26">
        <v>11410</v>
      </c>
      <c r="L3" s="29">
        <v>-5640</v>
      </c>
      <c r="M3" s="29">
        <v>1265.8416748046875</v>
      </c>
      <c r="N3" s="29">
        <v>-619.4140625</v>
      </c>
      <c r="O3" s="29">
        <v>2.0436114570851989</v>
      </c>
      <c r="P3" s="28">
        <v>59.871285254590198</v>
      </c>
      <c r="Q3" s="30">
        <v>9</v>
      </c>
      <c r="R3" s="26">
        <v>17</v>
      </c>
      <c r="S3" s="26">
        <v>60</v>
      </c>
      <c r="T3" s="26">
        <v>24</v>
      </c>
      <c r="U3" s="26">
        <v>-38035</v>
      </c>
      <c r="V3" s="29">
        <v>1.1518869419487441</v>
      </c>
      <c r="W3" s="28">
        <v>1</v>
      </c>
      <c r="X3" s="26">
        <v>38035</v>
      </c>
      <c r="Y3" s="29">
        <v>831.60247140791375</v>
      </c>
      <c r="Z3" s="28">
        <v>15758.866833179965</v>
      </c>
      <c r="AA3" s="90">
        <v>2.4278687741686542</v>
      </c>
      <c r="AB3" s="28">
        <v>2.971112219701193</v>
      </c>
      <c r="AC3" s="28">
        <v>306193.66992668429</v>
      </c>
      <c r="AD3" s="87">
        <v>117.99564691624012</v>
      </c>
      <c r="AE3" s="11">
        <f>(Opti_Salidas__30_ALL_Data[[#This Row],[All: TS Index]]-Z$47) /ABS(Z$47)</f>
        <v>0</v>
      </c>
      <c r="AF3" s="11">
        <f>(Opti_Salidas__30_ALL_Data[[#This Row],[All: Expectancy Score]]-AA$47) /ABS(AA$47)</f>
        <v>-0.91071483114954976</v>
      </c>
      <c r="AG3" s="11"/>
      <c r="AH3" s="11">
        <f>(Opti_Salidas__30_ALL_Data[[#This Row],[All: Perfect Profit Correlation]]-AC$47) /ABS(AC$47)</f>
        <v>-2.3750001222755626E-2</v>
      </c>
      <c r="AI3" s="11">
        <f>(Opti_Salidas__30_ALL_Data[[#This Row],[All: Robustness Index]]-AD$47) /ABS(AD$47)</f>
        <v>-0.73322915792072341</v>
      </c>
      <c r="AJ3" s="11">
        <f>SUM(Opti_Salidas__30_ALL_Data[[#This Row],[VAR TS Index]:[VAR Robustness Index]])</f>
        <v>-1.6676939902930288</v>
      </c>
      <c r="AK3" s="11">
        <f>Opti_Salidas__30_ALL_Data[[#This Row],[SUMA]]-Opti_Salidas__30_ALL_Data[[#This Row],[VAR Robustness Index]]</f>
        <v>-0.93446483237230538</v>
      </c>
      <c r="AL3" s="11"/>
    </row>
    <row r="4" spans="1:38" x14ac:dyDescent="0.25">
      <c r="A4" s="70" t="s">
        <v>51</v>
      </c>
      <c r="B4" s="31">
        <v>20</v>
      </c>
      <c r="C4" s="31">
        <v>21</v>
      </c>
      <c r="D4" s="31">
        <v>149110</v>
      </c>
      <c r="E4" s="32">
        <v>1793320</v>
      </c>
      <c r="F4" s="32">
        <v>-1644210</v>
      </c>
      <c r="G4" s="32">
        <v>5283</v>
      </c>
      <c r="H4" s="31">
        <v>30.550823395797842</v>
      </c>
      <c r="I4" s="33">
        <v>1614</v>
      </c>
      <c r="J4" s="31">
        <v>3644</v>
      </c>
      <c r="K4" s="31">
        <v>15660</v>
      </c>
      <c r="L4" s="34">
        <v>-3940</v>
      </c>
      <c r="M4" s="34">
        <v>1111.1029052734375</v>
      </c>
      <c r="N4" s="34">
        <v>-451.210205078125</v>
      </c>
      <c r="O4" s="34">
        <v>2.4624950694123928</v>
      </c>
      <c r="P4" s="33">
        <v>28.224493658905924</v>
      </c>
      <c r="Q4" s="35">
        <v>6</v>
      </c>
      <c r="R4" s="31">
        <v>21</v>
      </c>
      <c r="S4" s="31">
        <v>47</v>
      </c>
      <c r="T4" s="31">
        <v>16</v>
      </c>
      <c r="U4" s="31">
        <v>-35995</v>
      </c>
      <c r="V4" s="34">
        <v>1.090687929157468</v>
      </c>
      <c r="W4" s="33">
        <v>1</v>
      </c>
      <c r="X4" s="31">
        <v>35995</v>
      </c>
      <c r="Y4" s="34">
        <v>414.25197944158913</v>
      </c>
      <c r="Z4" s="33">
        <v>6686.0269481872483</v>
      </c>
      <c r="AA4" s="94">
        <v>27.192296385027348</v>
      </c>
      <c r="AB4" s="33">
        <v>1.3170942029227319</v>
      </c>
      <c r="AC4" s="33">
        <v>145556.78613294696</v>
      </c>
      <c r="AD4" s="88">
        <v>98.687637165539542</v>
      </c>
      <c r="AE4" s="11">
        <f>(Opti_Salidas__30_ALL_Data[[#This Row],[All: TS Index]]-Z$47) /ABS(Z$47)</f>
        <v>-0.57572920572499808</v>
      </c>
      <c r="AF4" s="11">
        <f>(Opti_Salidas__30_ALL_Data[[#This Row],[All: Expectancy Score]]-AA$47) /ABS(AA$47)</f>
        <v>0</v>
      </c>
      <c r="AG4" s="11"/>
      <c r="AH4" s="11">
        <f>(Opti_Salidas__30_ALL_Data[[#This Row],[All: Perfect Profit Correlation]]-AC$47) /ABS(AC$47)</f>
        <v>-0.53591525155195474</v>
      </c>
      <c r="AI4" s="11">
        <f>(Opti_Salidas__30_ALL_Data[[#This Row],[All: Robustness Index]]-AD$47) /ABS(AD$47)</f>
        <v>-0.77688173455963627</v>
      </c>
      <c r="AJ4" s="11">
        <f>SUM(Opti_Salidas__30_ALL_Data[[#This Row],[VAR TS Index]:[VAR Robustness Index]])</f>
        <v>-1.888526191836589</v>
      </c>
      <c r="AK4" s="11">
        <f>Opti_Salidas__30_ALL_Data[[#This Row],[SUMA]]-Opti_Salidas__30_ALL_Data[[#This Row],[VAR Robustness Index]]</f>
        <v>-1.1116444572769528</v>
      </c>
      <c r="AL4" s="11"/>
    </row>
    <row r="5" spans="1:38" x14ac:dyDescent="0.25">
      <c r="A5" s="70" t="s">
        <v>54</v>
      </c>
      <c r="B5" s="72">
        <v>26</v>
      </c>
      <c r="C5" s="72">
        <v>27</v>
      </c>
      <c r="D5" s="72">
        <v>284700</v>
      </c>
      <c r="E5" s="73">
        <v>2354010</v>
      </c>
      <c r="F5" s="73">
        <v>-2069310</v>
      </c>
      <c r="G5" s="73">
        <v>5283</v>
      </c>
      <c r="H5" s="72">
        <v>35.926556880560291</v>
      </c>
      <c r="I5" s="71">
        <v>1898</v>
      </c>
      <c r="J5" s="72">
        <v>3360</v>
      </c>
      <c r="K5" s="72">
        <v>4100</v>
      </c>
      <c r="L5" s="74">
        <v>-5640</v>
      </c>
      <c r="M5" s="74">
        <v>1240.2581787109375</v>
      </c>
      <c r="N5" s="74">
        <v>-615.8660888671875</v>
      </c>
      <c r="O5" s="74">
        <v>2.0138439201811629</v>
      </c>
      <c r="P5" s="71">
        <v>53.889835320840433</v>
      </c>
      <c r="Q5" s="75">
        <v>9</v>
      </c>
      <c r="R5" s="72">
        <v>17</v>
      </c>
      <c r="S5" s="72">
        <v>57</v>
      </c>
      <c r="T5" s="72">
        <v>24</v>
      </c>
      <c r="U5" s="72">
        <v>-37555</v>
      </c>
      <c r="V5" s="74">
        <v>1.1375820925815849</v>
      </c>
      <c r="W5" s="71">
        <v>1</v>
      </c>
      <c r="X5" s="72">
        <v>37555</v>
      </c>
      <c r="Y5" s="74">
        <v>758.08813739848222</v>
      </c>
      <c r="Z5" s="71">
        <v>14388.512847823193</v>
      </c>
      <c r="AA5" s="95">
        <v>1.37793705516673</v>
      </c>
      <c r="AB5" s="71">
        <v>2.6636584991415848</v>
      </c>
      <c r="AC5" s="71">
        <v>272402.45047244412</v>
      </c>
      <c r="AD5" s="96">
        <v>87.849538095145363</v>
      </c>
      <c r="AE5" s="11">
        <f>(Opti_Salidas__30_ALL_Data[[#This Row],[All: TS Index]]-Z$47) /ABS(Z$47)</f>
        <v>-8.6957647390707118E-2</v>
      </c>
      <c r="AF5" s="11">
        <f>(Opti_Salidas__30_ALL_Data[[#This Row],[All: Expectancy Score]]-AA$47) /ABS(AA$47)</f>
        <v>-0.94932619755036762</v>
      </c>
      <c r="AG5" s="11"/>
      <c r="AH5" s="11">
        <f>(Opti_Salidas__30_ALL_Data[[#This Row],[All: Perfect Profit Correlation]]-AC$47) /ABS(AC$47)</f>
        <v>-0.13148795007970765</v>
      </c>
      <c r="AI5" s="11">
        <f>(Opti_Salidas__30_ALL_Data[[#This Row],[All: Robustness Index]]-AD$47) /ABS(AD$47)</f>
        <v>-0.80138508609090142</v>
      </c>
      <c r="AJ5" s="11">
        <f>SUM(Opti_Salidas__30_ALL_Data[[#This Row],[VAR TS Index]:[VAR Robustness Index]])</f>
        <v>-1.969156881111684</v>
      </c>
      <c r="AK5" s="11">
        <f>Opti_Salidas__30_ALL_Data[[#This Row],[SUMA]]-Opti_Salidas__30_ALL_Data[[#This Row],[VAR Robustness Index]]</f>
        <v>-1.1677717950207827</v>
      </c>
      <c r="AL5" s="11"/>
    </row>
    <row r="6" spans="1:38" x14ac:dyDescent="0.25">
      <c r="A6" s="70" t="s">
        <v>55</v>
      </c>
      <c r="B6" s="72">
        <v>24</v>
      </c>
      <c r="C6" s="72">
        <v>25</v>
      </c>
      <c r="D6" s="72">
        <v>286010</v>
      </c>
      <c r="E6" s="73">
        <v>2360990</v>
      </c>
      <c r="F6" s="73">
        <v>-2074980</v>
      </c>
      <c r="G6" s="73">
        <v>5283</v>
      </c>
      <c r="H6" s="72">
        <v>35.510126821881506</v>
      </c>
      <c r="I6" s="71">
        <v>1876</v>
      </c>
      <c r="J6" s="72">
        <v>3381</v>
      </c>
      <c r="K6" s="72">
        <v>6460</v>
      </c>
      <c r="L6" s="74">
        <v>-5640</v>
      </c>
      <c r="M6" s="74">
        <v>1258.5234375</v>
      </c>
      <c r="N6" s="74">
        <v>-613.71783447265625</v>
      </c>
      <c r="O6" s="74">
        <v>2.0506548234522142</v>
      </c>
      <c r="P6" s="71">
        <v>54.137800492144613</v>
      </c>
      <c r="Q6" s="75">
        <v>9</v>
      </c>
      <c r="R6" s="72">
        <v>17</v>
      </c>
      <c r="S6" s="72">
        <v>65</v>
      </c>
      <c r="T6" s="72">
        <v>24</v>
      </c>
      <c r="U6" s="72">
        <v>-41635</v>
      </c>
      <c r="V6" s="74">
        <v>1.1378374731322709</v>
      </c>
      <c r="W6" s="71">
        <v>1</v>
      </c>
      <c r="X6" s="72">
        <v>41635</v>
      </c>
      <c r="Y6" s="74">
        <v>686.94607902005521</v>
      </c>
      <c r="Z6" s="71">
        <v>12887.108442416236</v>
      </c>
      <c r="AA6" s="95">
        <v>1.265355714457826</v>
      </c>
      <c r="AB6" s="71">
        <v>2.6718526812289118</v>
      </c>
      <c r="AC6" s="71">
        <v>273199.9251329109</v>
      </c>
      <c r="AD6" s="96">
        <v>129.99419023123681</v>
      </c>
      <c r="AE6" s="11">
        <f>(Opti_Salidas__30_ALL_Data[[#This Row],[All: TS Index]]-Z$47) /ABS(Z$47)</f>
        <v>-0.18223127469529102</v>
      </c>
      <c r="AF6" s="11">
        <f>(Opti_Salidas__30_ALL_Data[[#This Row],[All: Expectancy Score]]-AA$47) /ABS(AA$47)</f>
        <v>-0.95346639001939693</v>
      </c>
      <c r="AG6" s="11"/>
      <c r="AH6" s="11">
        <f>(Opti_Salidas__30_ALL_Data[[#This Row],[All: Perfect Profit Correlation]]-AC$47) /ABS(AC$47)</f>
        <v>-0.12894532848830773</v>
      </c>
      <c r="AI6" s="11">
        <f>(Opti_Salidas__30_ALL_Data[[#This Row],[All: Robustness Index]]-AD$47) /ABS(AD$47)</f>
        <v>-0.70610221224501979</v>
      </c>
      <c r="AJ6" s="11">
        <f>SUM(Opti_Salidas__30_ALL_Data[[#This Row],[VAR TS Index]:[VAR Robustness Index]])</f>
        <v>-1.9707452054480155</v>
      </c>
      <c r="AK6" s="11">
        <f>Opti_Salidas__30_ALL_Data[[#This Row],[SUMA]]-Opti_Salidas__30_ALL_Data[[#This Row],[VAR Robustness Index]]</f>
        <v>-1.2646429932029957</v>
      </c>
      <c r="AL6" s="11"/>
    </row>
    <row r="7" spans="1:38" x14ac:dyDescent="0.25">
      <c r="A7" s="11"/>
      <c r="B7" s="83">
        <v>9</v>
      </c>
      <c r="C7" s="83">
        <v>10</v>
      </c>
      <c r="D7" s="83">
        <v>286110</v>
      </c>
      <c r="E7" s="10">
        <v>2349180</v>
      </c>
      <c r="F7" s="10">
        <v>-2063070</v>
      </c>
      <c r="G7" s="10">
        <v>5283</v>
      </c>
      <c r="H7" s="83">
        <v>36.040128714745407</v>
      </c>
      <c r="I7" s="11">
        <v>1904</v>
      </c>
      <c r="J7" s="83">
        <v>3355</v>
      </c>
      <c r="K7" s="83">
        <v>22940</v>
      </c>
      <c r="L7" s="12">
        <v>-5640</v>
      </c>
      <c r="M7" s="12">
        <v>1233.81298828125</v>
      </c>
      <c r="N7" s="12">
        <v>-614.92401123046875</v>
      </c>
      <c r="O7" s="12">
        <v>2.0064478955901861</v>
      </c>
      <c r="P7" s="11">
        <v>54.156729131175467</v>
      </c>
      <c r="Q7" s="13">
        <v>9</v>
      </c>
      <c r="R7" s="83">
        <v>17</v>
      </c>
      <c r="S7" s="83">
        <v>60</v>
      </c>
      <c r="T7" s="83">
        <v>23</v>
      </c>
      <c r="U7" s="83">
        <v>-44765</v>
      </c>
      <c r="V7" s="12">
        <v>1.138681673428434</v>
      </c>
      <c r="W7" s="11">
        <v>1</v>
      </c>
      <c r="X7" s="83">
        <v>44765</v>
      </c>
      <c r="Y7" s="12">
        <v>639.13771920026807</v>
      </c>
      <c r="Z7" s="11">
        <v>12169.182173573105</v>
      </c>
      <c r="AA7" s="91">
        <v>0.78319420879653301</v>
      </c>
      <c r="AB7" s="11">
        <v>2.6789060569962651</v>
      </c>
      <c r="AC7" s="11">
        <v>274887.37611870677</v>
      </c>
      <c r="AD7" s="85">
        <v>100.76375748013011</v>
      </c>
      <c r="AE7" s="11">
        <f>(Opti_Salidas__30_ALL_Data[[#This Row],[All: TS Index]]-Z$47) /ABS(Z$47)</f>
        <v>-0.22778824756922589</v>
      </c>
      <c r="AF7" s="11">
        <f>(Opti_Salidas__30_ALL_Data[[#This Row],[All: Expectancy Score]]-AA$47) /ABS(AA$47)</f>
        <v>-0.97119793791201181</v>
      </c>
      <c r="AG7" s="11"/>
      <c r="AH7" s="11">
        <f>(Opti_Salidas__30_ALL_Data[[#This Row],[All: Perfect Profit Correlation]]-AC$47) /ABS(AC$47)</f>
        <v>-0.12356515840440516</v>
      </c>
      <c r="AI7" s="11">
        <f>(Opti_Salidas__30_ALL_Data[[#This Row],[All: Robustness Index]]-AD$47) /ABS(AD$47)</f>
        <v>-0.77218793119437845</v>
      </c>
      <c r="AJ7" s="11">
        <f>SUM(Opti_Salidas__30_ALL_Data[[#This Row],[VAR TS Index]:[VAR Robustness Index]])</f>
        <v>-2.0947392750800211</v>
      </c>
      <c r="AK7" s="11">
        <f>Opti_Salidas__30_ALL_Data[[#This Row],[SUMA]]-Opti_Salidas__30_ALL_Data[[#This Row],[VAR Robustness Index]]</f>
        <v>-1.3225513438856427</v>
      </c>
      <c r="AL7" s="11"/>
    </row>
    <row r="8" spans="1:38" x14ac:dyDescent="0.25">
      <c r="A8" s="11"/>
      <c r="B8" s="83">
        <v>19</v>
      </c>
      <c r="C8" s="83">
        <v>20</v>
      </c>
      <c r="D8" s="83">
        <v>272680</v>
      </c>
      <c r="E8" s="10">
        <v>2321740</v>
      </c>
      <c r="F8" s="10">
        <v>-2049060</v>
      </c>
      <c r="G8" s="10">
        <v>5283</v>
      </c>
      <c r="H8" s="83">
        <v>36.267272383115653</v>
      </c>
      <c r="I8" s="11">
        <v>1916</v>
      </c>
      <c r="J8" s="83">
        <v>3346</v>
      </c>
      <c r="K8" s="83">
        <v>16960</v>
      </c>
      <c r="L8" s="12">
        <v>-5640</v>
      </c>
      <c r="M8" s="12">
        <v>1211.7640380859375</v>
      </c>
      <c r="N8" s="12">
        <v>-612.39093017578125</v>
      </c>
      <c r="O8" s="12">
        <v>1.9787426272595381</v>
      </c>
      <c r="P8" s="11">
        <v>51.614612909331818</v>
      </c>
      <c r="Q8" s="13">
        <v>9</v>
      </c>
      <c r="R8" s="83">
        <v>17</v>
      </c>
      <c r="S8" s="83">
        <v>53</v>
      </c>
      <c r="T8" s="83">
        <v>23</v>
      </c>
      <c r="U8" s="83">
        <v>-43465</v>
      </c>
      <c r="V8" s="12">
        <v>1.133075654202415</v>
      </c>
      <c r="W8" s="11">
        <v>1</v>
      </c>
      <c r="X8" s="83">
        <v>43465</v>
      </c>
      <c r="Y8" s="12">
        <v>627.35534337973081</v>
      </c>
      <c r="Z8" s="11">
        <v>12020.128379155642</v>
      </c>
      <c r="AA8" s="91">
        <v>2.1521420219831642</v>
      </c>
      <c r="AB8" s="11">
        <v>2.5506201525766659</v>
      </c>
      <c r="AC8" s="11">
        <v>261000.6348902217</v>
      </c>
      <c r="AD8" s="85">
        <v>134.91332884191837</v>
      </c>
      <c r="AE8" s="11">
        <f>(Opti_Salidas__30_ALL_Data[[#This Row],[All: TS Index]]-Z$47) /ABS(Z$47)</f>
        <v>-0.2372466557146411</v>
      </c>
      <c r="AF8" s="11">
        <f>(Opti_Salidas__30_ALL_Data[[#This Row],[All: Expectancy Score]]-AA$47) /ABS(AA$47)</f>
        <v>-0.92085471592725876</v>
      </c>
      <c r="AG8" s="11"/>
      <c r="AH8" s="11">
        <f>(Opti_Salidas__30_ALL_Data[[#This Row],[All: Perfect Profit Correlation]]-AC$47) /ABS(AC$47)</f>
        <v>-0.1678408323939248</v>
      </c>
      <c r="AI8" s="11">
        <f>(Opti_Salidas__30_ALL_Data[[#This Row],[All: Robustness Index]]-AD$47) /ABS(AD$47)</f>
        <v>-0.69498076171890222</v>
      </c>
      <c r="AJ8" s="11">
        <f>SUM(Opti_Salidas__30_ALL_Data[[#This Row],[VAR TS Index]:[VAR Robustness Index]])</f>
        <v>-2.020922965754727</v>
      </c>
      <c r="AK8" s="11">
        <f>Opti_Salidas__30_ALL_Data[[#This Row],[SUMA]]-Opti_Salidas__30_ALL_Data[[#This Row],[VAR Robustness Index]]</f>
        <v>-1.3259422040358246</v>
      </c>
      <c r="AL8" s="11"/>
    </row>
    <row r="9" spans="1:38" x14ac:dyDescent="0.25">
      <c r="A9" s="11"/>
      <c r="B9" s="83">
        <v>29</v>
      </c>
      <c r="C9" s="83">
        <v>30</v>
      </c>
      <c r="D9" s="83">
        <v>272850</v>
      </c>
      <c r="E9" s="10">
        <v>2355450</v>
      </c>
      <c r="F9" s="10">
        <v>-2082600</v>
      </c>
      <c r="G9" s="10">
        <v>5283</v>
      </c>
      <c r="H9" s="83">
        <v>35.77512776831346</v>
      </c>
      <c r="I9" s="11">
        <v>1890</v>
      </c>
      <c r="J9" s="83">
        <v>3367</v>
      </c>
      <c r="K9" s="83">
        <v>8220</v>
      </c>
      <c r="L9" s="12">
        <v>-6540</v>
      </c>
      <c r="M9" s="12">
        <v>1246.2698974609375</v>
      </c>
      <c r="N9" s="12">
        <v>-618.5328369140625</v>
      </c>
      <c r="O9" s="12">
        <v>2.0148807356432901</v>
      </c>
      <c r="P9" s="11">
        <v>51.64679159568427</v>
      </c>
      <c r="Q9" s="13">
        <v>9</v>
      </c>
      <c r="R9" s="83">
        <v>17</v>
      </c>
      <c r="S9" s="83">
        <v>67</v>
      </c>
      <c r="T9" s="83">
        <v>24</v>
      </c>
      <c r="U9" s="83">
        <v>-45225</v>
      </c>
      <c r="V9" s="12">
        <v>1.131014116969173</v>
      </c>
      <c r="W9" s="11">
        <v>1</v>
      </c>
      <c r="X9" s="83">
        <v>45225</v>
      </c>
      <c r="Y9" s="12">
        <v>603.31674958540634</v>
      </c>
      <c r="Z9" s="11">
        <v>11402.686567164179</v>
      </c>
      <c r="AA9" s="91">
        <v>1.1548955691512319</v>
      </c>
      <c r="AB9" s="11">
        <v>2.54560399056728</v>
      </c>
      <c r="AC9" s="11">
        <v>262267.49315380689</v>
      </c>
      <c r="AD9" s="85">
        <v>176.30108938796738</v>
      </c>
      <c r="AE9" s="11">
        <f>(Opti_Salidas__30_ALL_Data[[#This Row],[All: TS Index]]-Z$47) /ABS(Z$47)</f>
        <v>-0.27642725280500119</v>
      </c>
      <c r="AF9" s="11">
        <f>(Opti_Salidas__30_ALL_Data[[#This Row],[All: Expectancy Score]]-AA$47) /ABS(AA$47)</f>
        <v>-0.95752857527004809</v>
      </c>
      <c r="AG9" s="11"/>
      <c r="AH9" s="11">
        <f>(Opti_Salidas__30_ALL_Data[[#This Row],[All: Perfect Profit Correlation]]-AC$47) /ABS(AC$47)</f>
        <v>-0.16380165555995524</v>
      </c>
      <c r="AI9" s="11">
        <f>(Opti_Salidas__30_ALL_Data[[#This Row],[All: Robustness Index]]-AD$47) /ABS(AD$47)</f>
        <v>-0.60140910868595165</v>
      </c>
      <c r="AJ9" s="11">
        <f>SUM(Opti_Salidas__30_ALL_Data[[#This Row],[VAR TS Index]:[VAR Robustness Index]])</f>
        <v>-1.9991665923209563</v>
      </c>
      <c r="AK9" s="11">
        <f>Opti_Salidas__30_ALL_Data[[#This Row],[SUMA]]-Opti_Salidas__30_ALL_Data[[#This Row],[VAR Robustness Index]]</f>
        <v>-1.3977574836350046</v>
      </c>
      <c r="AL9" s="11"/>
    </row>
    <row r="10" spans="1:38" x14ac:dyDescent="0.25">
      <c r="A10" s="11"/>
      <c r="B10" s="83">
        <v>4</v>
      </c>
      <c r="C10" s="83">
        <v>5</v>
      </c>
      <c r="D10" s="83">
        <v>261090</v>
      </c>
      <c r="E10" s="10">
        <v>2347890</v>
      </c>
      <c r="F10" s="10">
        <v>-2086800</v>
      </c>
      <c r="G10" s="10">
        <v>5283</v>
      </c>
      <c r="H10" s="83">
        <v>35.794056407344314</v>
      </c>
      <c r="I10" s="11">
        <v>1891</v>
      </c>
      <c r="J10" s="83">
        <v>3366</v>
      </c>
      <c r="K10" s="83">
        <v>7470</v>
      </c>
      <c r="L10" s="12">
        <v>-5640</v>
      </c>
      <c r="M10" s="12">
        <v>1241.6129150390625</v>
      </c>
      <c r="N10" s="12">
        <v>-619.96435546875</v>
      </c>
      <c r="O10" s="12">
        <v>2.0027166144096928</v>
      </c>
      <c r="P10" s="11">
        <v>49.420783645655881</v>
      </c>
      <c r="Q10" s="13">
        <v>9</v>
      </c>
      <c r="R10" s="83">
        <v>17</v>
      </c>
      <c r="S10" s="83">
        <v>68</v>
      </c>
      <c r="T10" s="83">
        <v>24</v>
      </c>
      <c r="U10" s="83">
        <v>-45225</v>
      </c>
      <c r="V10" s="12">
        <v>1.125115008625647</v>
      </c>
      <c r="W10" s="11">
        <v>1</v>
      </c>
      <c r="X10" s="83">
        <v>45225</v>
      </c>
      <c r="Y10" s="12">
        <v>577.31343283582089</v>
      </c>
      <c r="Z10" s="11">
        <v>10916.997014925373</v>
      </c>
      <c r="AA10" s="91">
        <v>1.543727420941323</v>
      </c>
      <c r="AB10" s="11">
        <v>2.430663006386617</v>
      </c>
      <c r="AC10" s="11">
        <v>250042.30932706743</v>
      </c>
      <c r="AD10" s="85">
        <v>193.10782991463859</v>
      </c>
      <c r="AE10" s="11">
        <f>(Opti_Salidas__30_ALL_Data[[#This Row],[All: TS Index]]-Z$47) /ABS(Z$47)</f>
        <v>-0.3072473338032235</v>
      </c>
      <c r="AF10" s="11">
        <f>(Opti_Salidas__30_ALL_Data[[#This Row],[All: Expectancy Score]]-AA$47) /ABS(AA$47)</f>
        <v>-0.94322923672634973</v>
      </c>
      <c r="AG10" s="11"/>
      <c r="AH10" s="11">
        <f>(Opti_Salidas__30_ALL_Data[[#This Row],[All: Perfect Profit Correlation]]-AC$47) /ABS(AC$47)</f>
        <v>-0.20277971705536008</v>
      </c>
      <c r="AI10" s="11">
        <f>(Opti_Salidas__30_ALL_Data[[#This Row],[All: Robustness Index]]-AD$47) /ABS(AD$47)</f>
        <v>-0.56341153470688232</v>
      </c>
      <c r="AJ10" s="11">
        <f>SUM(Opti_Salidas__30_ALL_Data[[#This Row],[VAR TS Index]:[VAR Robustness Index]])</f>
        <v>-2.0166678222918155</v>
      </c>
      <c r="AK10" s="11">
        <f>Opti_Salidas__30_ALL_Data[[#This Row],[SUMA]]-Opti_Salidas__30_ALL_Data[[#This Row],[VAR Robustness Index]]</f>
        <v>-1.4532562875849333</v>
      </c>
      <c r="AL10" s="11"/>
    </row>
    <row r="11" spans="1:38" x14ac:dyDescent="0.25">
      <c r="A11" s="11"/>
      <c r="B11" s="83">
        <v>16</v>
      </c>
      <c r="C11" s="83">
        <v>17</v>
      </c>
      <c r="D11" s="83">
        <v>228490</v>
      </c>
      <c r="E11" s="10">
        <v>2301780</v>
      </c>
      <c r="F11" s="10">
        <v>-2073290</v>
      </c>
      <c r="G11" s="10">
        <v>5283</v>
      </c>
      <c r="H11" s="83">
        <v>36.040128714745407</v>
      </c>
      <c r="I11" s="11">
        <v>1904</v>
      </c>
      <c r="J11" s="83">
        <v>3354</v>
      </c>
      <c r="K11" s="83">
        <v>3690</v>
      </c>
      <c r="L11" s="12">
        <v>-4990</v>
      </c>
      <c r="M11" s="12">
        <v>1208.9180908203125</v>
      </c>
      <c r="N11" s="12">
        <v>-618.1544189453125</v>
      </c>
      <c r="O11" s="12">
        <v>1.9556894746185809</v>
      </c>
      <c r="P11" s="11">
        <v>43.250047321597577</v>
      </c>
      <c r="Q11" s="13">
        <v>9</v>
      </c>
      <c r="R11" s="83">
        <v>17</v>
      </c>
      <c r="S11" s="83">
        <v>54</v>
      </c>
      <c r="T11" s="83">
        <v>24</v>
      </c>
      <c r="U11" s="83">
        <v>-40415</v>
      </c>
      <c r="V11" s="12">
        <v>1.1102064834152481</v>
      </c>
      <c r="W11" s="11">
        <v>1</v>
      </c>
      <c r="X11" s="83">
        <v>40415</v>
      </c>
      <c r="Y11" s="12">
        <v>565.35939626376341</v>
      </c>
      <c r="Z11" s="11">
        <v>10764.442904862057</v>
      </c>
      <c r="AA11" s="91">
        <v>1.9913213984601419</v>
      </c>
      <c r="AB11" s="11">
        <v>2.1153867216266811</v>
      </c>
      <c r="AC11" s="11">
        <v>216717.86767452871</v>
      </c>
      <c r="AD11" s="85">
        <v>85.686131477930175</v>
      </c>
      <c r="AE11" s="11">
        <f>(Opti_Salidas__30_ALL_Data[[#This Row],[All: TS Index]]-Z$47) /ABS(Z$47)</f>
        <v>-0.3169278591657525</v>
      </c>
      <c r="AF11" s="11">
        <f>(Opti_Salidas__30_ALL_Data[[#This Row],[All: Expectancy Score]]-AA$47) /ABS(AA$47)</f>
        <v>-0.92676891387677707</v>
      </c>
      <c r="AG11" s="11"/>
      <c r="AH11" s="11">
        <f>(Opti_Salidas__30_ALL_Data[[#This Row],[All: Perfect Profit Correlation]]-AC$47) /ABS(AC$47)</f>
        <v>-0.30902941885465934</v>
      </c>
      <c r="AI11" s="11">
        <f>(Opti_Salidas__30_ALL_Data[[#This Row],[All: Robustness Index]]-AD$47) /ABS(AD$47)</f>
        <v>-0.80627623097732304</v>
      </c>
      <c r="AJ11" s="11">
        <f>SUM(Opti_Salidas__30_ALL_Data[[#This Row],[VAR TS Index]:[VAR Robustness Index]])</f>
        <v>-2.3590024228745117</v>
      </c>
      <c r="AK11" s="11">
        <f>Opti_Salidas__30_ALL_Data[[#This Row],[SUMA]]-Opti_Salidas__30_ALL_Data[[#This Row],[VAR Robustness Index]]</f>
        <v>-1.5527261918971886</v>
      </c>
      <c r="AL11" s="11"/>
    </row>
    <row r="12" spans="1:38" x14ac:dyDescent="0.25">
      <c r="A12" s="11"/>
      <c r="B12" s="83">
        <v>15</v>
      </c>
      <c r="C12" s="83">
        <v>16</v>
      </c>
      <c r="D12" s="83">
        <v>245590</v>
      </c>
      <c r="E12" s="10">
        <v>2335390</v>
      </c>
      <c r="F12" s="10">
        <v>-2089800</v>
      </c>
      <c r="G12" s="10">
        <v>5283</v>
      </c>
      <c r="H12" s="83">
        <v>35.77512776831346</v>
      </c>
      <c r="I12" s="11">
        <v>1890</v>
      </c>
      <c r="J12" s="83">
        <v>3367</v>
      </c>
      <c r="K12" s="83">
        <v>7970</v>
      </c>
      <c r="L12" s="12">
        <v>-4030</v>
      </c>
      <c r="M12" s="12">
        <v>1235.6561279296875</v>
      </c>
      <c r="N12" s="12">
        <v>-620.67120361328125</v>
      </c>
      <c r="O12" s="12">
        <v>1.9908384998953199</v>
      </c>
      <c r="P12" s="11">
        <v>46.486844595873556</v>
      </c>
      <c r="Q12" s="13">
        <v>9</v>
      </c>
      <c r="R12" s="83">
        <v>17</v>
      </c>
      <c r="S12" s="83">
        <v>68</v>
      </c>
      <c r="T12" s="83">
        <v>24</v>
      </c>
      <c r="U12" s="83">
        <v>-46315</v>
      </c>
      <c r="V12" s="12">
        <v>1.1175184228155799</v>
      </c>
      <c r="W12" s="11">
        <v>1</v>
      </c>
      <c r="X12" s="83">
        <v>46315</v>
      </c>
      <c r="Y12" s="12">
        <v>530.26017488934474</v>
      </c>
      <c r="Z12" s="11">
        <v>10021.917305408615</v>
      </c>
      <c r="AA12" s="91">
        <v>1.446056399426197</v>
      </c>
      <c r="AB12" s="11">
        <v>2.2788590550928149</v>
      </c>
      <c r="AC12" s="11">
        <v>232615.04589643987</v>
      </c>
      <c r="AD12" s="85">
        <v>179.73291715544491</v>
      </c>
      <c r="AE12" s="11">
        <f>(Opti_Salidas__30_ALL_Data[[#This Row],[All: TS Index]]-Z$47) /ABS(Z$47)</f>
        <v>-0.36404581550827769</v>
      </c>
      <c r="AF12" s="11">
        <f>(Opti_Salidas__30_ALL_Data[[#This Row],[All: Expectancy Score]]-AA$47) /ABS(AA$47)</f>
        <v>-0.94682110039730127</v>
      </c>
      <c r="AG12" s="11"/>
      <c r="AH12" s="11">
        <f>(Opti_Salidas__30_ALL_Data[[#This Row],[All: Perfect Profit Correlation]]-AC$47) /ABS(AC$47)</f>
        <v>-0.25834378507451472</v>
      </c>
      <c r="AI12" s="11">
        <f>(Opti_Salidas__30_ALL_Data[[#This Row],[All: Robustness Index]]-AD$47) /ABS(AD$47)</f>
        <v>-0.59365024971676528</v>
      </c>
      <c r="AJ12" s="11">
        <f>SUM(Opti_Salidas__30_ALL_Data[[#This Row],[VAR TS Index]:[VAR Robustness Index]])</f>
        <v>-2.1628609506968592</v>
      </c>
      <c r="AK12" s="11">
        <f>Opti_Salidas__30_ALL_Data[[#This Row],[SUMA]]-Opti_Salidas__30_ALL_Data[[#This Row],[VAR Robustness Index]]</f>
        <v>-1.569210700980094</v>
      </c>
      <c r="AL12" s="11"/>
    </row>
    <row r="13" spans="1:38" x14ac:dyDescent="0.25">
      <c r="A13" s="11"/>
      <c r="B13" s="83">
        <v>14</v>
      </c>
      <c r="C13" s="83">
        <v>15</v>
      </c>
      <c r="D13" s="83">
        <v>245290</v>
      </c>
      <c r="E13" s="10">
        <v>2317450</v>
      </c>
      <c r="F13" s="10">
        <v>-2072160</v>
      </c>
      <c r="G13" s="10">
        <v>5283</v>
      </c>
      <c r="H13" s="83">
        <v>35.737270490251753</v>
      </c>
      <c r="I13" s="11">
        <v>1888</v>
      </c>
      <c r="J13" s="83">
        <v>3369</v>
      </c>
      <c r="K13" s="83">
        <v>22600</v>
      </c>
      <c r="L13" s="12">
        <v>-3940</v>
      </c>
      <c r="M13" s="12">
        <v>1227.462890625</v>
      </c>
      <c r="N13" s="12">
        <v>-615.0667724609375</v>
      </c>
      <c r="O13" s="12">
        <v>1.9956579441185069</v>
      </c>
      <c r="P13" s="11">
        <v>46.430058678780995</v>
      </c>
      <c r="Q13" s="13">
        <v>9</v>
      </c>
      <c r="R13" s="83">
        <v>17</v>
      </c>
      <c r="S13" s="83">
        <v>68</v>
      </c>
      <c r="T13" s="83">
        <v>23</v>
      </c>
      <c r="U13" s="83">
        <v>-46995</v>
      </c>
      <c r="V13" s="12">
        <v>1.1183740637788591</v>
      </c>
      <c r="W13" s="11">
        <v>1</v>
      </c>
      <c r="X13" s="83">
        <v>46995</v>
      </c>
      <c r="Y13" s="12">
        <v>521.94914352590706</v>
      </c>
      <c r="Z13" s="11">
        <v>9854.3998297691251</v>
      </c>
      <c r="AA13" s="91">
        <v>1.307392164432178</v>
      </c>
      <c r="AB13" s="11">
        <v>2.276557340022745</v>
      </c>
      <c r="AC13" s="11">
        <v>235005.55590275713</v>
      </c>
      <c r="AD13" s="85">
        <v>175.39819366650082</v>
      </c>
      <c r="AE13" s="11">
        <f>(Opti_Salidas__30_ALL_Data[[#This Row],[All: TS Index]]-Z$47) /ABS(Z$47)</f>
        <v>-0.37467586127316643</v>
      </c>
      <c r="AF13" s="11">
        <f>(Opti_Salidas__30_ALL_Data[[#This Row],[All: Expectancy Score]]-AA$47) /ABS(AA$47)</f>
        <v>-0.9519204944694537</v>
      </c>
      <c r="AG13" s="11"/>
      <c r="AH13" s="11">
        <f>(Opti_Salidas__30_ALL_Data[[#This Row],[All: Perfect Profit Correlation]]-AC$47) /ABS(AC$47)</f>
        <v>-0.25072202270658916</v>
      </c>
      <c r="AI13" s="11">
        <f>(Opti_Salidas__30_ALL_Data[[#This Row],[All: Robustness Index]]-AD$47) /ABS(AD$47)</f>
        <v>-0.60345042341425181</v>
      </c>
      <c r="AJ13" s="11">
        <f>SUM(Opti_Salidas__30_ALL_Data[[#This Row],[VAR TS Index]:[VAR Robustness Index]])</f>
        <v>-2.180768801863461</v>
      </c>
      <c r="AK13" s="11">
        <f>Opti_Salidas__30_ALL_Data[[#This Row],[SUMA]]-Opti_Salidas__30_ALL_Data[[#This Row],[VAR Robustness Index]]</f>
        <v>-1.5773183784492093</v>
      </c>
      <c r="AL13" s="11"/>
    </row>
    <row r="14" spans="1:38" x14ac:dyDescent="0.25">
      <c r="A14" s="11"/>
      <c r="B14" s="83">
        <v>27</v>
      </c>
      <c r="C14" s="83">
        <v>28</v>
      </c>
      <c r="D14" s="83">
        <v>237660</v>
      </c>
      <c r="E14" s="10">
        <v>2307780</v>
      </c>
      <c r="F14" s="10">
        <v>-2070120</v>
      </c>
      <c r="G14" s="10">
        <v>5283</v>
      </c>
      <c r="H14" s="83">
        <v>35.415483626727237</v>
      </c>
      <c r="I14" s="11">
        <v>1871</v>
      </c>
      <c r="J14" s="83">
        <v>3387</v>
      </c>
      <c r="K14" s="83">
        <v>18780</v>
      </c>
      <c r="L14" s="12">
        <v>-5640</v>
      </c>
      <c r="M14" s="12">
        <v>1233.4473876953125</v>
      </c>
      <c r="N14" s="12">
        <v>-611.19573974609375</v>
      </c>
      <c r="O14" s="12">
        <v>2.018088981130199</v>
      </c>
      <c r="P14" s="11">
        <v>44.985803520726861</v>
      </c>
      <c r="Q14" s="13">
        <v>9</v>
      </c>
      <c r="R14" s="83">
        <v>17</v>
      </c>
      <c r="S14" s="83">
        <v>69</v>
      </c>
      <c r="T14" s="83">
        <v>24</v>
      </c>
      <c r="U14" s="83">
        <v>-45225</v>
      </c>
      <c r="V14" s="12">
        <v>1.114804938844125</v>
      </c>
      <c r="W14" s="11">
        <v>1</v>
      </c>
      <c r="X14" s="83">
        <v>45225</v>
      </c>
      <c r="Y14" s="12">
        <v>525.50580431177445</v>
      </c>
      <c r="Z14" s="11">
        <v>9832.213598673301</v>
      </c>
      <c r="AA14" s="91">
        <v>2.0444408555812692</v>
      </c>
      <c r="AB14" s="11">
        <v>2.198774960945777</v>
      </c>
      <c r="AC14" s="11">
        <v>225245.12998776548</v>
      </c>
      <c r="AD14" s="85">
        <v>132.94328878530263</v>
      </c>
      <c r="AE14" s="11">
        <f>(Opti_Salidas__30_ALL_Data[[#This Row],[All: TS Index]]-Z$47) /ABS(Z$47)</f>
        <v>-0.37608371828031567</v>
      </c>
      <c r="AF14" s="11">
        <f>(Opti_Salidas__30_ALL_Data[[#This Row],[All: Expectancy Score]]-AA$47) /ABS(AA$47)</f>
        <v>-0.92481543939382116</v>
      </c>
      <c r="AG14" s="11"/>
      <c r="AH14" s="11">
        <f>(Opti_Salidas__30_ALL_Data[[#This Row],[All: Perfect Profit Correlation]]-AC$47) /ABS(AC$47)</f>
        <v>-0.28184159415252252</v>
      </c>
      <c r="AI14" s="11">
        <f>(Opti_Salidas__30_ALL_Data[[#This Row],[All: Robustness Index]]-AD$47) /ABS(AD$47)</f>
        <v>-0.69943473318792049</v>
      </c>
      <c r="AJ14" s="11">
        <f>SUM(Opti_Salidas__30_ALL_Data[[#This Row],[VAR TS Index]:[VAR Robustness Index]])</f>
        <v>-2.2821754850145801</v>
      </c>
      <c r="AK14" s="11">
        <f>Opti_Salidas__30_ALL_Data[[#This Row],[SUMA]]-Opti_Salidas__30_ALL_Data[[#This Row],[VAR Robustness Index]]</f>
        <v>-1.5827407518266596</v>
      </c>
      <c r="AL14" s="11"/>
    </row>
    <row r="15" spans="1:38" x14ac:dyDescent="0.25">
      <c r="A15" s="11"/>
      <c r="B15" s="83">
        <v>30</v>
      </c>
      <c r="C15" s="83">
        <v>31</v>
      </c>
      <c r="D15" s="83">
        <v>240530</v>
      </c>
      <c r="E15" s="10">
        <v>2314570</v>
      </c>
      <c r="F15" s="10">
        <v>-2074040</v>
      </c>
      <c r="G15" s="10">
        <v>5283</v>
      </c>
      <c r="H15" s="83">
        <v>35.453340904788945</v>
      </c>
      <c r="I15" s="11">
        <v>1873</v>
      </c>
      <c r="J15" s="83">
        <v>3384</v>
      </c>
      <c r="K15" s="83">
        <v>7970</v>
      </c>
      <c r="L15" s="12">
        <v>-4030</v>
      </c>
      <c r="M15" s="12">
        <v>1235.7554931640625</v>
      </c>
      <c r="N15" s="12">
        <v>-612.89599609375</v>
      </c>
      <c r="O15" s="12">
        <v>2.016256430193808</v>
      </c>
      <c r="P15" s="11">
        <v>45.52905546091236</v>
      </c>
      <c r="Q15" s="13">
        <v>9</v>
      </c>
      <c r="R15" s="83">
        <v>17</v>
      </c>
      <c r="S15" s="83">
        <v>68</v>
      </c>
      <c r="T15" s="83">
        <v>24</v>
      </c>
      <c r="U15" s="83">
        <v>-45225</v>
      </c>
      <c r="V15" s="12">
        <v>1.1159717266783671</v>
      </c>
      <c r="W15" s="11">
        <v>1</v>
      </c>
      <c r="X15" s="83">
        <v>45225</v>
      </c>
      <c r="Y15" s="12">
        <v>531.85185185185185</v>
      </c>
      <c r="Z15" s="11">
        <v>9961.5851851851858</v>
      </c>
      <c r="AA15" s="91">
        <v>1.52426755896735</v>
      </c>
      <c r="AB15" s="11">
        <v>2.227022465883338</v>
      </c>
      <c r="AC15" s="11">
        <v>227759.66801745052</v>
      </c>
      <c r="AD15" s="85">
        <v>168.52829332579915</v>
      </c>
      <c r="AE15" s="11">
        <f>(Opti_Salidas__30_ALL_Data[[#This Row],[All: TS Index]]-Z$47) /ABS(Z$47)</f>
        <v>-0.36787427099699349</v>
      </c>
      <c r="AF15" s="11">
        <f>(Opti_Salidas__30_ALL_Data[[#This Row],[All: Expectancy Score]]-AA$47) /ABS(AA$47)</f>
        <v>-0.94394487551236594</v>
      </c>
      <c r="AG15" s="11"/>
      <c r="AH15" s="11">
        <f>(Opti_Salidas__30_ALL_Data[[#This Row],[All: Perfect Profit Correlation]]-AC$47) /ABS(AC$47)</f>
        <v>-0.27382438808489501</v>
      </c>
      <c r="AI15" s="11">
        <f>(Opti_Salidas__30_ALL_Data[[#This Row],[All: Robustness Index]]-AD$47) /ABS(AD$47)</f>
        <v>-0.6189822599420064</v>
      </c>
      <c r="AJ15" s="11">
        <f>SUM(Opti_Salidas__30_ALL_Data[[#This Row],[VAR TS Index]:[VAR Robustness Index]])</f>
        <v>-2.2046257945362608</v>
      </c>
      <c r="AK15" s="11">
        <f>Opti_Salidas__30_ALL_Data[[#This Row],[SUMA]]-Opti_Salidas__30_ALL_Data[[#This Row],[VAR Robustness Index]]</f>
        <v>-1.5856435345942543</v>
      </c>
      <c r="AL15" s="11"/>
    </row>
    <row r="16" spans="1:38" x14ac:dyDescent="0.25">
      <c r="A16" s="11"/>
      <c r="B16" s="83">
        <v>0</v>
      </c>
      <c r="C16" s="83">
        <v>1</v>
      </c>
      <c r="D16" s="83">
        <v>239240</v>
      </c>
      <c r="E16" s="4">
        <v>2326160</v>
      </c>
      <c r="F16" s="4">
        <v>-2086920</v>
      </c>
      <c r="G16" s="4">
        <v>5283</v>
      </c>
      <c r="H16" s="83">
        <v>35.77512776831346</v>
      </c>
      <c r="I16" s="5">
        <v>1890</v>
      </c>
      <c r="J16" s="83">
        <v>3367</v>
      </c>
      <c r="K16" s="83">
        <v>18780</v>
      </c>
      <c r="L16" s="6">
        <v>-5640</v>
      </c>
      <c r="M16" s="6">
        <v>1230.7724609375</v>
      </c>
      <c r="N16" s="6">
        <v>-619.81585693359375</v>
      </c>
      <c r="O16" s="6">
        <v>1.98570663717202</v>
      </c>
      <c r="P16" s="5">
        <v>45.284876017414348</v>
      </c>
      <c r="Q16" s="7">
        <v>9</v>
      </c>
      <c r="R16" s="83">
        <v>17</v>
      </c>
      <c r="S16" s="83">
        <v>69</v>
      </c>
      <c r="T16" s="83">
        <v>24</v>
      </c>
      <c r="U16" s="83">
        <v>-46315</v>
      </c>
      <c r="V16" s="6">
        <v>1.114637839495525</v>
      </c>
      <c r="W16" s="5">
        <v>1</v>
      </c>
      <c r="X16" s="83">
        <v>46315</v>
      </c>
      <c r="Y16" s="6">
        <v>516.54971391557808</v>
      </c>
      <c r="Z16" s="5">
        <v>9762.7895930044269</v>
      </c>
      <c r="AA16" s="93">
        <v>1.3434797656299751</v>
      </c>
      <c r="AB16" s="5">
        <v>2.2169858263362321</v>
      </c>
      <c r="AC16" s="5">
        <v>226952.72748230037</v>
      </c>
      <c r="AD16" s="84">
        <v>139.34146226011583</v>
      </c>
      <c r="AE16" s="5">
        <f>(Opti_Salidas__30_ALL_Data[[#This Row],[All: TS Index]]-Z$47) /ABS(Z$47)</f>
        <v>-0.38048911153630177</v>
      </c>
      <c r="AF16" s="11">
        <f>(Opti_Salidas__30_ALL_Data[[#This Row],[All: Expectancy Score]]-AA$47) /ABS(AA$47)</f>
        <v>-0.95059336855530441</v>
      </c>
      <c r="AG16" s="11"/>
      <c r="AH16" s="11">
        <f>(Opti_Salidas__30_ALL_Data[[#This Row],[All: Perfect Profit Correlation]]-AC$47) /ABS(AC$47)</f>
        <v>-0.27639719011781183</v>
      </c>
      <c r="AI16" s="11">
        <f>(Opti_Salidas__30_ALL_Data[[#This Row],[All: Robustness Index]]-AD$47) /ABS(AD$47)</f>
        <v>-0.68496940187907296</v>
      </c>
      <c r="AJ16" s="11">
        <f>SUM(Opti_Salidas__30_ALL_Data[[#This Row],[VAR TS Index]:[VAR Robustness Index]])</f>
        <v>-2.2924490720884907</v>
      </c>
      <c r="AK16" s="11">
        <f>Opti_Salidas__30_ALL_Data[[#This Row],[SUMA]]-Opti_Salidas__30_ALL_Data[[#This Row],[VAR Robustness Index]]</f>
        <v>-1.6074796702094178</v>
      </c>
      <c r="AL16" s="11"/>
    </row>
    <row r="17" spans="1:38" x14ac:dyDescent="0.25">
      <c r="A17" s="11"/>
      <c r="B17" s="83">
        <v>3</v>
      </c>
      <c r="C17" s="83">
        <v>4</v>
      </c>
      <c r="D17" s="83">
        <v>239040</v>
      </c>
      <c r="E17" s="10">
        <v>2326160</v>
      </c>
      <c r="F17" s="10">
        <v>-2087120</v>
      </c>
      <c r="G17" s="10">
        <v>5283</v>
      </c>
      <c r="H17" s="83">
        <v>35.77512776831346</v>
      </c>
      <c r="I17" s="11">
        <v>1890</v>
      </c>
      <c r="J17" s="83">
        <v>3367</v>
      </c>
      <c r="K17" s="83">
        <v>18780</v>
      </c>
      <c r="L17" s="12">
        <v>-5640</v>
      </c>
      <c r="M17" s="12">
        <v>1230.7724609375</v>
      </c>
      <c r="N17" s="12">
        <v>-619.875244140625</v>
      </c>
      <c r="O17" s="12">
        <v>1.985516396357792</v>
      </c>
      <c r="P17" s="11">
        <v>45.24701873935264</v>
      </c>
      <c r="Q17" s="13">
        <v>9</v>
      </c>
      <c r="R17" s="83">
        <v>17</v>
      </c>
      <c r="S17" s="83">
        <v>69</v>
      </c>
      <c r="T17" s="83">
        <v>24</v>
      </c>
      <c r="U17" s="83">
        <v>-46315</v>
      </c>
      <c r="V17" s="12">
        <v>1.114531028402775</v>
      </c>
      <c r="W17" s="11">
        <v>1</v>
      </c>
      <c r="X17" s="83">
        <v>46315</v>
      </c>
      <c r="Y17" s="12">
        <v>516.11788837309723</v>
      </c>
      <c r="Z17" s="11">
        <v>9754.6280902515391</v>
      </c>
      <c r="AA17" s="91">
        <v>1.3421315205083579</v>
      </c>
      <c r="AB17" s="11">
        <v>2.2150202937293431</v>
      </c>
      <c r="AC17" s="11">
        <v>226750.77100841072</v>
      </c>
      <c r="AD17" s="85">
        <v>138.98019880507121</v>
      </c>
      <c r="AE17" s="11">
        <f>(Opti_Salidas__30_ALL_Data[[#This Row],[All: TS Index]]-Z$47) /ABS(Z$47)</f>
        <v>-0.3810070106237986</v>
      </c>
      <c r="AF17" s="11">
        <f>(Opti_Salidas__30_ALL_Data[[#This Row],[All: Expectancy Score]]-AA$47) /ABS(AA$47)</f>
        <v>-0.95064295043329394</v>
      </c>
      <c r="AG17" s="11"/>
      <c r="AH17" s="11">
        <f>(Opti_Salidas__30_ALL_Data[[#This Row],[All: Perfect Profit Correlation]]-AC$47) /ABS(AC$47)</f>
        <v>-0.27704109633388424</v>
      </c>
      <c r="AI17" s="11">
        <f>(Opti_Salidas__30_ALL_Data[[#This Row],[All: Robustness Index]]-AD$47) /ABS(AD$47)</f>
        <v>-0.68578616553632155</v>
      </c>
      <c r="AJ17" s="11">
        <f>SUM(Opti_Salidas__30_ALL_Data[[#This Row],[VAR TS Index]:[VAR Robustness Index]])</f>
        <v>-2.2944772229272985</v>
      </c>
      <c r="AK17" s="11">
        <f>Opti_Salidas__30_ALL_Data[[#This Row],[SUMA]]-Opti_Salidas__30_ALL_Data[[#This Row],[VAR Robustness Index]]</f>
        <v>-1.608691057390977</v>
      </c>
      <c r="AL17" s="11"/>
    </row>
    <row r="18" spans="1:38" x14ac:dyDescent="0.25">
      <c r="A18" s="11"/>
      <c r="B18" s="83">
        <v>2</v>
      </c>
      <c r="C18" s="83">
        <v>3</v>
      </c>
      <c r="D18" s="83">
        <v>238030</v>
      </c>
      <c r="E18" s="10">
        <v>2326160</v>
      </c>
      <c r="F18" s="10">
        <v>-2088130</v>
      </c>
      <c r="G18" s="10">
        <v>5283</v>
      </c>
      <c r="H18" s="83">
        <v>35.77512776831346</v>
      </c>
      <c r="I18" s="11">
        <v>1890</v>
      </c>
      <c r="J18" s="83">
        <v>3367</v>
      </c>
      <c r="K18" s="83">
        <v>18780</v>
      </c>
      <c r="L18" s="12">
        <v>-5640</v>
      </c>
      <c r="M18" s="12">
        <v>1230.7724609375</v>
      </c>
      <c r="N18" s="12">
        <v>-620.17523193359375</v>
      </c>
      <c r="O18" s="12">
        <v>1.9845559731564499</v>
      </c>
      <c r="P18" s="11">
        <v>45.055839485141021</v>
      </c>
      <c r="Q18" s="13">
        <v>9</v>
      </c>
      <c r="R18" s="83">
        <v>17</v>
      </c>
      <c r="S18" s="83">
        <v>69</v>
      </c>
      <c r="T18" s="83">
        <v>24</v>
      </c>
      <c r="U18" s="83">
        <v>-46315</v>
      </c>
      <c r="V18" s="12">
        <v>1.1139919449459561</v>
      </c>
      <c r="W18" s="11">
        <v>1</v>
      </c>
      <c r="X18" s="83">
        <v>46315</v>
      </c>
      <c r="Y18" s="12">
        <v>513.93716938356908</v>
      </c>
      <c r="Z18" s="11">
        <v>9713.412501349454</v>
      </c>
      <c r="AA18" s="91">
        <v>1.3353319289833969</v>
      </c>
      <c r="AB18" s="11">
        <v>2.2050943540645651</v>
      </c>
      <c r="AC18" s="11">
        <v>225765.00610960319</v>
      </c>
      <c r="AD18" s="85">
        <v>139.8733829543377</v>
      </c>
      <c r="AE18" s="11">
        <f>(Opti_Salidas__30_ALL_Data[[#This Row],[All: TS Index]]-Z$47) /ABS(Z$47)</f>
        <v>-0.38362240101565764</v>
      </c>
      <c r="AF18" s="11">
        <f>(Opti_Salidas__30_ALL_Data[[#This Row],[All: Expectancy Score]]-AA$47) /ABS(AA$47)</f>
        <v>-0.95089300623691864</v>
      </c>
      <c r="AG18" s="11"/>
      <c r="AH18" s="11">
        <f>(Opti_Salidas__30_ALL_Data[[#This Row],[All: Perfect Profit Correlation]]-AC$47) /ABS(AC$47)</f>
        <v>-0.28018405151478637</v>
      </c>
      <c r="AI18" s="11">
        <f>(Opti_Salidas__30_ALL_Data[[#This Row],[All: Robustness Index]]-AD$47) /ABS(AD$47)</f>
        <v>-0.68376680724761441</v>
      </c>
      <c r="AJ18" s="11">
        <f>SUM(Opti_Salidas__30_ALL_Data[[#This Row],[VAR TS Index]:[VAR Robustness Index]])</f>
        <v>-2.2984662660149771</v>
      </c>
      <c r="AK18" s="11">
        <f>Opti_Salidas__30_ALL_Data[[#This Row],[SUMA]]-Opti_Salidas__30_ALL_Data[[#This Row],[VAR Robustness Index]]</f>
        <v>-1.6146994587673626</v>
      </c>
      <c r="AL18" s="11"/>
    </row>
    <row r="19" spans="1:38" x14ac:dyDescent="0.25">
      <c r="A19" s="11"/>
      <c r="B19" s="83">
        <v>28</v>
      </c>
      <c r="C19" s="83">
        <v>29</v>
      </c>
      <c r="D19" s="83">
        <v>243430</v>
      </c>
      <c r="E19" s="10">
        <v>2323400</v>
      </c>
      <c r="F19" s="10">
        <v>-2079970</v>
      </c>
      <c r="G19" s="10">
        <v>5283</v>
      </c>
      <c r="H19" s="83">
        <v>35.699413212190045</v>
      </c>
      <c r="I19" s="11">
        <v>1886</v>
      </c>
      <c r="J19" s="83">
        <v>3371</v>
      </c>
      <c r="K19" s="83">
        <v>18780</v>
      </c>
      <c r="L19" s="12">
        <v>-5640</v>
      </c>
      <c r="M19" s="12">
        <v>1231.91943359375</v>
      </c>
      <c r="N19" s="12">
        <v>-617.0186767578125</v>
      </c>
      <c r="O19" s="12">
        <v>1.996567494629168</v>
      </c>
      <c r="P19" s="11">
        <v>46.077985992807115</v>
      </c>
      <c r="Q19" s="13">
        <v>9</v>
      </c>
      <c r="R19" s="83">
        <v>17</v>
      </c>
      <c r="S19" s="83">
        <v>69</v>
      </c>
      <c r="T19" s="83">
        <v>24</v>
      </c>
      <c r="U19" s="83">
        <v>-46455</v>
      </c>
      <c r="V19" s="12">
        <v>1.117035341855892</v>
      </c>
      <c r="W19" s="11">
        <v>1</v>
      </c>
      <c r="X19" s="83">
        <v>46455</v>
      </c>
      <c r="Y19" s="12">
        <v>524.01248520073193</v>
      </c>
      <c r="Z19" s="11">
        <v>9882.8754708858032</v>
      </c>
      <c r="AA19" s="91">
        <v>0.49085410768888199</v>
      </c>
      <c r="AB19" s="11">
        <v>2.257543774766535</v>
      </c>
      <c r="AC19" s="11">
        <v>230322.20934469509</v>
      </c>
      <c r="AD19" s="85">
        <v>130.4467183670989</v>
      </c>
      <c r="AE19" s="11">
        <f>(Opti_Salidas__30_ALL_Data[[#This Row],[All: TS Index]]-Z$47) /ABS(Z$47)</f>
        <v>-0.37286890133003631</v>
      </c>
      <c r="AF19" s="11">
        <f>(Opti_Salidas__30_ALL_Data[[#This Row],[All: Expectancy Score]]-AA$47) /ABS(AA$47)</f>
        <v>-0.98194878061276369</v>
      </c>
      <c r="AG19" s="11"/>
      <c r="AH19" s="11">
        <f>(Opti_Salidas__30_ALL_Data[[#This Row],[All: Perfect Profit Correlation]]-AC$47) /ABS(AC$47)</f>
        <v>-0.26565413110934039</v>
      </c>
      <c r="AI19" s="11">
        <f>(Opti_Salidas__30_ALL_Data[[#This Row],[All: Robustness Index]]-AD$47) /ABS(AD$47)</f>
        <v>-0.70507911253733146</v>
      </c>
      <c r="AJ19" s="11">
        <f>SUM(Opti_Salidas__30_ALL_Data[[#This Row],[VAR TS Index]:[VAR Robustness Index]])</f>
        <v>-2.3255509255894715</v>
      </c>
      <c r="AK19" s="11">
        <f>Opti_Salidas__30_ALL_Data[[#This Row],[SUMA]]-Opti_Salidas__30_ALL_Data[[#This Row],[VAR Robustness Index]]</f>
        <v>-1.6204718130521401</v>
      </c>
      <c r="AL19" s="11"/>
    </row>
    <row r="20" spans="1:38" x14ac:dyDescent="0.25">
      <c r="A20" s="11"/>
      <c r="B20" s="83">
        <v>1</v>
      </c>
      <c r="C20" s="83">
        <v>2</v>
      </c>
      <c r="D20" s="83">
        <v>235890</v>
      </c>
      <c r="E20" s="10">
        <v>2325810</v>
      </c>
      <c r="F20" s="10">
        <v>-2089920</v>
      </c>
      <c r="G20" s="10">
        <v>5283</v>
      </c>
      <c r="H20" s="83">
        <v>35.756199129282606</v>
      </c>
      <c r="I20" s="11">
        <v>1889</v>
      </c>
      <c r="J20" s="83">
        <v>3368</v>
      </c>
      <c r="K20" s="83">
        <v>18780</v>
      </c>
      <c r="L20" s="12">
        <v>-4030</v>
      </c>
      <c r="M20" s="12">
        <v>1231.23876953125</v>
      </c>
      <c r="N20" s="12">
        <v>-620.5225830078125</v>
      </c>
      <c r="O20" s="12">
        <v>1.984196551821142</v>
      </c>
      <c r="P20" s="11">
        <v>44.650766609880748</v>
      </c>
      <c r="Q20" s="13">
        <v>9</v>
      </c>
      <c r="R20" s="83">
        <v>17</v>
      </c>
      <c r="S20" s="83">
        <v>69</v>
      </c>
      <c r="T20" s="83">
        <v>24</v>
      </c>
      <c r="U20" s="83">
        <v>-47245</v>
      </c>
      <c r="V20" s="12">
        <v>1.112870349104272</v>
      </c>
      <c r="W20" s="11">
        <v>1</v>
      </c>
      <c r="X20" s="83">
        <v>47245</v>
      </c>
      <c r="Y20" s="12">
        <v>499.29093025717009</v>
      </c>
      <c r="Z20" s="11">
        <v>9431.6056725579419</v>
      </c>
      <c r="AA20" s="91">
        <v>1.322804257926435</v>
      </c>
      <c r="AB20" s="11">
        <v>2.183888284250374</v>
      </c>
      <c r="AC20" s="11">
        <v>223460.27252608197</v>
      </c>
      <c r="AD20" s="85">
        <v>139.12090003037886</v>
      </c>
      <c r="AE20" s="11">
        <f>(Opti_Salidas__30_ALL_Data[[#This Row],[All: TS Index]]-Z$47) /ABS(Z$47)</f>
        <v>-0.40150483074710086</v>
      </c>
      <c r="AF20" s="11">
        <f>(Opti_Salidas__30_ALL_Data[[#This Row],[All: Expectancy Score]]-AA$47) /ABS(AA$47)</f>
        <v>-0.95135371286057324</v>
      </c>
      <c r="AG20" s="11"/>
      <c r="AH20" s="11">
        <f>(Opti_Salidas__30_ALL_Data[[#This Row],[All: Perfect Profit Correlation]]-AC$47) /ABS(AC$47)</f>
        <v>-0.28753232935029227</v>
      </c>
      <c r="AI20" s="11">
        <f>(Opti_Salidas__30_ALL_Data[[#This Row],[All: Robustness Index]]-AD$47) /ABS(AD$47)</f>
        <v>-0.68546806071349242</v>
      </c>
      <c r="AJ20" s="11">
        <f>SUM(Opti_Salidas__30_ALL_Data[[#This Row],[VAR TS Index]:[VAR Robustness Index]])</f>
        <v>-2.3258589336714586</v>
      </c>
      <c r="AK20" s="11">
        <f>Opti_Salidas__30_ALL_Data[[#This Row],[SUMA]]-Opti_Salidas__30_ALL_Data[[#This Row],[VAR Robustness Index]]</f>
        <v>-1.6403908729579662</v>
      </c>
      <c r="AL20" s="11"/>
    </row>
    <row r="21" spans="1:38" x14ac:dyDescent="0.25">
      <c r="A21" s="11"/>
      <c r="B21" s="83">
        <v>7</v>
      </c>
      <c r="C21" s="83">
        <v>8</v>
      </c>
      <c r="D21" s="83">
        <v>230590</v>
      </c>
      <c r="E21" s="10">
        <v>2305690</v>
      </c>
      <c r="F21" s="10">
        <v>-2075100</v>
      </c>
      <c r="G21" s="10">
        <v>5283</v>
      </c>
      <c r="H21" s="83">
        <v>35.434412265758091</v>
      </c>
      <c r="I21" s="11">
        <v>1872</v>
      </c>
      <c r="J21" s="83">
        <v>3385</v>
      </c>
      <c r="K21" s="83">
        <v>18780</v>
      </c>
      <c r="L21" s="12">
        <v>-5640</v>
      </c>
      <c r="M21" s="12">
        <v>1231.6719970703125</v>
      </c>
      <c r="N21" s="12">
        <v>-613.028076171875</v>
      </c>
      <c r="O21" s="12">
        <v>2.009160827937329</v>
      </c>
      <c r="P21" s="11">
        <v>43.647548741245501</v>
      </c>
      <c r="Q21" s="13">
        <v>9</v>
      </c>
      <c r="R21" s="83">
        <v>17</v>
      </c>
      <c r="S21" s="83">
        <v>69</v>
      </c>
      <c r="T21" s="83">
        <v>24</v>
      </c>
      <c r="U21" s="83">
        <v>-45225</v>
      </c>
      <c r="V21" s="12">
        <v>1.1111223555491301</v>
      </c>
      <c r="W21" s="11">
        <v>1</v>
      </c>
      <c r="X21" s="83">
        <v>45225</v>
      </c>
      <c r="Y21" s="12">
        <v>509.87285793255944</v>
      </c>
      <c r="Z21" s="11">
        <v>9544.8199004975122</v>
      </c>
      <c r="AA21" s="91">
        <v>1.4440140653044029</v>
      </c>
      <c r="AB21" s="11">
        <v>2.129661553514572</v>
      </c>
      <c r="AC21" s="11">
        <v>217772.68549279458</v>
      </c>
      <c r="AD21" s="85">
        <v>123.65043216917041</v>
      </c>
      <c r="AE21" s="11">
        <f>(Opti_Salidas__30_ALL_Data[[#This Row],[All: TS Index]]-Z$47) /ABS(Z$47)</f>
        <v>-0.39432067029076651</v>
      </c>
      <c r="AF21" s="11">
        <f>(Opti_Salidas__30_ALL_Data[[#This Row],[All: Expectancy Score]]-AA$47) /ABS(AA$47)</f>
        <v>-0.94689620748251679</v>
      </c>
      <c r="AG21" s="11"/>
      <c r="AH21" s="11">
        <f>(Opti_Salidas__30_ALL_Data[[#This Row],[All: Perfect Profit Correlation]]-AC$47) /ABS(AC$47)</f>
        <v>-0.30566629938181444</v>
      </c>
      <c r="AI21" s="11">
        <f>(Opti_Salidas__30_ALL_Data[[#This Row],[All: Robustness Index]]-AD$47) /ABS(AD$47)</f>
        <v>-0.72044451829098743</v>
      </c>
      <c r="AJ21" s="11">
        <f>SUM(Opti_Salidas__30_ALL_Data[[#This Row],[VAR TS Index]:[VAR Robustness Index]])</f>
        <v>-2.3673276954460851</v>
      </c>
      <c r="AK21" s="11">
        <f>Opti_Salidas__30_ALL_Data[[#This Row],[SUMA]]-Opti_Salidas__30_ALL_Data[[#This Row],[VAR Robustness Index]]</f>
        <v>-1.6468831771550976</v>
      </c>
      <c r="AL21" s="11"/>
    </row>
    <row r="22" spans="1:38" x14ac:dyDescent="0.25">
      <c r="A22" s="11"/>
      <c r="B22" s="83">
        <v>5</v>
      </c>
      <c r="C22" s="83">
        <v>6</v>
      </c>
      <c r="D22" s="83">
        <v>212020</v>
      </c>
      <c r="E22" s="10">
        <v>2281090</v>
      </c>
      <c r="F22" s="10">
        <v>-2069070</v>
      </c>
      <c r="G22" s="10">
        <v>5283</v>
      </c>
      <c r="H22" s="83">
        <v>36.077985992807115</v>
      </c>
      <c r="I22" s="11">
        <v>1906</v>
      </c>
      <c r="J22" s="83">
        <v>3352</v>
      </c>
      <c r="K22" s="83">
        <v>3510</v>
      </c>
      <c r="L22" s="12">
        <v>-5640</v>
      </c>
      <c r="M22" s="12">
        <v>1196.7943115234375</v>
      </c>
      <c r="N22" s="12">
        <v>-617.26434326171875</v>
      </c>
      <c r="O22" s="12">
        <v>1.938868370720062</v>
      </c>
      <c r="P22" s="11">
        <v>40.132500473215977</v>
      </c>
      <c r="Q22" s="13">
        <v>9</v>
      </c>
      <c r="R22" s="83">
        <v>17</v>
      </c>
      <c r="S22" s="83">
        <v>53</v>
      </c>
      <c r="T22" s="83">
        <v>24</v>
      </c>
      <c r="U22" s="83">
        <v>-40705</v>
      </c>
      <c r="V22" s="12">
        <v>1.102471158539827</v>
      </c>
      <c r="W22" s="11">
        <v>1</v>
      </c>
      <c r="X22" s="83">
        <v>40705</v>
      </c>
      <c r="Y22" s="12">
        <v>520.86967203046311</v>
      </c>
      <c r="Z22" s="11">
        <v>9927.7759489006257</v>
      </c>
      <c r="AA22" s="91">
        <v>1.9271012828706091</v>
      </c>
      <c r="AB22" s="11">
        <v>1.955080588952967</v>
      </c>
      <c r="AC22" s="11">
        <v>198841.06768521055</v>
      </c>
      <c r="AD22" s="85">
        <v>74.516699450475855</v>
      </c>
      <c r="AE22" s="11">
        <f>(Opti_Salidas__30_ALL_Data[[#This Row],[All: TS Index]]-Z$47) /ABS(Z$47)</f>
        <v>-0.37001968136453184</v>
      </c>
      <c r="AF22" s="11">
        <f>(Opti_Salidas__30_ALL_Data[[#This Row],[All: Expectancy Score]]-AA$47) /ABS(AA$47)</f>
        <v>-0.92913061642224115</v>
      </c>
      <c r="AG22" s="11"/>
      <c r="AH22" s="11">
        <f>(Opti_Salidas__30_ALL_Data[[#This Row],[All: Perfect Profit Correlation]]-AC$47) /ABS(AC$47)</f>
        <v>-0.36602676296008024</v>
      </c>
      <c r="AI22" s="11">
        <f>(Opti_Salidas__30_ALL_Data[[#This Row],[All: Robustness Index]]-AD$47) /ABS(AD$47)</f>
        <v>-0.83152867770212779</v>
      </c>
      <c r="AJ22" s="11">
        <f>SUM(Opti_Salidas__30_ALL_Data[[#This Row],[VAR TS Index]:[VAR Robustness Index]])</f>
        <v>-2.496705738448981</v>
      </c>
      <c r="AK22" s="11">
        <f>Opti_Salidas__30_ALL_Data[[#This Row],[SUMA]]-Opti_Salidas__30_ALL_Data[[#This Row],[VAR Robustness Index]]</f>
        <v>-1.6651770607468532</v>
      </c>
      <c r="AL22" s="11"/>
    </row>
    <row r="23" spans="1:38" x14ac:dyDescent="0.25">
      <c r="A23" s="11"/>
      <c r="B23" s="83">
        <v>12</v>
      </c>
      <c r="C23" s="83">
        <v>13</v>
      </c>
      <c r="D23" s="83">
        <v>207800</v>
      </c>
      <c r="E23" s="10">
        <v>2183050</v>
      </c>
      <c r="F23" s="10">
        <v>-1975250</v>
      </c>
      <c r="G23" s="10">
        <v>5283</v>
      </c>
      <c r="H23" s="83">
        <v>33.768692031042967</v>
      </c>
      <c r="I23" s="11">
        <v>1784</v>
      </c>
      <c r="J23" s="83">
        <v>3471</v>
      </c>
      <c r="K23" s="83">
        <v>18780</v>
      </c>
      <c r="L23" s="12">
        <v>-5050</v>
      </c>
      <c r="M23" s="12">
        <v>1223.6827392578125</v>
      </c>
      <c r="N23" s="12">
        <v>-569.07232666015625</v>
      </c>
      <c r="O23" s="12">
        <v>2.1503114488794721</v>
      </c>
      <c r="P23" s="11">
        <v>39.333711906113948</v>
      </c>
      <c r="Q23" s="13">
        <v>9</v>
      </c>
      <c r="R23" s="83">
        <v>17</v>
      </c>
      <c r="S23" s="83">
        <v>67</v>
      </c>
      <c r="T23" s="83">
        <v>22</v>
      </c>
      <c r="U23" s="83">
        <v>-47065</v>
      </c>
      <c r="V23" s="12">
        <v>1.1052018731806099</v>
      </c>
      <c r="W23" s="11">
        <v>1</v>
      </c>
      <c r="X23" s="83">
        <v>47065</v>
      </c>
      <c r="Y23" s="12">
        <v>441.51705088707109</v>
      </c>
      <c r="Z23" s="11">
        <v>7876.6641878253477</v>
      </c>
      <c r="AA23" s="91">
        <v>5.4639688159566298</v>
      </c>
      <c r="AB23" s="11">
        <v>1.896417986030146</v>
      </c>
      <c r="AC23" s="11">
        <v>194235.10784183926</v>
      </c>
      <c r="AD23" s="85">
        <v>122.9783947629312</v>
      </c>
      <c r="AE23" s="11">
        <f>(Opti_Salidas__30_ALL_Data[[#This Row],[All: TS Index]]-Z$47) /ABS(Z$47)</f>
        <v>-0.50017572511995623</v>
      </c>
      <c r="AF23" s="11">
        <f>(Opti_Salidas__30_ALL_Data[[#This Row],[All: Expectancy Score]]-AA$47) /ABS(AA$47)</f>
        <v>-0.79906188360887365</v>
      </c>
      <c r="AG23" s="11"/>
      <c r="AH23" s="11">
        <f>(Opti_Salidas__30_ALL_Data[[#This Row],[All: Perfect Profit Correlation]]-AC$47) /ABS(AC$47)</f>
        <v>-0.38071213608531806</v>
      </c>
      <c r="AI23" s="11">
        <f>(Opti_Salidas__30_ALL_Data[[#This Row],[All: Robustness Index]]-AD$47) /ABS(AD$47)</f>
        <v>-0.72196389624650192</v>
      </c>
      <c r="AJ23" s="11">
        <f>SUM(Opti_Salidas__30_ALL_Data[[#This Row],[VAR TS Index]:[VAR Robustness Index]])</f>
        <v>-2.4019136410606499</v>
      </c>
      <c r="AK23" s="11">
        <f>Opti_Salidas__30_ALL_Data[[#This Row],[SUMA]]-Opti_Salidas__30_ALL_Data[[#This Row],[VAR Robustness Index]]</f>
        <v>-1.6799497448141478</v>
      </c>
      <c r="AL23" s="11"/>
    </row>
    <row r="24" spans="1:38" x14ac:dyDescent="0.25">
      <c r="A24" s="11"/>
      <c r="B24" s="83">
        <v>25</v>
      </c>
      <c r="C24" s="83">
        <v>26</v>
      </c>
      <c r="D24" s="83">
        <v>217360</v>
      </c>
      <c r="E24" s="10">
        <v>2300170</v>
      </c>
      <c r="F24" s="10">
        <v>-2082810</v>
      </c>
      <c r="G24" s="10">
        <v>5283</v>
      </c>
      <c r="H24" s="83">
        <v>35.37762634866553</v>
      </c>
      <c r="I24" s="11">
        <v>1869</v>
      </c>
      <c r="J24" s="83">
        <v>3388</v>
      </c>
      <c r="K24" s="83">
        <v>18780</v>
      </c>
      <c r="L24" s="12">
        <v>-3410</v>
      </c>
      <c r="M24" s="12">
        <v>1230.695556640625</v>
      </c>
      <c r="N24" s="12">
        <v>-614.76092529296875</v>
      </c>
      <c r="O24" s="12">
        <v>2.001909207313604</v>
      </c>
      <c r="P24" s="11">
        <v>41.143289797463559</v>
      </c>
      <c r="Q24" s="13">
        <v>9</v>
      </c>
      <c r="R24" s="83">
        <v>17</v>
      </c>
      <c r="S24" s="83">
        <v>69</v>
      </c>
      <c r="T24" s="83">
        <v>24</v>
      </c>
      <c r="U24" s="83">
        <v>-45365</v>
      </c>
      <c r="V24" s="12">
        <v>1.1043590149845639</v>
      </c>
      <c r="W24" s="11">
        <v>1</v>
      </c>
      <c r="X24" s="83">
        <v>45365</v>
      </c>
      <c r="Y24" s="12">
        <v>479.13589771850548</v>
      </c>
      <c r="Z24" s="11">
        <v>8955.049928358867</v>
      </c>
      <c r="AA24" s="91">
        <v>1.1002618556015771</v>
      </c>
      <c r="AB24" s="11">
        <v>1.999377517586874</v>
      </c>
      <c r="AC24" s="11">
        <v>206332.12616644418</v>
      </c>
      <c r="AD24" s="85">
        <v>147.42948266636969</v>
      </c>
      <c r="AE24" s="11">
        <f>(Opti_Salidas__30_ALL_Data[[#This Row],[All: TS Index]]-Z$47) /ABS(Z$47)</f>
        <v>-0.43174531372368752</v>
      </c>
      <c r="AF24" s="11">
        <f>(Opti_Salidas__30_ALL_Data[[#This Row],[All: Expectancy Score]]-AA$47) /ABS(AA$47)</f>
        <v>-0.95953773671695475</v>
      </c>
      <c r="AG24" s="11"/>
      <c r="AH24" s="11">
        <f>(Opti_Salidas__30_ALL_Data[[#This Row],[All: Perfect Profit Correlation]]-AC$47) /ABS(AC$47)</f>
        <v>-0.34214270998506063</v>
      </c>
      <c r="AI24" s="11">
        <f>(Opti_Salidas__30_ALL_Data[[#This Row],[All: Robustness Index]]-AD$47) /ABS(AD$47)</f>
        <v>-0.666683574639511</v>
      </c>
      <c r="AJ24" s="11">
        <f>SUM(Opti_Salidas__30_ALL_Data[[#This Row],[VAR TS Index]:[VAR Robustness Index]])</f>
        <v>-2.4001093350652143</v>
      </c>
      <c r="AK24" s="11">
        <f>Opti_Salidas__30_ALL_Data[[#This Row],[SUMA]]-Opti_Salidas__30_ALL_Data[[#This Row],[VAR Robustness Index]]</f>
        <v>-1.7334257604257033</v>
      </c>
      <c r="AL24" s="11"/>
    </row>
    <row r="25" spans="1:38" x14ac:dyDescent="0.25">
      <c r="A25" s="11"/>
      <c r="B25" s="83">
        <v>8</v>
      </c>
      <c r="C25" s="83">
        <v>9</v>
      </c>
      <c r="D25" s="83">
        <v>165430</v>
      </c>
      <c r="E25" s="10">
        <v>2025030</v>
      </c>
      <c r="F25" s="10">
        <v>-1859600</v>
      </c>
      <c r="G25" s="10">
        <v>5283</v>
      </c>
      <c r="H25" s="83">
        <v>35.093696763202729</v>
      </c>
      <c r="I25" s="11">
        <v>1854</v>
      </c>
      <c r="J25" s="83">
        <v>3404</v>
      </c>
      <c r="K25" s="83">
        <v>18780</v>
      </c>
      <c r="L25" s="12">
        <v>-4270</v>
      </c>
      <c r="M25" s="12">
        <v>1092.2491455078125</v>
      </c>
      <c r="N25" s="12">
        <v>-546.2984619140625</v>
      </c>
      <c r="O25" s="12">
        <v>1.999363391361026</v>
      </c>
      <c r="P25" s="11">
        <v>31.313647548741244</v>
      </c>
      <c r="Q25" s="13">
        <v>9</v>
      </c>
      <c r="R25" s="83">
        <v>17</v>
      </c>
      <c r="S25" s="83">
        <v>57</v>
      </c>
      <c r="T25" s="83">
        <v>20</v>
      </c>
      <c r="U25" s="83">
        <v>-38015</v>
      </c>
      <c r="V25" s="12">
        <v>1.0889599913959991</v>
      </c>
      <c r="W25" s="11">
        <v>1</v>
      </c>
      <c r="X25" s="83">
        <v>38015</v>
      </c>
      <c r="Y25" s="12">
        <v>435.17032750230175</v>
      </c>
      <c r="Z25" s="11">
        <v>8068.0578718926736</v>
      </c>
      <c r="AA25" s="91">
        <v>0.74289037113683898</v>
      </c>
      <c r="AB25" s="11">
        <v>1.5027295830448371</v>
      </c>
      <c r="AC25" s="11">
        <v>157182.88237374226</v>
      </c>
      <c r="AD25" s="85">
        <v>78.665284583748047</v>
      </c>
      <c r="AE25" s="11">
        <f>(Opti_Salidas__30_ALL_Data[[#This Row],[All: TS Index]]-Z$47) /ABS(Z$47)</f>
        <v>-0.48803058257300924</v>
      </c>
      <c r="AF25" s="11">
        <f>(Opti_Salidas__30_ALL_Data[[#This Row],[All: Expectancy Score]]-AA$47) /ABS(AA$47)</f>
        <v>-0.97268011643378938</v>
      </c>
      <c r="AG25" s="11"/>
      <c r="AH25" s="11">
        <f>(Opti_Salidas__30_ALL_Data[[#This Row],[All: Perfect Profit Correlation]]-AC$47) /ABS(AC$47)</f>
        <v>-0.49884728589617156</v>
      </c>
      <c r="AI25" s="11">
        <f>(Opti_Salidas__30_ALL_Data[[#This Row],[All: Robustness Index]]-AD$47) /ABS(AD$47)</f>
        <v>-0.82214933551142644</v>
      </c>
      <c r="AJ25" s="11">
        <f>SUM(Opti_Salidas__30_ALL_Data[[#This Row],[VAR TS Index]:[VAR Robustness Index]])</f>
        <v>-2.7817073204143963</v>
      </c>
      <c r="AK25" s="11">
        <f>Opti_Salidas__30_ALL_Data[[#This Row],[SUMA]]-Opti_Salidas__30_ALL_Data[[#This Row],[VAR Robustness Index]]</f>
        <v>-1.9595579849029698</v>
      </c>
      <c r="AL25" s="11"/>
    </row>
    <row r="26" spans="1:38" x14ac:dyDescent="0.25">
      <c r="A26" s="11"/>
      <c r="B26" s="83">
        <v>18</v>
      </c>
      <c r="C26" s="83">
        <v>19</v>
      </c>
      <c r="D26" s="83">
        <v>140960</v>
      </c>
      <c r="E26" s="10">
        <v>2068210</v>
      </c>
      <c r="F26" s="10">
        <v>-1927250</v>
      </c>
      <c r="G26" s="10">
        <v>5283</v>
      </c>
      <c r="H26" s="83">
        <v>33.465833806549313</v>
      </c>
      <c r="I26" s="11">
        <v>1768</v>
      </c>
      <c r="J26" s="83">
        <v>3485</v>
      </c>
      <c r="K26" s="83">
        <v>3510</v>
      </c>
      <c r="L26" s="12">
        <v>-4630</v>
      </c>
      <c r="M26" s="12">
        <v>1169.802001953125</v>
      </c>
      <c r="N26" s="12">
        <v>-553.012939453125</v>
      </c>
      <c r="O26" s="12">
        <v>2.1153248296684399</v>
      </c>
      <c r="P26" s="11">
        <v>26.68180957789135</v>
      </c>
      <c r="Q26" s="13">
        <v>9</v>
      </c>
      <c r="R26" s="83">
        <v>17</v>
      </c>
      <c r="S26" s="83">
        <v>51</v>
      </c>
      <c r="T26" s="83">
        <v>21</v>
      </c>
      <c r="U26" s="83">
        <v>-39625</v>
      </c>
      <c r="V26" s="12">
        <v>1.073140485147231</v>
      </c>
      <c r="W26" s="11">
        <v>1</v>
      </c>
      <c r="X26" s="83">
        <v>39625</v>
      </c>
      <c r="Y26" s="12">
        <v>355.73501577287067</v>
      </c>
      <c r="Z26" s="11">
        <v>6289.3950788643533</v>
      </c>
      <c r="AA26" s="91">
        <v>5.2695165332106946</v>
      </c>
      <c r="AB26" s="11">
        <v>1.24419143818402</v>
      </c>
      <c r="AC26" s="11">
        <v>123062.52425606189</v>
      </c>
      <c r="AD26" s="85">
        <v>15.442819218616036</v>
      </c>
      <c r="AE26" s="11">
        <f>(Opti_Salidas__30_ALL_Data[[#This Row],[All: TS Index]]-Z$47) /ABS(Z$47)</f>
        <v>-0.6008980121830737</v>
      </c>
      <c r="AF26" s="11">
        <f>(Opti_Salidas__30_ALL_Data[[#This Row],[All: Expectancy Score]]-AA$47) /ABS(AA$47)</f>
        <v>-0.80621288990832707</v>
      </c>
      <c r="AG26" s="11"/>
      <c r="AH26" s="11">
        <f>(Opti_Salidas__30_ALL_Data[[#This Row],[All: Perfect Profit Correlation]]-AC$47) /ABS(AC$47)</f>
        <v>-0.60763464122797983</v>
      </c>
      <c r="AI26" s="11">
        <f>(Opti_Salidas__30_ALL_Data[[#This Row],[All: Robustness Index]]-AD$47) /ABS(AD$47)</f>
        <v>-0.9650860519460297</v>
      </c>
      <c r="AJ26" s="11">
        <f>SUM(Opti_Salidas__30_ALL_Data[[#This Row],[VAR TS Index]:[VAR Robustness Index]])</f>
        <v>-2.9798315952654102</v>
      </c>
      <c r="AK26" s="11">
        <f>Opti_Salidas__30_ALL_Data[[#This Row],[SUMA]]-Opti_Salidas__30_ALL_Data[[#This Row],[VAR Robustness Index]]</f>
        <v>-2.0147455433193806</v>
      </c>
      <c r="AL26" s="11"/>
    </row>
    <row r="27" spans="1:38" x14ac:dyDescent="0.25">
      <c r="A27" s="11"/>
      <c r="B27" s="83">
        <v>11</v>
      </c>
      <c r="C27" s="83">
        <v>12</v>
      </c>
      <c r="D27" s="83">
        <v>165320</v>
      </c>
      <c r="E27" s="10">
        <v>2221590</v>
      </c>
      <c r="F27" s="10">
        <v>-2056270</v>
      </c>
      <c r="G27" s="10">
        <v>5283</v>
      </c>
      <c r="H27" s="83">
        <v>35.964414158621992</v>
      </c>
      <c r="I27" s="11">
        <v>1900</v>
      </c>
      <c r="J27" s="83">
        <v>3358</v>
      </c>
      <c r="K27" s="83">
        <v>7410</v>
      </c>
      <c r="L27" s="12">
        <v>-5370</v>
      </c>
      <c r="M27" s="12">
        <v>1169.2579345703125</v>
      </c>
      <c r="N27" s="12">
        <v>-612.349609375</v>
      </c>
      <c r="O27" s="12">
        <v>1.909461387202853</v>
      </c>
      <c r="P27" s="11">
        <v>31.292826045807306</v>
      </c>
      <c r="Q27" s="13">
        <v>9</v>
      </c>
      <c r="R27" s="83">
        <v>17</v>
      </c>
      <c r="S27" s="83">
        <v>42</v>
      </c>
      <c r="T27" s="83">
        <v>23</v>
      </c>
      <c r="U27" s="83">
        <v>-51865</v>
      </c>
      <c r="V27" s="12">
        <v>1.080398002207881</v>
      </c>
      <c r="W27" s="11">
        <v>1</v>
      </c>
      <c r="X27" s="83">
        <v>51865</v>
      </c>
      <c r="Y27" s="12">
        <v>318.75060252578811</v>
      </c>
      <c r="Z27" s="11">
        <v>6056.2614479899739</v>
      </c>
      <c r="AA27" s="91">
        <v>2.110607793194974</v>
      </c>
      <c r="AB27" s="11">
        <v>1.4983782013372819</v>
      </c>
      <c r="AC27" s="11">
        <v>144007.92438661197</v>
      </c>
      <c r="AD27" s="85">
        <v>31.694017920768776</v>
      </c>
      <c r="AE27" s="11">
        <f>(Opti_Salidas__30_ALL_Data[[#This Row],[All: TS Index]]-Z$47) /ABS(Z$47)</f>
        <v>-0.61569181895498726</v>
      </c>
      <c r="AF27" s="11">
        <f>(Opti_Salidas__30_ALL_Data[[#This Row],[All: Expectancy Score]]-AA$47) /ABS(AA$47)</f>
        <v>-0.92238214223212434</v>
      </c>
      <c r="AG27" s="11"/>
      <c r="AH27" s="11">
        <f>(Opti_Salidas__30_ALL_Data[[#This Row],[All: Perfect Profit Correlation]]-AC$47) /ABS(AC$47)</f>
        <v>-0.54085355180593353</v>
      </c>
      <c r="AI27" s="11">
        <f>(Opti_Salidas__30_ALL_Data[[#This Row],[All: Robustness Index]]-AD$47) /ABS(AD$47)</f>
        <v>-0.92834447650767127</v>
      </c>
      <c r="AJ27" s="11">
        <f>SUM(Opti_Salidas__30_ALL_Data[[#This Row],[VAR TS Index]:[VAR Robustness Index]])</f>
        <v>-3.0072719895007163</v>
      </c>
      <c r="AK27" s="11">
        <f>Opti_Salidas__30_ALL_Data[[#This Row],[SUMA]]-Opti_Salidas__30_ALL_Data[[#This Row],[VAR Robustness Index]]</f>
        <v>-2.0789275129930451</v>
      </c>
      <c r="AL27" s="11"/>
    </row>
    <row r="28" spans="1:38" x14ac:dyDescent="0.25">
      <c r="A28" s="11"/>
      <c r="B28" s="83">
        <v>31</v>
      </c>
      <c r="C28" s="83">
        <v>32</v>
      </c>
      <c r="D28" s="83">
        <v>141550</v>
      </c>
      <c r="E28" s="10">
        <v>2075200</v>
      </c>
      <c r="F28" s="10">
        <v>-1933650</v>
      </c>
      <c r="G28" s="10">
        <v>5283</v>
      </c>
      <c r="H28" s="83">
        <v>33.484762445580159</v>
      </c>
      <c r="I28" s="11">
        <v>1769</v>
      </c>
      <c r="J28" s="83">
        <v>3492</v>
      </c>
      <c r="K28" s="83">
        <v>7660</v>
      </c>
      <c r="L28" s="12">
        <v>-3490</v>
      </c>
      <c r="M28" s="12">
        <v>1173.0921630859375</v>
      </c>
      <c r="N28" s="12">
        <v>-553.73712158203125</v>
      </c>
      <c r="O28" s="12">
        <v>2.118500128245699</v>
      </c>
      <c r="P28" s="11">
        <v>26.793488548173386</v>
      </c>
      <c r="Q28" s="13">
        <v>9</v>
      </c>
      <c r="R28" s="83">
        <v>17</v>
      </c>
      <c r="S28" s="83">
        <v>42</v>
      </c>
      <c r="T28" s="83">
        <v>19</v>
      </c>
      <c r="U28" s="83">
        <v>-41855</v>
      </c>
      <c r="V28" s="12">
        <v>1.073203527008507</v>
      </c>
      <c r="W28" s="11">
        <v>1</v>
      </c>
      <c r="X28" s="83">
        <v>41855</v>
      </c>
      <c r="Y28" s="12">
        <v>338.19137498506751</v>
      </c>
      <c r="Z28" s="11">
        <v>5982.6054234858439</v>
      </c>
      <c r="AA28" s="91">
        <v>2.0963995980305219</v>
      </c>
      <c r="AB28" s="11">
        <v>1.249324210510822</v>
      </c>
      <c r="AC28" s="11">
        <v>121804.14643735204</v>
      </c>
      <c r="AD28" s="85">
        <v>7.9961171203183481</v>
      </c>
      <c r="AE28" s="11">
        <f>(Opti_Salidas__30_ALL_Data[[#This Row],[All: TS Index]]-Z$47) /ABS(Z$47)</f>
        <v>-0.62036576063390592</v>
      </c>
      <c r="AF28" s="11">
        <f>(Opti_Salidas__30_ALL_Data[[#This Row],[All: Expectancy Score]]-AA$47) /ABS(AA$47)</f>
        <v>-0.92290465033380398</v>
      </c>
      <c r="AG28" s="11"/>
      <c r="AH28" s="11">
        <f>(Opti_Salidas__30_ALL_Data[[#This Row],[All: Perfect Profit Correlation]]-AC$47) /ABS(AC$47)</f>
        <v>-0.61164677950722945</v>
      </c>
      <c r="AI28" s="11">
        <f>(Opti_Salidas__30_ALL_Data[[#This Row],[All: Robustness Index]]-AD$47) /ABS(AD$47)</f>
        <v>-0.98192195260333581</v>
      </c>
      <c r="AJ28" s="11">
        <f>SUM(Opti_Salidas__30_ALL_Data[[#This Row],[VAR TS Index]:[VAR Robustness Index]])</f>
        <v>-3.1368391430782747</v>
      </c>
      <c r="AK28" s="11">
        <f>Opti_Salidas__30_ALL_Data[[#This Row],[SUMA]]-Opti_Salidas__30_ALL_Data[[#This Row],[VAR Robustness Index]]</f>
        <v>-2.1549171904749391</v>
      </c>
      <c r="AL28" s="11"/>
    </row>
    <row r="29" spans="1:38" x14ac:dyDescent="0.25">
      <c r="A29" s="11"/>
      <c r="B29" s="83">
        <v>32</v>
      </c>
      <c r="C29" s="83">
        <v>33</v>
      </c>
      <c r="D29" s="83">
        <v>50870</v>
      </c>
      <c r="E29" s="10">
        <v>1551370</v>
      </c>
      <c r="F29" s="10">
        <v>-1500500</v>
      </c>
      <c r="G29" s="10">
        <v>5283</v>
      </c>
      <c r="H29" s="83">
        <v>28.184743516941133</v>
      </c>
      <c r="I29" s="11">
        <v>1489</v>
      </c>
      <c r="J29" s="83">
        <v>3767</v>
      </c>
      <c r="K29" s="83">
        <v>18440</v>
      </c>
      <c r="L29" s="12">
        <v>-3660</v>
      </c>
      <c r="M29" s="12">
        <v>1041.88720703125</v>
      </c>
      <c r="N29" s="12">
        <v>-398.32757568359375</v>
      </c>
      <c r="O29" s="12">
        <v>2.615654226909109</v>
      </c>
      <c r="P29" s="11">
        <v>9.6289986749952678</v>
      </c>
      <c r="Q29" s="13">
        <v>6</v>
      </c>
      <c r="R29" s="83">
        <v>18</v>
      </c>
      <c r="S29" s="83">
        <v>51</v>
      </c>
      <c r="T29" s="83">
        <v>13</v>
      </c>
      <c r="U29" s="83">
        <v>-50485</v>
      </c>
      <c r="V29" s="12">
        <v>1.033902032655782</v>
      </c>
      <c r="W29" s="11">
        <v>1</v>
      </c>
      <c r="X29" s="83">
        <v>50485</v>
      </c>
      <c r="Y29" s="12">
        <v>100.76260275329305</v>
      </c>
      <c r="Z29" s="11">
        <v>1500.3551549965337</v>
      </c>
      <c r="AA29" s="91">
        <v>3.130728432110486</v>
      </c>
      <c r="AB29" s="11">
        <v>0.35113823580464099</v>
      </c>
      <c r="AC29" s="11">
        <v>44088.607055392713</v>
      </c>
      <c r="AD29" s="85">
        <v>23.697457537608685</v>
      </c>
      <c r="AE29" s="11">
        <f>(Opti_Salidas__30_ALL_Data[[#This Row],[All: TS Index]]-Z$47) /ABS(Z$47)</f>
        <v>-0.90479295428542061</v>
      </c>
      <c r="AF29" s="11">
        <f>(Opti_Salidas__30_ALL_Data[[#This Row],[All: Expectancy Score]]-AA$47) /ABS(AA$47)</f>
        <v>-0.88486708191977737</v>
      </c>
      <c r="AG29" s="11"/>
      <c r="AH29" s="11">
        <f>(Opti_Salidas__30_ALL_Data[[#This Row],[All: Perfect Profit Correlation]]-AC$47) /ABS(AC$47)</f>
        <v>-0.85943046244481969</v>
      </c>
      <c r="AI29" s="11">
        <f>(Opti_Salidas__30_ALL_Data[[#This Row],[All: Robustness Index]]-AD$47) /ABS(AD$47)</f>
        <v>-0.94642352605657287</v>
      </c>
      <c r="AJ29" s="11">
        <f>SUM(Opti_Salidas__30_ALL_Data[[#This Row],[VAR TS Index]:[VAR Robustness Index]])</f>
        <v>-3.5955140247065902</v>
      </c>
      <c r="AK29" s="11">
        <f>Opti_Salidas__30_ALL_Data[[#This Row],[SUMA]]-Opti_Salidas__30_ALL_Data[[#This Row],[VAR Robustness Index]]</f>
        <v>-2.6490904986500174</v>
      </c>
      <c r="AL29" s="11"/>
    </row>
    <row r="30" spans="1:38" x14ac:dyDescent="0.25">
      <c r="A30" s="11"/>
      <c r="B30" s="83">
        <v>10</v>
      </c>
      <c r="C30" s="83">
        <v>11</v>
      </c>
      <c r="D30" s="83">
        <v>7720</v>
      </c>
      <c r="E30" s="10">
        <v>1650140</v>
      </c>
      <c r="F30" s="10">
        <v>-1642420</v>
      </c>
      <c r="G30" s="10">
        <v>5284</v>
      </c>
      <c r="H30" s="83">
        <v>41.180923542770628</v>
      </c>
      <c r="I30" s="11">
        <v>2176</v>
      </c>
      <c r="J30" s="83">
        <v>3051</v>
      </c>
      <c r="K30" s="83">
        <v>10570</v>
      </c>
      <c r="L30" s="12">
        <v>-5640</v>
      </c>
      <c r="M30" s="12">
        <v>758.33642578125</v>
      </c>
      <c r="N30" s="12">
        <v>-538.32183837890625</v>
      </c>
      <c r="O30" s="12">
        <v>1.4087045550016919</v>
      </c>
      <c r="P30" s="11">
        <v>1.461014383043149</v>
      </c>
      <c r="Q30" s="13">
        <v>10</v>
      </c>
      <c r="R30" s="83">
        <v>17</v>
      </c>
      <c r="S30" s="83">
        <v>21</v>
      </c>
      <c r="T30" s="83">
        <v>14</v>
      </c>
      <c r="U30" s="83">
        <v>-75115</v>
      </c>
      <c r="V30" s="12">
        <v>1.004700381144896</v>
      </c>
      <c r="W30" s="11">
        <v>1</v>
      </c>
      <c r="X30" s="83">
        <v>75115</v>
      </c>
      <c r="Y30" s="12">
        <v>10.277574385941556</v>
      </c>
      <c r="Z30" s="11">
        <v>223.64001863808826</v>
      </c>
      <c r="AA30" s="91">
        <v>-8.6918367295100996E-2</v>
      </c>
      <c r="AB30" s="11">
        <v>2.0800854555910998E-2</v>
      </c>
      <c r="AC30" s="11">
        <v>-785.07853350403479</v>
      </c>
      <c r="AD30" s="85">
        <v>442.31088374034221</v>
      </c>
      <c r="AE30" s="11">
        <f>(Opti_Salidas__30_ALL_Data[[#This Row],[All: TS Index]]-Z$47) /ABS(Z$47)</f>
        <v>-0.98580862310688355</v>
      </c>
      <c r="AF30" s="11">
        <f>(Opti_Salidas__30_ALL_Data[[#This Row],[All: Expectancy Score]]-AA$47) /ABS(AA$47)</f>
        <v>-1.0031964335069163</v>
      </c>
      <c r="AG30" s="11"/>
      <c r="AH30" s="11">
        <f>(Opti_Salidas__30_ALL_Data[[#This Row],[All: Perfect Profit Correlation]]-AC$47) /ABS(AC$47)</f>
        <v>-1.0025030985048022</v>
      </c>
      <c r="AI30" s="11">
        <f>(Opti_Salidas__30_ALL_Data[[#This Row],[All: Robustness Index]]-AD$47) /ABS(AD$47)</f>
        <v>0</v>
      </c>
      <c r="AJ30" s="11">
        <f>SUM(Opti_Salidas__30_ALL_Data[[#This Row],[VAR TS Index]:[VAR Robustness Index]])</f>
        <v>-2.991508155118602</v>
      </c>
      <c r="AK30" s="11">
        <f>Opti_Salidas__30_ALL_Data[[#This Row],[SUMA]]-Opti_Salidas__30_ALL_Data[[#This Row],[VAR Robustness Index]]</f>
        <v>-2.991508155118602</v>
      </c>
      <c r="AL30" s="11"/>
    </row>
    <row r="31" spans="1:38" x14ac:dyDescent="0.25">
      <c r="A31" s="11"/>
      <c r="B31" s="83">
        <v>23</v>
      </c>
      <c r="C31" s="83">
        <v>24</v>
      </c>
      <c r="D31" s="83">
        <v>-57890</v>
      </c>
      <c r="E31" s="10">
        <v>1103250</v>
      </c>
      <c r="F31" s="10">
        <v>-1161140</v>
      </c>
      <c r="G31" s="10">
        <v>5283</v>
      </c>
      <c r="H31" s="83">
        <v>32.424758659852358</v>
      </c>
      <c r="I31" s="11">
        <v>1713</v>
      </c>
      <c r="J31" s="83">
        <v>3518</v>
      </c>
      <c r="K31" s="83">
        <v>9760</v>
      </c>
      <c r="L31" s="12">
        <v>-4170</v>
      </c>
      <c r="M31" s="12">
        <v>644.0455322265625</v>
      </c>
      <c r="N31" s="12">
        <v>-330.05685424804688</v>
      </c>
      <c r="O31" s="12">
        <v>1.9513169441484901</v>
      </c>
      <c r="P31" s="11">
        <v>-10.957789134961196</v>
      </c>
      <c r="Q31" s="13">
        <v>9</v>
      </c>
      <c r="R31" s="83">
        <v>17</v>
      </c>
      <c r="S31" s="83">
        <v>18</v>
      </c>
      <c r="T31" s="83">
        <v>8</v>
      </c>
      <c r="U31" s="83">
        <v>-67955</v>
      </c>
      <c r="V31" s="12">
        <v>0.95014382417279597</v>
      </c>
      <c r="W31" s="11">
        <v>1</v>
      </c>
      <c r="X31" s="83">
        <v>67955</v>
      </c>
      <c r="Y31" s="12">
        <v>-85.188727834596421</v>
      </c>
      <c r="Z31" s="11">
        <v>-1459.2829078066368</v>
      </c>
      <c r="AA31" s="91">
        <v>-2.652607193859053</v>
      </c>
      <c r="AB31" s="11">
        <v>-0.64969443849182196</v>
      </c>
      <c r="AC31" s="11">
        <v>-32785.808958491085</v>
      </c>
      <c r="AD31" s="85">
        <v>-111.33947846842362</v>
      </c>
      <c r="AE31" s="11">
        <f>(Opti_Salidas__30_ALL_Data[[#This Row],[All: TS Index]]-Z$47) /ABS(Z$47)</f>
        <v>-1.092600751263038</v>
      </c>
      <c r="AF31" s="11">
        <f>(Opti_Salidas__30_ALL_Data[[#This Row],[All: Expectancy Score]]-AA$47) /ABS(AA$47)</f>
        <v>-1.0975499515119891</v>
      </c>
      <c r="AG31" s="11"/>
      <c r="AH31" s="11">
        <f>(Opti_Salidas__30_ALL_Data[[#This Row],[All: Perfect Profit Correlation]]-AC$47) /ABS(AC$47)</f>
        <v>-1.1045323568031362</v>
      </c>
      <c r="AI31" s="11">
        <f>(Opti_Salidas__30_ALL_Data[[#This Row],[All: Robustness Index]]-AD$47) /ABS(AD$47)</f>
        <v>-1.2517222219966562</v>
      </c>
      <c r="AJ31" s="11">
        <f>SUM(Opti_Salidas__30_ALL_Data[[#This Row],[VAR TS Index]:[VAR Robustness Index]])</f>
        <v>-4.5464052815748195</v>
      </c>
      <c r="AK31" s="11">
        <f>Opti_Salidas__30_ALL_Data[[#This Row],[SUMA]]-Opti_Salidas__30_ALL_Data[[#This Row],[VAR Robustness Index]]</f>
        <v>-3.2946830595781633</v>
      </c>
      <c r="AL31" s="11"/>
    </row>
    <row r="32" spans="1:38" x14ac:dyDescent="0.25">
      <c r="A32" s="11"/>
      <c r="B32" s="83">
        <v>22</v>
      </c>
      <c r="C32" s="83">
        <v>23</v>
      </c>
      <c r="D32" s="83">
        <v>-45700</v>
      </c>
      <c r="E32" s="10">
        <v>785630</v>
      </c>
      <c r="F32" s="10">
        <v>-831330</v>
      </c>
      <c r="G32" s="10">
        <v>5284</v>
      </c>
      <c r="H32" s="83">
        <v>53.406510219530659</v>
      </c>
      <c r="I32" s="11">
        <v>2822</v>
      </c>
      <c r="J32" s="83">
        <v>2399</v>
      </c>
      <c r="K32" s="83">
        <v>3840</v>
      </c>
      <c r="L32" s="12">
        <v>-4440</v>
      </c>
      <c r="M32" s="12">
        <v>278.39474487304688</v>
      </c>
      <c r="N32" s="12">
        <v>-346.53189086914063</v>
      </c>
      <c r="O32" s="12">
        <v>0.80337409689711903</v>
      </c>
      <c r="P32" s="11">
        <v>-8.6487509462528394</v>
      </c>
      <c r="Q32" s="13">
        <v>15</v>
      </c>
      <c r="R32" s="83">
        <v>10</v>
      </c>
      <c r="S32" s="83">
        <v>7</v>
      </c>
      <c r="T32" s="83">
        <v>8</v>
      </c>
      <c r="U32" s="83">
        <v>-75885</v>
      </c>
      <c r="V32" s="12">
        <v>0.94502784694405395</v>
      </c>
      <c r="W32" s="11">
        <v>1</v>
      </c>
      <c r="X32" s="83">
        <v>75885</v>
      </c>
      <c r="Y32" s="12">
        <v>-60.222705409501216</v>
      </c>
      <c r="Z32" s="11">
        <v>-1699.4847466561243</v>
      </c>
      <c r="AA32" s="91">
        <v>-39.605535423232993</v>
      </c>
      <c r="AB32" s="11">
        <v>-0.435160364089268</v>
      </c>
      <c r="AC32" s="11">
        <v>-40472.574690591937</v>
      </c>
      <c r="AD32" s="85">
        <v>24.984065888092172</v>
      </c>
      <c r="AE32" s="11">
        <f>(Opti_Salidas__30_ALL_Data[[#This Row],[All: TS Index]]-Z$47) /ABS(Z$47)</f>
        <v>-1.1078430806381265</v>
      </c>
      <c r="AF32" s="11">
        <f>(Opti_Salidas__30_ALL_Data[[#This Row],[All: Expectancy Score]]-AA$47) /ABS(AA$47)</f>
        <v>-2.4564983722757829</v>
      </c>
      <c r="AG32" s="11"/>
      <c r="AH32" s="11">
        <f>(Opti_Salidas__30_ALL_Data[[#This Row],[All: Perfect Profit Correlation]]-AC$47) /ABS(AC$47)</f>
        <v>-1.1290403913368392</v>
      </c>
      <c r="AI32" s="11">
        <f>(Opti_Salidas__30_ALL_Data[[#This Row],[All: Robustness Index]]-AD$47) /ABS(AD$47)</f>
        <v>-0.94351469338303906</v>
      </c>
      <c r="AJ32" s="11">
        <f>SUM(Opti_Salidas__30_ALL_Data[[#This Row],[VAR TS Index]:[VAR Robustness Index]])</f>
        <v>-5.6368965376337883</v>
      </c>
      <c r="AK32" s="11">
        <f>Opti_Salidas__30_ALL_Data[[#This Row],[SUMA]]-Opti_Salidas__30_ALL_Data[[#This Row],[VAR Robustness Index]]</f>
        <v>-4.6933818442507489</v>
      </c>
      <c r="AL32" s="11"/>
    </row>
    <row r="33" spans="1:38" x14ac:dyDescent="0.25">
      <c r="A33" s="11"/>
      <c r="B33" s="83">
        <v>13</v>
      </c>
      <c r="C33" s="83">
        <v>14</v>
      </c>
      <c r="D33" s="83">
        <v>-51580</v>
      </c>
      <c r="E33" s="10">
        <v>786820</v>
      </c>
      <c r="F33" s="10">
        <v>-838400</v>
      </c>
      <c r="G33" s="10">
        <v>5284</v>
      </c>
      <c r="H33" s="83">
        <v>53.444360333081001</v>
      </c>
      <c r="I33" s="11">
        <v>2824</v>
      </c>
      <c r="J33" s="83">
        <v>2397</v>
      </c>
      <c r="K33" s="83">
        <v>3840</v>
      </c>
      <c r="L33" s="12">
        <v>-5640</v>
      </c>
      <c r="M33" s="12">
        <v>278.61898803710938</v>
      </c>
      <c r="N33" s="12">
        <v>-349.77053833007813</v>
      </c>
      <c r="O33" s="12">
        <v>0.79657649088265103</v>
      </c>
      <c r="P33" s="11">
        <v>-9.7615442846328531</v>
      </c>
      <c r="Q33" s="13">
        <v>15</v>
      </c>
      <c r="R33" s="83">
        <v>10</v>
      </c>
      <c r="S33" s="83">
        <v>7</v>
      </c>
      <c r="T33" s="83">
        <v>8</v>
      </c>
      <c r="U33" s="83">
        <v>-79635</v>
      </c>
      <c r="V33" s="12">
        <v>0.93847805343511403</v>
      </c>
      <c r="W33" s="11">
        <v>1</v>
      </c>
      <c r="X33" s="83">
        <v>79635</v>
      </c>
      <c r="Y33" s="12">
        <v>-64.770515476863181</v>
      </c>
      <c r="Z33" s="11">
        <v>-1829.1193570666164</v>
      </c>
      <c r="AA33" s="91">
        <v>-43.677350689340294</v>
      </c>
      <c r="AB33" s="11">
        <v>-0.49261706188620302</v>
      </c>
      <c r="AC33" s="11">
        <v>-46792.657627060384</v>
      </c>
      <c r="AD33" s="85">
        <v>9.0447279018112123</v>
      </c>
      <c r="AE33" s="11">
        <f>(Opti_Salidas__30_ALL_Data[[#This Row],[All: TS Index]]-Z$47) /ABS(Z$47)</f>
        <v>-1.1160692184551901</v>
      </c>
      <c r="AF33" s="11">
        <f>(Opti_Salidas__30_ALL_Data[[#This Row],[All: Expectancy Score]]-AA$47) /ABS(AA$47)</f>
        <v>-2.6062398728998097</v>
      </c>
      <c r="AG33" s="11"/>
      <c r="AH33" s="11">
        <f>(Opti_Salidas__30_ALL_Data[[#This Row],[All: Perfect Profit Correlation]]-AC$47) /ABS(AC$47)</f>
        <v>-1.1491909743337925</v>
      </c>
      <c r="AI33" s="11">
        <f>(Opti_Salidas__30_ALL_Data[[#This Row],[All: Robustness Index]]-AD$47) /ABS(AD$47)</f>
        <v>-0.97955119750767672</v>
      </c>
      <c r="AJ33" s="11">
        <f>SUM(Opti_Salidas__30_ALL_Data[[#This Row],[VAR TS Index]:[VAR Robustness Index]])</f>
        <v>-5.8510512631964691</v>
      </c>
      <c r="AK33" s="11">
        <f>Opti_Salidas__30_ALL_Data[[#This Row],[SUMA]]-Opti_Salidas__30_ALL_Data[[#This Row],[VAR Robustness Index]]</f>
        <v>-4.8715000656887923</v>
      </c>
      <c r="AL33" s="11"/>
    </row>
    <row r="34" spans="1:38" x14ac:dyDescent="0.25">
      <c r="A34" s="11"/>
      <c r="B34" s="83">
        <v>21</v>
      </c>
      <c r="C34" s="83">
        <v>22</v>
      </c>
      <c r="D34" s="83">
        <v>-94470</v>
      </c>
      <c r="E34" s="10">
        <v>626670</v>
      </c>
      <c r="F34" s="10">
        <v>-721140</v>
      </c>
      <c r="G34" s="10">
        <v>5284</v>
      </c>
      <c r="H34" s="83">
        <v>48.031794095382288</v>
      </c>
      <c r="I34" s="11">
        <v>2538</v>
      </c>
      <c r="J34" s="83">
        <v>2675</v>
      </c>
      <c r="K34" s="83">
        <v>2990</v>
      </c>
      <c r="L34" s="12">
        <v>-5640</v>
      </c>
      <c r="M34" s="12">
        <v>246.91488647460938</v>
      </c>
      <c r="N34" s="12">
        <v>-269.58505249023438</v>
      </c>
      <c r="O34" s="12">
        <v>0.91590718474108901</v>
      </c>
      <c r="P34" s="11">
        <v>-17.878501135503406</v>
      </c>
      <c r="Q34" s="13">
        <v>15</v>
      </c>
      <c r="R34" s="83">
        <v>11</v>
      </c>
      <c r="S34" s="83">
        <v>5</v>
      </c>
      <c r="T34" s="83">
        <v>6</v>
      </c>
      <c r="U34" s="83">
        <v>-108215</v>
      </c>
      <c r="V34" s="12">
        <v>0.86899908478242804</v>
      </c>
      <c r="W34" s="11">
        <v>1</v>
      </c>
      <c r="X34" s="83">
        <v>108215</v>
      </c>
      <c r="Y34" s="12">
        <v>-87.298433673705119</v>
      </c>
      <c r="Z34" s="11">
        <v>-2215.6342466386359</v>
      </c>
      <c r="AA34" s="91">
        <v>-104.86467094680725</v>
      </c>
      <c r="AB34" s="11">
        <v>-0.92966171445382295</v>
      </c>
      <c r="AC34" s="11">
        <v>-91142.026605546649</v>
      </c>
      <c r="AD34" s="85">
        <v>-41.551894879083981</v>
      </c>
      <c r="AE34" s="11">
        <f>(Opti_Salidas__30_ALL_Data[[#This Row],[All: TS Index]]-Z$47) /ABS(Z$47)</f>
        <v>-1.1405960384139844</v>
      </c>
      <c r="AF34" s="11">
        <f>(Opti_Salidas__30_ALL_Data[[#This Row],[All: Expectancy Score]]-AA$47) /ABS(AA$47)</f>
        <v>-4.8564110019243518</v>
      </c>
      <c r="AG34" s="11"/>
      <c r="AH34" s="11">
        <f>(Opti_Salidas__30_ALL_Data[[#This Row],[All: Perfect Profit Correlation]]-AC$47) /ABS(AC$47)</f>
        <v>-1.2905919099618404</v>
      </c>
      <c r="AI34" s="11">
        <f>(Opti_Salidas__30_ALL_Data[[#This Row],[All: Robustness Index]]-AD$47) /ABS(AD$47)</f>
        <v>-1.0939427366735948</v>
      </c>
      <c r="AJ34" s="11">
        <f>SUM(Opti_Salidas__30_ALL_Data[[#This Row],[VAR TS Index]:[VAR Robustness Index]])</f>
        <v>-8.3815416869737707</v>
      </c>
      <c r="AK34" s="11">
        <f>Opti_Salidas__30_ALL_Data[[#This Row],[SUMA]]-Opti_Salidas__30_ALL_Data[[#This Row],[VAR Robustness Index]]</f>
        <v>-7.2875989503001755</v>
      </c>
      <c r="AL34" s="11"/>
    </row>
    <row r="35" spans="1:38" x14ac:dyDescent="0.25">
      <c r="A35" s="11"/>
      <c r="B35" s="83"/>
      <c r="C35" s="83"/>
      <c r="D35" s="83"/>
      <c r="E35" s="10"/>
      <c r="F35" s="10"/>
      <c r="G35" s="10"/>
      <c r="H35" s="83"/>
      <c r="I35" s="11"/>
      <c r="J35" s="83"/>
      <c r="K35" s="83"/>
      <c r="L35" s="12"/>
      <c r="M35" s="12"/>
      <c r="N35" s="12"/>
      <c r="O35" s="12"/>
      <c r="P35" s="11"/>
      <c r="Q35" s="13"/>
      <c r="R35" s="83"/>
      <c r="S35" s="83"/>
      <c r="T35" s="83"/>
      <c r="U35" s="83"/>
      <c r="V35" s="12"/>
      <c r="W35" s="11"/>
      <c r="X35" s="83"/>
      <c r="Y35" s="12"/>
      <c r="Z35" s="11"/>
      <c r="AA35" s="14"/>
      <c r="AB35" s="11"/>
      <c r="AC35" s="11"/>
      <c r="AD35" s="15"/>
      <c r="AE35" s="11"/>
      <c r="AF35" s="11"/>
      <c r="AG35" s="11"/>
      <c r="AH35" s="11"/>
      <c r="AI35" s="11"/>
      <c r="AJ35" s="11"/>
      <c r="AK35" s="11"/>
      <c r="AL35" s="11"/>
    </row>
    <row r="36" spans="1:38" x14ac:dyDescent="0.25">
      <c r="A36" s="11"/>
      <c r="B36" s="83"/>
      <c r="C36" s="83"/>
      <c r="D36" s="83"/>
      <c r="E36" s="10"/>
      <c r="F36" s="10"/>
      <c r="G36" s="10"/>
      <c r="H36" s="83"/>
      <c r="I36" s="11"/>
      <c r="J36" s="83"/>
      <c r="K36" s="83"/>
      <c r="L36" s="12"/>
      <c r="M36" s="12"/>
      <c r="N36" s="12"/>
      <c r="O36" s="12"/>
      <c r="P36" s="11"/>
      <c r="Q36" s="13"/>
      <c r="R36" s="83"/>
      <c r="S36" s="83"/>
      <c r="T36" s="83"/>
      <c r="U36" s="83"/>
      <c r="V36" s="12"/>
      <c r="W36" s="11"/>
      <c r="X36" s="83"/>
      <c r="Y36" s="12"/>
      <c r="Z36" s="11"/>
      <c r="AA36" s="14"/>
      <c r="AB36" s="11"/>
      <c r="AC36" s="11"/>
      <c r="AD36" s="15"/>
      <c r="AE36" s="11"/>
      <c r="AF36" s="11"/>
      <c r="AG36" s="11"/>
      <c r="AH36" s="11"/>
      <c r="AI36" s="11"/>
      <c r="AJ36" s="11"/>
      <c r="AK36" s="11"/>
      <c r="AL36" s="11"/>
    </row>
    <row r="37" spans="1:38" ht="30" customHeight="1" x14ac:dyDescent="0.25">
      <c r="A37" s="39" t="s">
        <v>36</v>
      </c>
      <c r="B37" s="40">
        <v>16</v>
      </c>
      <c r="C37" s="47"/>
      <c r="D37" s="48">
        <v>185911.81818181818</v>
      </c>
      <c r="E37" s="48">
        <v>2055435.7575757576</v>
      </c>
      <c r="F37" s="48">
        <v>-1869523.9393939395</v>
      </c>
      <c r="G37" s="40">
        <v>5283.121212121212</v>
      </c>
      <c r="H37" s="40">
        <v>36.657913240363939</v>
      </c>
      <c r="I37" s="40">
        <v>1936.6969696969697</v>
      </c>
      <c r="J37" s="40">
        <v>3315.4545454545455</v>
      </c>
      <c r="K37" s="49">
        <v>12326.060606060606</v>
      </c>
      <c r="L37" s="49">
        <v>-5015.757575757576</v>
      </c>
      <c r="M37" s="49">
        <v>1094.3158893007221</v>
      </c>
      <c r="N37" s="49">
        <v>-559.41972582267988</v>
      </c>
      <c r="O37" s="50">
        <v>1.9186008293784289</v>
      </c>
      <c r="P37" s="49">
        <v>35.190776749791979</v>
      </c>
      <c r="Q37" s="40">
        <v>9.3939393939393945</v>
      </c>
      <c r="R37" s="40">
        <v>16.545454545454547</v>
      </c>
      <c r="S37" s="40">
        <v>53.606060606060609</v>
      </c>
      <c r="T37" s="40">
        <v>20.545454545454547</v>
      </c>
      <c r="U37" s="49">
        <v>-49521.666666666664</v>
      </c>
      <c r="V37" s="50">
        <v>1.0858495779822697</v>
      </c>
      <c r="W37" s="47">
        <v>1</v>
      </c>
      <c r="X37" s="47">
        <v>49521.666666666664</v>
      </c>
      <c r="Y37" s="40">
        <v>437.4278481117579</v>
      </c>
      <c r="Z37" s="47">
        <v>8125.6169705062284</v>
      </c>
      <c r="AA37" s="50">
        <v>-3.4286449531251968</v>
      </c>
      <c r="AB37" s="50">
        <v>1.7084470877713138</v>
      </c>
      <c r="AC37" s="50">
        <v>176519.2881345943</v>
      </c>
      <c r="AD37" s="50">
        <v>106.99079395325217</v>
      </c>
      <c r="AE37" s="11"/>
      <c r="AF37" s="11"/>
      <c r="AG37" s="11"/>
      <c r="AH37" s="11"/>
      <c r="AI37" s="11"/>
      <c r="AJ37" s="11"/>
      <c r="AK37" s="11"/>
      <c r="AL37" s="11"/>
    </row>
    <row r="38" spans="1:38" ht="30" customHeight="1" x14ac:dyDescent="0.25">
      <c r="A38" s="41" t="s">
        <v>37</v>
      </c>
      <c r="B38" s="42">
        <v>1.6832508230603462</v>
      </c>
      <c r="C38" s="51"/>
      <c r="D38" s="52">
        <v>20027.004394325446</v>
      </c>
      <c r="E38" s="52">
        <v>88747.223017832803</v>
      </c>
      <c r="F38" s="52">
        <v>69865.04875599753</v>
      </c>
      <c r="G38" s="42">
        <v>5.7695250801999304E-2</v>
      </c>
      <c r="H38" s="42">
        <v>0.91765252047999257</v>
      </c>
      <c r="I38" s="42">
        <v>48.505632382426469</v>
      </c>
      <c r="J38" s="42">
        <v>50.315257846664252</v>
      </c>
      <c r="K38" s="53">
        <v>1152.6340830596112</v>
      </c>
      <c r="L38" s="53">
        <v>145.92509903059522</v>
      </c>
      <c r="M38" s="53">
        <v>51.683554723554728</v>
      </c>
      <c r="N38" s="53">
        <v>17.820972694624317</v>
      </c>
      <c r="O38" s="54">
        <v>6.7848607145697293E-2</v>
      </c>
      <c r="P38" s="53">
        <v>3.7907581571312154</v>
      </c>
      <c r="Q38" s="42">
        <v>0.33972859582997988</v>
      </c>
      <c r="R38" s="42">
        <v>0.36950752721991487</v>
      </c>
      <c r="S38" s="42">
        <v>3.4730944726273005</v>
      </c>
      <c r="T38" s="42">
        <v>0.99343575562336395</v>
      </c>
      <c r="U38" s="53">
        <v>2643.0504453312374</v>
      </c>
      <c r="V38" s="54">
        <v>1.192843623474759E-2</v>
      </c>
      <c r="W38" s="51">
        <v>0</v>
      </c>
      <c r="X38" s="51">
        <v>2643.0504453312374</v>
      </c>
      <c r="Y38" s="42">
        <v>44.31307708917042</v>
      </c>
      <c r="Z38" s="51">
        <v>860.20950342628987</v>
      </c>
      <c r="AA38" s="54">
        <v>3.7640005003707082</v>
      </c>
      <c r="AB38" s="54">
        <v>0.1905760920407851</v>
      </c>
      <c r="AC38" s="55">
        <v>19032.648698329751</v>
      </c>
      <c r="AD38" s="54">
        <v>15.903006473981856</v>
      </c>
      <c r="AE38" s="11"/>
      <c r="AF38" s="11"/>
      <c r="AG38" s="11"/>
      <c r="AH38" s="11"/>
      <c r="AI38" s="11"/>
      <c r="AJ38" s="11"/>
      <c r="AK38" s="11"/>
      <c r="AL38" s="11"/>
    </row>
    <row r="39" spans="1:38" ht="30" customHeight="1" x14ac:dyDescent="0.25">
      <c r="A39" s="43" t="s">
        <v>38</v>
      </c>
      <c r="B39" s="44">
        <v>16</v>
      </c>
      <c r="C39" s="56"/>
      <c r="D39" s="57">
        <v>235890</v>
      </c>
      <c r="E39" s="57">
        <v>2307780</v>
      </c>
      <c r="F39" s="57">
        <v>-2069310</v>
      </c>
      <c r="G39" s="44">
        <v>5283</v>
      </c>
      <c r="H39" s="44">
        <v>35.77512776831346</v>
      </c>
      <c r="I39" s="44">
        <v>1890</v>
      </c>
      <c r="J39" s="44">
        <v>3367</v>
      </c>
      <c r="K39" s="58">
        <v>11410</v>
      </c>
      <c r="L39" s="58">
        <v>-5640</v>
      </c>
      <c r="M39" s="58">
        <v>1230.695556640625</v>
      </c>
      <c r="N39" s="58">
        <v>-613.028076171875</v>
      </c>
      <c r="O39" s="59">
        <v>1.999363391361026</v>
      </c>
      <c r="P39" s="58">
        <v>44.650766609880748</v>
      </c>
      <c r="Q39" s="44">
        <v>9</v>
      </c>
      <c r="R39" s="44">
        <v>17</v>
      </c>
      <c r="S39" s="44">
        <v>60</v>
      </c>
      <c r="T39" s="44">
        <v>24</v>
      </c>
      <c r="U39" s="58">
        <v>-45225</v>
      </c>
      <c r="V39" s="59">
        <v>1.112870349104272</v>
      </c>
      <c r="W39" s="56">
        <v>1</v>
      </c>
      <c r="X39" s="56">
        <v>45225</v>
      </c>
      <c r="Y39" s="44">
        <v>516.11788837309723</v>
      </c>
      <c r="Z39" s="60">
        <v>9754.6280902515391</v>
      </c>
      <c r="AA39" s="61">
        <v>1.37793705516673</v>
      </c>
      <c r="AB39" s="59">
        <v>2.183888284250374</v>
      </c>
      <c r="AC39" s="62">
        <v>223460.27252608197</v>
      </c>
      <c r="AD39" s="63">
        <v>122.9783947629312</v>
      </c>
      <c r="AE39" s="11"/>
      <c r="AF39" s="11"/>
      <c r="AG39" s="11"/>
      <c r="AH39" s="11"/>
      <c r="AI39" s="11"/>
      <c r="AJ39" s="11"/>
      <c r="AK39" s="11"/>
      <c r="AL39" s="11"/>
    </row>
    <row r="40" spans="1:38" ht="30" customHeight="1" x14ac:dyDescent="0.25">
      <c r="A40" s="41" t="s">
        <v>39</v>
      </c>
      <c r="B40" s="42" t="e">
        <v>#N/A</v>
      </c>
      <c r="C40" s="51"/>
      <c r="D40" s="52" t="e">
        <v>#N/A</v>
      </c>
      <c r="E40" s="52">
        <v>2326160</v>
      </c>
      <c r="F40" s="52" t="e">
        <v>#N/A</v>
      </c>
      <c r="G40" s="42">
        <v>5283</v>
      </c>
      <c r="H40" s="42">
        <v>35.77512776831346</v>
      </c>
      <c r="I40" s="42">
        <v>1890</v>
      </c>
      <c r="J40" s="42">
        <v>3367</v>
      </c>
      <c r="K40" s="53">
        <v>18780</v>
      </c>
      <c r="L40" s="53">
        <v>-5640</v>
      </c>
      <c r="M40" s="53">
        <v>1230.7724609375</v>
      </c>
      <c r="N40" s="53" t="e">
        <v>#N/A</v>
      </c>
      <c r="O40" s="54" t="e">
        <v>#N/A</v>
      </c>
      <c r="P40" s="53" t="e">
        <v>#N/A</v>
      </c>
      <c r="Q40" s="42">
        <v>9</v>
      </c>
      <c r="R40" s="42">
        <v>17</v>
      </c>
      <c r="S40" s="42">
        <v>69</v>
      </c>
      <c r="T40" s="42">
        <v>24</v>
      </c>
      <c r="U40" s="53">
        <v>-45225</v>
      </c>
      <c r="V40" s="54" t="e">
        <v>#N/A</v>
      </c>
      <c r="W40" s="51">
        <v>1</v>
      </c>
      <c r="X40" s="51">
        <v>45225</v>
      </c>
      <c r="Y40" s="42" t="e">
        <v>#N/A</v>
      </c>
      <c r="Z40" s="51" t="e">
        <v>#N/A</v>
      </c>
      <c r="AA40" s="54" t="e">
        <v>#N/A</v>
      </c>
      <c r="AB40" s="54" t="e">
        <v>#N/A</v>
      </c>
      <c r="AC40" s="55" t="e">
        <v>#N/A</v>
      </c>
      <c r="AD40" s="54" t="e">
        <v>#N/A</v>
      </c>
      <c r="AE40" s="11"/>
      <c r="AF40" s="11"/>
      <c r="AG40" s="11"/>
      <c r="AH40" s="11"/>
      <c r="AI40" s="11"/>
      <c r="AJ40" s="11"/>
      <c r="AK40" s="11"/>
      <c r="AL40" s="11"/>
    </row>
    <row r="41" spans="1:38" ht="30" customHeight="1" x14ac:dyDescent="0.25">
      <c r="A41" s="43" t="s">
        <v>40</v>
      </c>
      <c r="B41" s="44">
        <v>9.6695398029068578</v>
      </c>
      <c r="C41" s="59"/>
      <c r="D41" s="57">
        <v>115046.38136569491</v>
      </c>
      <c r="E41" s="57">
        <v>509813.98233222228</v>
      </c>
      <c r="F41" s="57">
        <v>401344.14938226156</v>
      </c>
      <c r="G41" s="44">
        <v>0.33143398263980844</v>
      </c>
      <c r="H41" s="44">
        <v>5.2715123916508384</v>
      </c>
      <c r="I41" s="44">
        <v>278.64364393079251</v>
      </c>
      <c r="J41" s="44">
        <v>289.03915077687691</v>
      </c>
      <c r="K41" s="58">
        <v>6621.3786986708537</v>
      </c>
      <c r="L41" s="58">
        <v>838.27587308351997</v>
      </c>
      <c r="M41" s="58">
        <v>296.89941790523659</v>
      </c>
      <c r="N41" s="58">
        <v>102.37369406651301</v>
      </c>
      <c r="O41" s="59">
        <v>0.38976057422880583</v>
      </c>
      <c r="P41" s="58">
        <v>21.776247711515314</v>
      </c>
      <c r="Q41" s="44">
        <v>1.9515922015657177</v>
      </c>
      <c r="R41" s="44">
        <v>2.1226591384821569</v>
      </c>
      <c r="S41" s="44">
        <v>19.951408775352483</v>
      </c>
      <c r="T41" s="44">
        <v>5.7068539334892581</v>
      </c>
      <c r="U41" s="58">
        <v>15183.168861165528</v>
      </c>
      <c r="V41" s="59">
        <v>6.8523649225741737E-2</v>
      </c>
      <c r="W41" s="59">
        <v>0</v>
      </c>
      <c r="X41" s="59">
        <v>15183.168861165528</v>
      </c>
      <c r="Y41" s="44">
        <v>254.55924739960852</v>
      </c>
      <c r="Z41" s="59">
        <v>4941.5273815796909</v>
      </c>
      <c r="AA41" s="59">
        <v>21.622536675980019</v>
      </c>
      <c r="AB41" s="59">
        <v>1.0947762996606873</v>
      </c>
      <c r="AC41" s="50">
        <v>109334.24277710571</v>
      </c>
      <c r="AD41" s="59">
        <v>91.35581695808861</v>
      </c>
      <c r="AE41" s="11"/>
      <c r="AF41" s="11"/>
      <c r="AG41" s="11"/>
      <c r="AH41" s="11"/>
      <c r="AI41" s="11"/>
      <c r="AJ41" s="11"/>
      <c r="AK41" s="11"/>
      <c r="AL41" s="11"/>
    </row>
    <row r="42" spans="1:38" ht="30" customHeight="1" x14ac:dyDescent="0.25">
      <c r="A42" s="41" t="s">
        <v>41</v>
      </c>
      <c r="B42" s="42">
        <v>93.5</v>
      </c>
      <c r="C42" s="54"/>
      <c r="D42" s="52">
        <v>13235669865.340912</v>
      </c>
      <c r="E42" s="52">
        <v>259910296581.43945</v>
      </c>
      <c r="F42" s="52">
        <v>161077126243.37109</v>
      </c>
      <c r="G42" s="42">
        <v>0.10984848484848483</v>
      </c>
      <c r="H42" s="42">
        <v>27.788842895328344</v>
      </c>
      <c r="I42" s="42">
        <v>77642.280303030275</v>
      </c>
      <c r="J42" s="42">
        <v>83543.630681818177</v>
      </c>
      <c r="K42" s="52">
        <v>43842655.871212125</v>
      </c>
      <c r="L42" s="52">
        <v>702706.43939393759</v>
      </c>
      <c r="M42" s="52">
        <v>88149.264352468308</v>
      </c>
      <c r="N42" s="52">
        <v>10480.373236824002</v>
      </c>
      <c r="O42" s="54">
        <v>0.15191330522316848</v>
      </c>
      <c r="P42" s="52">
        <v>474.20496439327599</v>
      </c>
      <c r="Q42" s="42">
        <v>3.8087121212121247</v>
      </c>
      <c r="R42" s="42">
        <v>4.505681818181813</v>
      </c>
      <c r="S42" s="42">
        <v>398.05871212121201</v>
      </c>
      <c r="T42" s="42">
        <v>32.568181818181813</v>
      </c>
      <c r="U42" s="52">
        <v>230528616.66666651</v>
      </c>
      <c r="V42" s="54">
        <v>4.6954905032124952E-3</v>
      </c>
      <c r="W42" s="51">
        <v>0</v>
      </c>
      <c r="X42" s="51">
        <v>230528616.66666651</v>
      </c>
      <c r="Y42" s="42">
        <v>64800.410436655104</v>
      </c>
      <c r="Z42" s="51">
        <v>24418692.862901837</v>
      </c>
      <c r="AA42" s="54">
        <v>467.53409230410102</v>
      </c>
      <c r="AB42" s="54">
        <v>1.198535146298747</v>
      </c>
      <c r="AC42" s="64">
        <v>11953976643.643093</v>
      </c>
      <c r="AD42" s="54">
        <v>8345.8852920797908</v>
      </c>
      <c r="AE42" s="11"/>
      <c r="AF42" s="11"/>
      <c r="AG42" s="11"/>
      <c r="AH42" s="11"/>
      <c r="AI42" s="11"/>
      <c r="AJ42" s="11"/>
      <c r="AK42" s="11"/>
      <c r="AL42" s="11"/>
    </row>
    <row r="43" spans="1:38" ht="30" customHeight="1" x14ac:dyDescent="0.25">
      <c r="A43" s="43" t="s">
        <v>42</v>
      </c>
      <c r="B43" s="44">
        <v>-1.1999999999999993</v>
      </c>
      <c r="C43" s="59"/>
      <c r="D43" s="57">
        <v>0.63492808913020493</v>
      </c>
      <c r="E43" s="57">
        <v>2.5042566529162085</v>
      </c>
      <c r="F43" s="57">
        <v>3.01390033448738</v>
      </c>
      <c r="G43" s="44">
        <v>4.1699666295920998</v>
      </c>
      <c r="H43" s="44">
        <v>5.6026369711354977</v>
      </c>
      <c r="I43" s="44">
        <v>5.6026800361320017</v>
      </c>
      <c r="J43" s="44">
        <v>5.5973514065739671</v>
      </c>
      <c r="K43" s="58">
        <v>-1.5926259261737385</v>
      </c>
      <c r="L43" s="58">
        <v>-1.0310921693507797</v>
      </c>
      <c r="M43" s="58">
        <v>3.8030701812418308</v>
      </c>
      <c r="N43" s="58">
        <v>1.7952913835274305</v>
      </c>
      <c r="O43" s="59">
        <v>4.1170814187195131</v>
      </c>
      <c r="P43" s="58">
        <v>0.63478245340986561</v>
      </c>
      <c r="Q43" s="44">
        <v>5.0896566916957742</v>
      </c>
      <c r="R43" s="44">
        <v>6.0123357168824487</v>
      </c>
      <c r="S43" s="44">
        <v>1.099251164824937</v>
      </c>
      <c r="T43" s="44">
        <v>1.2177587856412901</v>
      </c>
      <c r="U43" s="58">
        <v>6.5262028994705226</v>
      </c>
      <c r="V43" s="59">
        <v>2.7721735067740325</v>
      </c>
      <c r="W43" s="59" t="e">
        <v>#DIV/0!</v>
      </c>
      <c r="X43" s="59">
        <v>6.5262028994705226</v>
      </c>
      <c r="Y43" s="44">
        <v>0.21128127491796578</v>
      </c>
      <c r="Z43" s="59">
        <v>0.14101755827924656</v>
      </c>
      <c r="AA43" s="59">
        <v>15.861598856094185</v>
      </c>
      <c r="AB43" s="59">
        <v>0.52322085241855909</v>
      </c>
      <c r="AC43" s="50">
        <v>0.43789121116998198</v>
      </c>
      <c r="AD43" s="59">
        <v>5.3240204905441662</v>
      </c>
      <c r="AE43" s="11"/>
      <c r="AF43" s="11"/>
      <c r="AG43" s="11"/>
      <c r="AH43" s="11"/>
      <c r="AI43" s="11"/>
      <c r="AJ43" s="11"/>
      <c r="AK43" s="11"/>
      <c r="AL43" s="11"/>
    </row>
    <row r="44" spans="1:38" ht="30" customHeight="1" x14ac:dyDescent="0.25">
      <c r="A44" s="41" t="s">
        <v>43</v>
      </c>
      <c r="B44" s="42">
        <v>-2.5852975674234995E-17</v>
      </c>
      <c r="C44" s="54"/>
      <c r="D44" s="52">
        <v>-1.3000085132273038</v>
      </c>
      <c r="E44" s="52">
        <v>-1.913158953415298</v>
      </c>
      <c r="F44" s="52">
        <v>2.0393992434847452</v>
      </c>
      <c r="G44" s="42">
        <v>2.4332194498595001</v>
      </c>
      <c r="H44" s="42">
        <v>2.263758239893221</v>
      </c>
      <c r="I44" s="42">
        <v>2.264211361843806</v>
      </c>
      <c r="J44" s="42">
        <v>-2.302332605996269</v>
      </c>
      <c r="K44" s="53">
        <v>-7.7912622854782254E-3</v>
      </c>
      <c r="L44" s="53">
        <v>0.5261740318129694</v>
      </c>
      <c r="M44" s="53">
        <v>-2.2370022413805253</v>
      </c>
      <c r="N44" s="53">
        <v>1.757220176928489</v>
      </c>
      <c r="O44" s="54">
        <v>-1.9065931146627406</v>
      </c>
      <c r="P44" s="53">
        <v>-1.2999657972096577</v>
      </c>
      <c r="Q44" s="42">
        <v>2.0092186611787137</v>
      </c>
      <c r="R44" s="42">
        <v>-2.216654900972534</v>
      </c>
      <c r="S44" s="42">
        <v>-1.4750884009473861</v>
      </c>
      <c r="T44" s="42">
        <v>-1.6163504131236244</v>
      </c>
      <c r="U44" s="53">
        <v>-2.4515086978914549</v>
      </c>
      <c r="V44" s="54">
        <v>-1.8349500576562452</v>
      </c>
      <c r="W44" s="54" t="e">
        <v>#DIV/0!</v>
      </c>
      <c r="X44" s="54">
        <v>2.4515086978914549</v>
      </c>
      <c r="Y44" s="42">
        <v>-0.90942564657926384</v>
      </c>
      <c r="Z44" s="54">
        <v>-0.89453509275467513</v>
      </c>
      <c r="AA44" s="54">
        <v>-3.6948879131122121</v>
      </c>
      <c r="AB44" s="54">
        <v>-1.2553127429539008</v>
      </c>
      <c r="AC44" s="55">
        <v>-1.2069004915755792</v>
      </c>
      <c r="AD44" s="54">
        <v>0.95534367375397378</v>
      </c>
      <c r="AE44" s="11"/>
      <c r="AF44" s="11"/>
      <c r="AG44" s="11"/>
      <c r="AH44" s="11"/>
      <c r="AI44" s="11"/>
      <c r="AJ44" s="11"/>
      <c r="AK44" s="11"/>
      <c r="AL44" s="11"/>
    </row>
    <row r="45" spans="1:38" ht="30" customHeight="1" x14ac:dyDescent="0.25">
      <c r="A45" s="43" t="s">
        <v>44</v>
      </c>
      <c r="B45" s="44">
        <v>32</v>
      </c>
      <c r="C45" s="56"/>
      <c r="D45" s="57">
        <v>417540</v>
      </c>
      <c r="E45" s="57">
        <v>1772100</v>
      </c>
      <c r="F45" s="57">
        <v>1368780</v>
      </c>
      <c r="G45" s="44">
        <v>1</v>
      </c>
      <c r="H45" s="44">
        <v>25.259616816139868</v>
      </c>
      <c r="I45" s="44">
        <v>1335</v>
      </c>
      <c r="J45" s="44">
        <v>1370</v>
      </c>
      <c r="K45" s="58">
        <v>19950</v>
      </c>
      <c r="L45" s="58">
        <v>3130</v>
      </c>
      <c r="M45" s="58">
        <v>1024.1642150878906</v>
      </c>
      <c r="N45" s="58">
        <v>351.08615112304688</v>
      </c>
      <c r="O45" s="59">
        <v>1.8190777360264581</v>
      </c>
      <c r="P45" s="58">
        <v>79.031255252482396</v>
      </c>
      <c r="Q45" s="44">
        <v>9</v>
      </c>
      <c r="R45" s="44">
        <v>11</v>
      </c>
      <c r="S45" s="44">
        <v>64</v>
      </c>
      <c r="T45" s="44">
        <v>18</v>
      </c>
      <c r="U45" s="58">
        <v>72220</v>
      </c>
      <c r="V45" s="59">
        <v>0.28810632810131498</v>
      </c>
      <c r="W45" s="56">
        <v>0</v>
      </c>
      <c r="X45" s="56">
        <v>72220</v>
      </c>
      <c r="Y45" s="44">
        <v>926.76835702046355</v>
      </c>
      <c r="Z45" s="56">
        <v>17974.501079818601</v>
      </c>
      <c r="AA45" s="59">
        <v>132.05696733183458</v>
      </c>
      <c r="AB45" s="59">
        <v>3.9638051340665692</v>
      </c>
      <c r="AC45" s="50">
        <v>404784.71066208201</v>
      </c>
      <c r="AD45" s="59">
        <v>553.65036220876584</v>
      </c>
      <c r="AE45" s="11"/>
      <c r="AF45" s="11"/>
      <c r="AG45" s="11"/>
      <c r="AH45" s="11"/>
      <c r="AI45" s="11"/>
      <c r="AJ45" s="11"/>
      <c r="AK45" s="11"/>
      <c r="AL45" s="11"/>
    </row>
    <row r="46" spans="1:38" ht="30" customHeight="1" x14ac:dyDescent="0.25">
      <c r="A46" s="41" t="s">
        <v>45</v>
      </c>
      <c r="B46" s="42">
        <v>0</v>
      </c>
      <c r="C46" s="51"/>
      <c r="D46" s="52">
        <v>-94470</v>
      </c>
      <c r="E46" s="52">
        <v>626670</v>
      </c>
      <c r="F46" s="52">
        <v>-2089920</v>
      </c>
      <c r="G46" s="42">
        <v>5283</v>
      </c>
      <c r="H46" s="42">
        <v>28.184743516941133</v>
      </c>
      <c r="I46" s="42">
        <v>1489</v>
      </c>
      <c r="J46" s="42">
        <v>2397</v>
      </c>
      <c r="K46" s="53">
        <v>2990</v>
      </c>
      <c r="L46" s="53">
        <v>-6540</v>
      </c>
      <c r="M46" s="53">
        <v>246.91488647460938</v>
      </c>
      <c r="N46" s="53">
        <v>-620.67120361328125</v>
      </c>
      <c r="O46" s="54">
        <v>0.79657649088265103</v>
      </c>
      <c r="P46" s="53">
        <v>-17.878501135503406</v>
      </c>
      <c r="Q46" s="42">
        <v>6</v>
      </c>
      <c r="R46" s="42">
        <v>10</v>
      </c>
      <c r="S46" s="42">
        <v>5</v>
      </c>
      <c r="T46" s="42">
        <v>6</v>
      </c>
      <c r="U46" s="53">
        <v>-108215</v>
      </c>
      <c r="V46" s="54">
        <v>0.86899908478242804</v>
      </c>
      <c r="W46" s="51">
        <v>1</v>
      </c>
      <c r="X46" s="51">
        <v>35995</v>
      </c>
      <c r="Y46" s="51">
        <v>-87.298433673705119</v>
      </c>
      <c r="Z46" s="60">
        <v>-2215.6342466386359</v>
      </c>
      <c r="AA46" s="61">
        <v>-104.86467094680725</v>
      </c>
      <c r="AB46" s="54">
        <v>-0.92966171445382295</v>
      </c>
      <c r="AC46" s="62">
        <v>-91142.026605546649</v>
      </c>
      <c r="AD46" s="63">
        <v>-111.33947846842362</v>
      </c>
      <c r="AE46" s="5"/>
      <c r="AF46" s="11"/>
      <c r="AG46" s="11"/>
      <c r="AH46" s="11"/>
      <c r="AI46" s="11"/>
      <c r="AJ46" s="11"/>
      <c r="AK46" s="11"/>
      <c r="AL46" s="11"/>
    </row>
    <row r="47" spans="1:38" ht="30" customHeight="1" x14ac:dyDescent="0.25">
      <c r="A47" s="43" t="s">
        <v>46</v>
      </c>
      <c r="B47" s="44">
        <v>32</v>
      </c>
      <c r="C47" s="56"/>
      <c r="D47" s="57">
        <v>323070</v>
      </c>
      <c r="E47" s="57">
        <v>2398770</v>
      </c>
      <c r="F47" s="57">
        <v>-721140</v>
      </c>
      <c r="G47" s="44">
        <v>5284</v>
      </c>
      <c r="H47" s="44">
        <v>53.444360333081001</v>
      </c>
      <c r="I47" s="44">
        <v>2824</v>
      </c>
      <c r="J47" s="44">
        <v>3767</v>
      </c>
      <c r="K47" s="58">
        <v>22940</v>
      </c>
      <c r="L47" s="58">
        <v>-3410</v>
      </c>
      <c r="M47" s="58">
        <v>1271.0791015625</v>
      </c>
      <c r="N47" s="58">
        <v>-269.58505249023438</v>
      </c>
      <c r="O47" s="59">
        <v>2.615654226909109</v>
      </c>
      <c r="P47" s="58">
        <v>61.15275411697899</v>
      </c>
      <c r="Q47" s="44">
        <v>15</v>
      </c>
      <c r="R47" s="44">
        <v>21</v>
      </c>
      <c r="S47" s="44">
        <v>69</v>
      </c>
      <c r="T47" s="44">
        <v>24</v>
      </c>
      <c r="U47" s="58">
        <v>-35995</v>
      </c>
      <c r="V47" s="59">
        <v>1.157105412883743</v>
      </c>
      <c r="W47" s="56">
        <v>1</v>
      </c>
      <c r="X47" s="56">
        <v>108215</v>
      </c>
      <c r="Y47" s="44">
        <v>839.46992334675849</v>
      </c>
      <c r="Z47" s="60">
        <v>15758.866833179965</v>
      </c>
      <c r="AA47" s="61">
        <v>27.192296385027348</v>
      </c>
      <c r="AB47" s="59">
        <v>3.0341434196127461</v>
      </c>
      <c r="AC47" s="62">
        <v>313642.68405653536</v>
      </c>
      <c r="AD47" s="65">
        <v>442.31088374034221</v>
      </c>
      <c r="AE47" s="11"/>
      <c r="AF47" s="11"/>
      <c r="AG47" s="11"/>
      <c r="AH47" s="11"/>
      <c r="AI47" s="11"/>
      <c r="AJ47" s="11"/>
      <c r="AK47" s="11"/>
      <c r="AL47" s="11"/>
    </row>
    <row r="48" spans="1:38" ht="30" customHeight="1" x14ac:dyDescent="0.25">
      <c r="A48" s="45" t="s">
        <v>47</v>
      </c>
      <c r="B48" s="46">
        <v>3.4286697268982782</v>
      </c>
      <c r="C48" s="66"/>
      <c r="D48" s="67">
        <v>40793.67302042347</v>
      </c>
      <c r="E48" s="67">
        <v>180772.17770451342</v>
      </c>
      <c r="F48" s="67">
        <v>142310.44735355701</v>
      </c>
      <c r="G48" s="46">
        <v>0.11752138011788553</v>
      </c>
      <c r="H48" s="46">
        <v>1.8691970166759002</v>
      </c>
      <c r="I48" s="46">
        <v>98.802739945382498</v>
      </c>
      <c r="J48" s="46">
        <v>102.4888263926629</v>
      </c>
      <c r="K48" s="68">
        <v>2347.8387965926818</v>
      </c>
      <c r="L48" s="68">
        <v>297.23969986313671</v>
      </c>
      <c r="M48" s="68">
        <v>105.27595592495344</v>
      </c>
      <c r="N48" s="68">
        <v>36.300133494572279</v>
      </c>
      <c r="O48" s="66">
        <v>0.1382030902023961</v>
      </c>
      <c r="P48" s="68">
        <v>7.7215216872539383</v>
      </c>
      <c r="Q48" s="46">
        <v>0.69200450457296625</v>
      </c>
      <c r="R48" s="46">
        <v>0.75266220285373553</v>
      </c>
      <c r="S48" s="46">
        <v>7.0744619362815238</v>
      </c>
      <c r="T48" s="46">
        <v>2.0235624152147107</v>
      </c>
      <c r="U48" s="68">
        <v>5383.7175805422667</v>
      </c>
      <c r="V48" s="66">
        <v>2.4297429501895028E-2</v>
      </c>
      <c r="W48" s="66">
        <v>0</v>
      </c>
      <c r="X48" s="66">
        <v>5383.7175805422667</v>
      </c>
      <c r="Y48" s="46">
        <v>90.262784274249114</v>
      </c>
      <c r="Z48" s="66">
        <v>1752.189419890266</v>
      </c>
      <c r="AA48" s="66">
        <v>7.6670181240056001</v>
      </c>
      <c r="AB48" s="66">
        <v>0.38819079634419634</v>
      </c>
      <c r="AC48" s="69">
        <v>38768.236747990362</v>
      </c>
      <c r="AD48" s="66">
        <v>32.393364148115495</v>
      </c>
      <c r="AE48" s="11"/>
      <c r="AF48" s="11"/>
      <c r="AG48" s="11"/>
      <c r="AH48" s="11"/>
      <c r="AI48" s="11"/>
      <c r="AJ48" s="11"/>
      <c r="AK48" s="11"/>
      <c r="AL48" s="11"/>
    </row>
    <row r="49" spans="1:38" x14ac:dyDescent="0.25">
      <c r="A49" s="11"/>
      <c r="B49" s="83"/>
      <c r="C49" s="83"/>
      <c r="D49" s="83"/>
      <c r="E49" s="10"/>
      <c r="F49" s="10"/>
      <c r="G49" s="10"/>
      <c r="H49" s="83"/>
      <c r="I49" s="11"/>
      <c r="J49" s="83"/>
      <c r="K49" s="83"/>
      <c r="L49" s="12"/>
      <c r="M49" s="12"/>
      <c r="N49" s="12"/>
      <c r="O49" s="12"/>
      <c r="P49" s="11"/>
      <c r="Q49" s="13"/>
      <c r="R49" s="83"/>
      <c r="S49" s="83"/>
      <c r="T49" s="83"/>
      <c r="U49" s="83"/>
      <c r="V49" s="12"/>
      <c r="W49" s="11"/>
      <c r="X49" s="83"/>
      <c r="Y49" s="12"/>
      <c r="Z49" s="11"/>
      <c r="AA49" s="14"/>
      <c r="AB49" s="11"/>
      <c r="AC49" s="11"/>
      <c r="AD49" s="15"/>
      <c r="AE49" s="11"/>
      <c r="AF49" s="11"/>
      <c r="AG49" s="11"/>
      <c r="AH49" s="11"/>
      <c r="AI49" s="11"/>
      <c r="AJ49" s="11"/>
      <c r="AK49" s="11"/>
      <c r="AL49" s="11"/>
    </row>
    <row r="50" spans="1:38" x14ac:dyDescent="0.25">
      <c r="A50" s="11"/>
      <c r="B50" s="83"/>
      <c r="C50" s="83"/>
      <c r="D50" s="83"/>
      <c r="E50" s="10"/>
      <c r="F50" s="10"/>
      <c r="G50" s="10"/>
      <c r="H50" s="83"/>
      <c r="I50" s="11"/>
      <c r="J50" s="83"/>
      <c r="K50" s="83"/>
      <c r="L50" s="12"/>
      <c r="M50" s="12"/>
      <c r="N50" s="12"/>
      <c r="O50" s="12"/>
      <c r="P50" s="11"/>
      <c r="Q50" s="13"/>
      <c r="R50" s="83"/>
      <c r="S50" s="83"/>
      <c r="T50" s="83"/>
      <c r="U50" s="83"/>
      <c r="V50" s="12"/>
      <c r="W50" s="11"/>
      <c r="X50" s="83"/>
      <c r="Y50" s="12"/>
      <c r="Z50" s="11"/>
      <c r="AA50" s="14"/>
      <c r="AB50" s="11"/>
      <c r="AC50" s="11"/>
      <c r="AD50" s="15"/>
      <c r="AE50" s="11"/>
      <c r="AF50" s="11"/>
      <c r="AG50" s="11"/>
      <c r="AH50" s="11"/>
      <c r="AI50" s="11"/>
      <c r="AJ50" s="11"/>
      <c r="AK50" s="11"/>
      <c r="AL50" s="11"/>
    </row>
    <row r="51" spans="1:38" x14ac:dyDescent="0.25">
      <c r="A51" s="11"/>
      <c r="B51" s="83"/>
      <c r="C51" s="83"/>
      <c r="D51" s="83"/>
      <c r="E51" s="10"/>
      <c r="F51" s="10"/>
      <c r="G51" s="10"/>
      <c r="H51" s="83"/>
      <c r="I51" s="11"/>
      <c r="J51" s="83"/>
      <c r="K51" s="83"/>
      <c r="L51" s="12"/>
      <c r="M51" s="12"/>
      <c r="N51" s="12"/>
      <c r="O51" s="12"/>
      <c r="P51" s="11"/>
      <c r="Q51" s="13"/>
      <c r="R51" s="83"/>
      <c r="S51" s="83"/>
      <c r="T51" s="83"/>
      <c r="U51" s="83"/>
      <c r="V51" s="12"/>
      <c r="W51" s="11"/>
      <c r="X51" s="83"/>
      <c r="Y51" s="12"/>
      <c r="Z51" s="11"/>
      <c r="AA51" s="14"/>
      <c r="AB51" s="11"/>
      <c r="AC51" s="11"/>
      <c r="AD51" s="15"/>
      <c r="AE51" s="11"/>
      <c r="AF51" s="11"/>
      <c r="AG51" s="11"/>
      <c r="AH51" s="11"/>
      <c r="AI51" s="11"/>
      <c r="AJ51" s="11"/>
      <c r="AK51" s="11"/>
      <c r="AL51" s="11"/>
    </row>
    <row r="52" spans="1:38" x14ac:dyDescent="0.25">
      <c r="A52" s="11"/>
      <c r="B52" s="83"/>
      <c r="C52" s="83"/>
      <c r="D52" s="83"/>
      <c r="E52" s="10"/>
      <c r="F52" s="10"/>
      <c r="G52" s="10"/>
      <c r="H52" s="83"/>
      <c r="I52" s="11"/>
      <c r="J52" s="83"/>
      <c r="K52" s="83"/>
      <c r="L52" s="12"/>
      <c r="M52" s="12"/>
      <c r="N52" s="12"/>
      <c r="O52" s="12"/>
      <c r="P52" s="11"/>
      <c r="Q52" s="13"/>
      <c r="R52" s="83"/>
      <c r="S52" s="83"/>
      <c r="T52" s="83"/>
      <c r="U52" s="83"/>
      <c r="V52" s="12"/>
      <c r="W52" s="11"/>
      <c r="X52" s="83"/>
      <c r="Y52" s="12"/>
      <c r="Z52" s="11"/>
      <c r="AA52" s="14"/>
      <c r="AB52" s="11"/>
      <c r="AC52" s="11"/>
      <c r="AD52" s="15"/>
      <c r="AE52" s="11"/>
      <c r="AF52" s="11"/>
      <c r="AG52" s="11"/>
      <c r="AH52" s="11"/>
      <c r="AI52" s="11"/>
      <c r="AJ52" s="11"/>
      <c r="AK52" s="11"/>
      <c r="AL52" s="11"/>
    </row>
    <row r="53" spans="1:38" x14ac:dyDescent="0.25">
      <c r="A53" s="11"/>
      <c r="B53" s="83"/>
      <c r="C53" s="83"/>
      <c r="D53" s="83"/>
      <c r="E53" s="10"/>
      <c r="F53" s="10"/>
      <c r="G53" s="10"/>
      <c r="H53" s="83"/>
      <c r="I53" s="11"/>
      <c r="J53" s="83"/>
      <c r="K53" s="83"/>
      <c r="L53" s="12"/>
      <c r="M53" s="12"/>
      <c r="N53" s="12"/>
      <c r="O53" s="12"/>
      <c r="P53" s="11"/>
      <c r="Q53" s="13"/>
      <c r="R53" s="83"/>
      <c r="S53" s="83"/>
      <c r="T53" s="83"/>
      <c r="U53" s="83"/>
      <c r="V53" s="12"/>
      <c r="W53" s="11"/>
      <c r="X53" s="83"/>
      <c r="Y53" s="12"/>
      <c r="Z53" s="11"/>
      <c r="AA53" s="14"/>
      <c r="AB53" s="11"/>
      <c r="AC53" s="11"/>
      <c r="AD53" s="15"/>
      <c r="AE53" s="11"/>
      <c r="AF53" s="11"/>
      <c r="AG53" s="11"/>
      <c r="AH53" s="11"/>
      <c r="AI53" s="11"/>
      <c r="AJ53" s="11"/>
      <c r="AK53" s="11"/>
      <c r="AL53" s="11"/>
    </row>
    <row r="54" spans="1:38" x14ac:dyDescent="0.25">
      <c r="A54" s="11"/>
      <c r="B54" s="83"/>
      <c r="C54" s="83"/>
      <c r="D54" s="83"/>
      <c r="E54" s="10"/>
      <c r="F54" s="10"/>
      <c r="G54" s="10"/>
      <c r="H54" s="83"/>
      <c r="I54" s="11"/>
      <c r="J54" s="83"/>
      <c r="K54" s="83"/>
      <c r="L54" s="12"/>
      <c r="M54" s="12"/>
      <c r="N54" s="12"/>
      <c r="O54" s="12"/>
      <c r="P54" s="11"/>
      <c r="Q54" s="13"/>
      <c r="R54" s="83"/>
      <c r="S54" s="83"/>
      <c r="T54" s="83"/>
      <c r="U54" s="83"/>
      <c r="V54" s="12"/>
      <c r="W54" s="11"/>
      <c r="X54" s="83"/>
      <c r="Y54" s="12"/>
      <c r="Z54" s="11"/>
      <c r="AA54" s="14"/>
      <c r="AB54" s="11"/>
      <c r="AC54" s="11"/>
      <c r="AD54" s="15"/>
      <c r="AE54" s="11"/>
      <c r="AF54" s="11"/>
      <c r="AG54" s="11"/>
      <c r="AH54" s="11"/>
      <c r="AI54" s="11"/>
      <c r="AJ54" s="11"/>
      <c r="AK54" s="11"/>
      <c r="AL54" s="11"/>
    </row>
    <row r="55" spans="1:38" x14ac:dyDescent="0.25">
      <c r="A55" s="11"/>
      <c r="B55" s="83"/>
      <c r="C55" s="83"/>
      <c r="D55" s="83"/>
      <c r="E55" s="10"/>
      <c r="F55" s="10"/>
      <c r="G55" s="10"/>
      <c r="H55" s="83"/>
      <c r="I55" s="11"/>
      <c r="J55" s="83"/>
      <c r="K55" s="83"/>
      <c r="L55" s="12"/>
      <c r="M55" s="12"/>
      <c r="N55" s="12"/>
      <c r="O55" s="12"/>
      <c r="P55" s="11"/>
      <c r="Q55" s="13"/>
      <c r="R55" s="83"/>
      <c r="S55" s="83"/>
      <c r="T55" s="83"/>
      <c r="U55" s="83"/>
      <c r="V55" s="12"/>
      <c r="W55" s="11"/>
      <c r="X55" s="83"/>
      <c r="Y55" s="12"/>
      <c r="Z55" s="11"/>
      <c r="AA55" s="14"/>
      <c r="AB55" s="11"/>
      <c r="AC55" s="11"/>
      <c r="AD55" s="15"/>
      <c r="AE55" s="11"/>
      <c r="AF55" s="11"/>
      <c r="AG55" s="11"/>
      <c r="AH55" s="11"/>
      <c r="AI55" s="11"/>
      <c r="AJ55" s="11"/>
      <c r="AK55" s="11"/>
      <c r="AL55" s="11"/>
    </row>
    <row r="56" spans="1:38" x14ac:dyDescent="0.25">
      <c r="A56" s="11"/>
      <c r="B56" s="83"/>
      <c r="C56" s="83"/>
      <c r="D56" s="83"/>
      <c r="E56" s="10"/>
      <c r="F56" s="10"/>
      <c r="G56" s="10"/>
      <c r="H56" s="83"/>
      <c r="I56" s="11"/>
      <c r="J56" s="83"/>
      <c r="K56" s="83"/>
      <c r="L56" s="12"/>
      <c r="M56" s="12"/>
      <c r="N56" s="12"/>
      <c r="O56" s="12"/>
      <c r="P56" s="11"/>
      <c r="Q56" s="13"/>
      <c r="R56" s="83"/>
      <c r="S56" s="83"/>
      <c r="T56" s="83"/>
      <c r="U56" s="83"/>
      <c r="V56" s="12"/>
      <c r="W56" s="11"/>
      <c r="X56" s="83"/>
      <c r="Y56" s="12"/>
      <c r="Z56" s="11"/>
      <c r="AA56" s="14"/>
      <c r="AB56" s="11"/>
      <c r="AC56" s="11"/>
      <c r="AD56" s="15"/>
      <c r="AE56" s="11"/>
      <c r="AF56" s="11"/>
      <c r="AG56" s="11"/>
      <c r="AH56" s="11"/>
      <c r="AI56" s="11"/>
      <c r="AJ56" s="11"/>
      <c r="AK56" s="11"/>
      <c r="AL56" s="11"/>
    </row>
    <row r="57" spans="1:38" x14ac:dyDescent="0.25">
      <c r="A57" s="11"/>
      <c r="B57" s="83"/>
      <c r="C57" s="83"/>
      <c r="D57" s="83"/>
      <c r="E57" s="10"/>
      <c r="F57" s="10"/>
      <c r="G57" s="10"/>
      <c r="H57" s="83"/>
      <c r="I57" s="11"/>
      <c r="J57" s="83"/>
      <c r="K57" s="83"/>
      <c r="L57" s="12"/>
      <c r="M57" s="12"/>
      <c r="N57" s="12"/>
      <c r="O57" s="12"/>
      <c r="P57" s="11"/>
      <c r="Q57" s="13"/>
      <c r="R57" s="83"/>
      <c r="S57" s="83"/>
      <c r="T57" s="83"/>
      <c r="U57" s="83"/>
      <c r="V57" s="12"/>
      <c r="W57" s="11"/>
      <c r="X57" s="83"/>
      <c r="Y57" s="12"/>
      <c r="Z57" s="11"/>
      <c r="AA57" s="14"/>
      <c r="AB57" s="11"/>
      <c r="AC57" s="11"/>
      <c r="AD57" s="15"/>
      <c r="AE57" s="11"/>
      <c r="AF57" s="11"/>
      <c r="AG57" s="11"/>
      <c r="AH57" s="11"/>
      <c r="AI57" s="11"/>
      <c r="AJ57" s="11"/>
      <c r="AK57" s="11"/>
      <c r="AL57" s="11"/>
    </row>
    <row r="58" spans="1:38" x14ac:dyDescent="0.25">
      <c r="A58" s="11"/>
      <c r="B58" s="83"/>
      <c r="C58" s="83"/>
      <c r="D58" s="83"/>
      <c r="E58" s="10"/>
      <c r="F58" s="10"/>
      <c r="G58" s="10"/>
      <c r="H58" s="83"/>
      <c r="I58" s="11"/>
      <c r="J58" s="83"/>
      <c r="K58" s="83"/>
      <c r="L58" s="12"/>
      <c r="M58" s="12"/>
      <c r="N58" s="12"/>
      <c r="O58" s="12"/>
      <c r="P58" s="11"/>
      <c r="Q58" s="13"/>
      <c r="R58" s="83"/>
      <c r="S58" s="83"/>
      <c r="T58" s="83"/>
      <c r="U58" s="83"/>
      <c r="V58" s="12"/>
      <c r="W58" s="11"/>
      <c r="X58" s="83"/>
      <c r="Y58" s="12"/>
      <c r="Z58" s="11"/>
      <c r="AA58" s="14"/>
      <c r="AB58" s="11"/>
      <c r="AC58" s="11"/>
      <c r="AD58" s="15"/>
      <c r="AE58" s="11"/>
      <c r="AF58" s="11"/>
      <c r="AG58" s="11"/>
      <c r="AH58" s="11"/>
      <c r="AI58" s="11"/>
      <c r="AJ58" s="11"/>
      <c r="AK58" s="11"/>
      <c r="AL58" s="11"/>
    </row>
    <row r="59" spans="1:38" x14ac:dyDescent="0.25">
      <c r="A59" s="11"/>
      <c r="B59" s="83"/>
      <c r="C59" s="83"/>
      <c r="D59" s="83"/>
      <c r="E59" s="4"/>
      <c r="F59" s="4"/>
      <c r="G59" s="4"/>
      <c r="H59" s="83"/>
      <c r="I59" s="5"/>
      <c r="J59" s="83"/>
      <c r="K59" s="83"/>
      <c r="L59" s="6"/>
      <c r="M59" s="6"/>
      <c r="N59" s="6"/>
      <c r="O59" s="6"/>
      <c r="P59" s="5"/>
      <c r="Q59" s="7"/>
      <c r="R59" s="83"/>
      <c r="S59" s="83"/>
      <c r="T59" s="83"/>
      <c r="U59" s="83"/>
      <c r="V59" s="6"/>
      <c r="W59" s="5"/>
      <c r="X59" s="83"/>
      <c r="Y59" s="6"/>
      <c r="Z59" s="5"/>
      <c r="AA59" s="8"/>
      <c r="AB59" s="5"/>
      <c r="AC59" s="5"/>
      <c r="AD59" s="9"/>
      <c r="AE59" s="5"/>
      <c r="AF59" s="11"/>
      <c r="AG59" s="11"/>
      <c r="AH59" s="11"/>
      <c r="AI59" s="11"/>
      <c r="AJ59" s="11"/>
      <c r="AK59" s="11"/>
      <c r="AL59" s="11"/>
    </row>
    <row r="60" spans="1:38" x14ac:dyDescent="0.25">
      <c r="A60" s="11"/>
      <c r="B60" s="83"/>
      <c r="C60" s="83"/>
      <c r="D60" s="83"/>
      <c r="E60" s="10"/>
      <c r="F60" s="10"/>
      <c r="G60" s="10"/>
      <c r="H60" s="83"/>
      <c r="I60" s="11"/>
      <c r="J60" s="83"/>
      <c r="K60" s="83"/>
      <c r="L60" s="12"/>
      <c r="M60" s="12"/>
      <c r="N60" s="12"/>
      <c r="O60" s="12"/>
      <c r="P60" s="11"/>
      <c r="Q60" s="13"/>
      <c r="R60" s="83"/>
      <c r="S60" s="83"/>
      <c r="T60" s="83"/>
      <c r="U60" s="83"/>
      <c r="V60" s="12"/>
      <c r="W60" s="11"/>
      <c r="X60" s="83"/>
      <c r="Y60" s="12"/>
      <c r="Z60" s="11"/>
      <c r="AA60" s="14"/>
      <c r="AB60" s="11"/>
      <c r="AC60" s="11"/>
      <c r="AD60" s="15"/>
      <c r="AE60" s="11"/>
      <c r="AF60" s="11"/>
      <c r="AG60" s="11"/>
      <c r="AH60" s="11"/>
      <c r="AI60" s="11"/>
      <c r="AJ60" s="11"/>
      <c r="AK60" s="11"/>
      <c r="AL60" s="11"/>
    </row>
    <row r="61" spans="1:38" x14ac:dyDescent="0.25">
      <c r="A61" s="11"/>
      <c r="B61" s="83"/>
      <c r="C61" s="83"/>
      <c r="D61" s="83"/>
      <c r="E61" s="10"/>
      <c r="F61" s="10"/>
      <c r="G61" s="10"/>
      <c r="H61" s="83"/>
      <c r="I61" s="11"/>
      <c r="J61" s="83"/>
      <c r="K61" s="83"/>
      <c r="L61" s="12"/>
      <c r="M61" s="12"/>
      <c r="N61" s="12"/>
      <c r="O61" s="12"/>
      <c r="P61" s="11"/>
      <c r="Q61" s="13"/>
      <c r="R61" s="83"/>
      <c r="S61" s="83"/>
      <c r="T61" s="83"/>
      <c r="U61" s="83"/>
      <c r="V61" s="12"/>
      <c r="W61" s="11"/>
      <c r="X61" s="83"/>
      <c r="Y61" s="12"/>
      <c r="Z61" s="11"/>
      <c r="AA61" s="14"/>
      <c r="AB61" s="11"/>
      <c r="AC61" s="11"/>
      <c r="AD61" s="15"/>
      <c r="AE61" s="11"/>
      <c r="AF61" s="11"/>
      <c r="AG61" s="11"/>
      <c r="AH61" s="11"/>
      <c r="AI61" s="11"/>
      <c r="AJ61" s="11"/>
      <c r="AK61" s="11"/>
      <c r="AL61" s="11"/>
    </row>
    <row r="62" spans="1:38" x14ac:dyDescent="0.25">
      <c r="A62" s="11"/>
      <c r="B62" s="83"/>
      <c r="C62" s="83"/>
      <c r="D62" s="83"/>
      <c r="E62" s="10"/>
      <c r="F62" s="10"/>
      <c r="G62" s="10"/>
      <c r="H62" s="83"/>
      <c r="I62" s="11"/>
      <c r="J62" s="83"/>
      <c r="K62" s="83"/>
      <c r="L62" s="12"/>
      <c r="M62" s="12"/>
      <c r="N62" s="12"/>
      <c r="O62" s="12"/>
      <c r="P62" s="11"/>
      <c r="Q62" s="13"/>
      <c r="R62" s="83"/>
      <c r="S62" s="83"/>
      <c r="T62" s="83"/>
      <c r="U62" s="83"/>
      <c r="V62" s="12"/>
      <c r="W62" s="11"/>
      <c r="X62" s="83"/>
      <c r="Y62" s="12"/>
      <c r="Z62" s="11"/>
      <c r="AA62" s="14"/>
      <c r="AB62" s="11"/>
      <c r="AC62" s="11"/>
      <c r="AD62" s="15"/>
      <c r="AE62" s="11"/>
      <c r="AF62" s="11"/>
      <c r="AG62" s="11"/>
      <c r="AH62" s="11"/>
      <c r="AI62" s="11"/>
      <c r="AJ62" s="11"/>
      <c r="AK62" s="11"/>
      <c r="AL62" s="11"/>
    </row>
    <row r="63" spans="1:38" x14ac:dyDescent="0.25">
      <c r="A63" s="11"/>
      <c r="B63" s="83"/>
      <c r="C63" s="83"/>
      <c r="D63" s="83"/>
      <c r="E63" s="10"/>
      <c r="F63" s="10"/>
      <c r="G63" s="10"/>
      <c r="H63" s="83"/>
      <c r="I63" s="11"/>
      <c r="J63" s="83"/>
      <c r="K63" s="83"/>
      <c r="L63" s="12"/>
      <c r="M63" s="12"/>
      <c r="N63" s="12"/>
      <c r="O63" s="12"/>
      <c r="P63" s="11"/>
      <c r="Q63" s="13"/>
      <c r="R63" s="83"/>
      <c r="S63" s="83"/>
      <c r="T63" s="83"/>
      <c r="U63" s="83"/>
      <c r="V63" s="12"/>
      <c r="W63" s="11"/>
      <c r="X63" s="83"/>
      <c r="Y63" s="12"/>
      <c r="Z63" s="11"/>
      <c r="AA63" s="14"/>
      <c r="AB63" s="11"/>
      <c r="AC63" s="11"/>
      <c r="AD63" s="15"/>
      <c r="AE63" s="11"/>
      <c r="AF63" s="11"/>
      <c r="AG63" s="11"/>
      <c r="AH63" s="11"/>
      <c r="AI63" s="11"/>
      <c r="AJ63" s="11"/>
      <c r="AK63" s="11"/>
      <c r="AL63" s="11"/>
    </row>
    <row r="64" spans="1:38" x14ac:dyDescent="0.25">
      <c r="A64" s="11"/>
      <c r="B64" s="83"/>
      <c r="C64" s="83"/>
      <c r="D64" s="83"/>
      <c r="E64" s="10"/>
      <c r="F64" s="10"/>
      <c r="G64" s="10"/>
      <c r="H64" s="83"/>
      <c r="I64" s="11"/>
      <c r="J64" s="83"/>
      <c r="K64" s="83"/>
      <c r="L64" s="12"/>
      <c r="M64" s="12"/>
      <c r="N64" s="12"/>
      <c r="O64" s="12"/>
      <c r="P64" s="11"/>
      <c r="Q64" s="13"/>
      <c r="R64" s="83"/>
      <c r="S64" s="83"/>
      <c r="T64" s="83"/>
      <c r="U64" s="83"/>
      <c r="V64" s="12"/>
      <c r="W64" s="11"/>
      <c r="X64" s="83"/>
      <c r="Y64" s="12"/>
      <c r="Z64" s="11"/>
      <c r="AA64" s="14"/>
      <c r="AB64" s="11"/>
      <c r="AC64" s="11"/>
      <c r="AD64" s="15"/>
      <c r="AE64" s="11"/>
      <c r="AF64" s="11"/>
      <c r="AG64" s="11"/>
      <c r="AH64" s="11"/>
      <c r="AI64" s="11"/>
      <c r="AJ64" s="11"/>
      <c r="AK64" s="11"/>
      <c r="AL64" s="11"/>
    </row>
    <row r="65" spans="1:38" x14ac:dyDescent="0.25">
      <c r="A65" s="11"/>
      <c r="B65" s="83"/>
      <c r="C65" s="83"/>
      <c r="D65" s="83"/>
      <c r="E65" s="4"/>
      <c r="F65" s="4"/>
      <c r="G65" s="4"/>
      <c r="H65" s="83"/>
      <c r="I65" s="5"/>
      <c r="J65" s="83"/>
      <c r="K65" s="83"/>
      <c r="L65" s="6"/>
      <c r="M65" s="6"/>
      <c r="N65" s="6"/>
      <c r="O65" s="6"/>
      <c r="P65" s="5"/>
      <c r="Q65" s="7"/>
      <c r="R65" s="83"/>
      <c r="S65" s="83"/>
      <c r="T65" s="83"/>
      <c r="U65" s="83"/>
      <c r="V65" s="6"/>
      <c r="W65" s="5"/>
      <c r="X65" s="83"/>
      <c r="Y65" s="6"/>
      <c r="Z65" s="5"/>
      <c r="AA65" s="8"/>
      <c r="AB65" s="5"/>
      <c r="AC65" s="5"/>
      <c r="AD65" s="9"/>
      <c r="AE65" s="5"/>
      <c r="AF65" s="11"/>
      <c r="AG65" s="11"/>
      <c r="AH65" s="11"/>
      <c r="AI65" s="11"/>
      <c r="AJ65" s="11"/>
      <c r="AK65" s="11"/>
      <c r="AL65" s="11"/>
    </row>
    <row r="66" spans="1:38" x14ac:dyDescent="0.25">
      <c r="A66" s="11"/>
      <c r="B66" s="83"/>
      <c r="C66" s="83"/>
      <c r="D66" s="83"/>
      <c r="E66" s="10"/>
      <c r="F66" s="10"/>
      <c r="G66" s="10"/>
      <c r="H66" s="83"/>
      <c r="I66" s="11"/>
      <c r="J66" s="83"/>
      <c r="K66" s="83"/>
      <c r="L66" s="12"/>
      <c r="M66" s="12"/>
      <c r="N66" s="12"/>
      <c r="O66" s="12"/>
      <c r="P66" s="11"/>
      <c r="Q66" s="13"/>
      <c r="R66" s="83"/>
      <c r="S66" s="83"/>
      <c r="T66" s="83"/>
      <c r="U66" s="83"/>
      <c r="V66" s="12"/>
      <c r="W66" s="11"/>
      <c r="X66" s="83"/>
      <c r="Y66" s="12"/>
      <c r="Z66" s="11"/>
      <c r="AA66" s="14"/>
      <c r="AB66" s="11"/>
      <c r="AC66" s="11"/>
      <c r="AD66" s="15"/>
      <c r="AE66" s="11"/>
      <c r="AF66" s="11"/>
      <c r="AG66" s="11"/>
      <c r="AH66" s="11"/>
      <c r="AI66" s="11"/>
      <c r="AJ66" s="11"/>
      <c r="AK66" s="11"/>
      <c r="AL66" s="11"/>
    </row>
    <row r="67" spans="1:38" x14ac:dyDescent="0.25">
      <c r="A67" s="11"/>
      <c r="B67" s="83"/>
      <c r="C67" s="83"/>
      <c r="D67" s="83"/>
      <c r="E67" s="10"/>
      <c r="F67" s="10"/>
      <c r="G67" s="10"/>
      <c r="H67" s="83"/>
      <c r="I67" s="11"/>
      <c r="J67" s="83"/>
      <c r="K67" s="83"/>
      <c r="L67" s="12"/>
      <c r="M67" s="12"/>
      <c r="N67" s="12"/>
      <c r="O67" s="12"/>
      <c r="P67" s="11"/>
      <c r="Q67" s="13"/>
      <c r="R67" s="83"/>
      <c r="S67" s="83"/>
      <c r="T67" s="83"/>
      <c r="U67" s="83"/>
      <c r="V67" s="12"/>
      <c r="W67" s="11"/>
      <c r="X67" s="83"/>
      <c r="Y67" s="12"/>
      <c r="Z67" s="11"/>
      <c r="AA67" s="14"/>
      <c r="AB67" s="11"/>
      <c r="AC67" s="11"/>
      <c r="AD67" s="15"/>
      <c r="AE67" s="11"/>
      <c r="AF67" s="11"/>
      <c r="AG67" s="11"/>
      <c r="AH67" s="11"/>
      <c r="AI67" s="11"/>
      <c r="AJ67" s="11"/>
      <c r="AK67" s="11"/>
      <c r="AL67" s="11"/>
    </row>
    <row r="68" spans="1:38" x14ac:dyDescent="0.25">
      <c r="A68" s="11"/>
      <c r="B68" s="83"/>
      <c r="C68" s="83"/>
      <c r="D68" s="83"/>
      <c r="E68" s="10"/>
      <c r="F68" s="10"/>
      <c r="G68" s="10"/>
      <c r="H68" s="83"/>
      <c r="I68" s="11"/>
      <c r="J68" s="83"/>
      <c r="K68" s="83"/>
      <c r="L68" s="12"/>
      <c r="M68" s="12"/>
      <c r="N68" s="12"/>
      <c r="O68" s="12"/>
      <c r="P68" s="11"/>
      <c r="Q68" s="13"/>
      <c r="R68" s="83"/>
      <c r="S68" s="83"/>
      <c r="T68" s="83"/>
      <c r="U68" s="83"/>
      <c r="V68" s="12"/>
      <c r="W68" s="11"/>
      <c r="X68" s="83"/>
      <c r="Y68" s="12"/>
      <c r="Z68" s="11"/>
      <c r="AA68" s="14"/>
      <c r="AB68" s="11"/>
      <c r="AC68" s="11"/>
      <c r="AD68" s="15"/>
      <c r="AE68" s="11"/>
      <c r="AF68" s="11"/>
      <c r="AG68" s="11"/>
      <c r="AH68" s="11"/>
      <c r="AI68" s="11"/>
      <c r="AJ68" s="11"/>
      <c r="AK68" s="11"/>
      <c r="AL68" s="11"/>
    </row>
    <row r="69" spans="1:38" x14ac:dyDescent="0.25">
      <c r="A69" s="11"/>
      <c r="B69" s="83"/>
      <c r="C69" s="83"/>
      <c r="D69" s="83"/>
      <c r="E69" s="10"/>
      <c r="F69" s="10"/>
      <c r="G69" s="10"/>
      <c r="H69" s="83"/>
      <c r="I69" s="11"/>
      <c r="J69" s="83"/>
      <c r="K69" s="83"/>
      <c r="L69" s="12"/>
      <c r="M69" s="12"/>
      <c r="N69" s="12"/>
      <c r="O69" s="12"/>
      <c r="P69" s="11"/>
      <c r="Q69" s="13"/>
      <c r="R69" s="83"/>
      <c r="S69" s="83"/>
      <c r="T69" s="83"/>
      <c r="U69" s="83"/>
      <c r="V69" s="12"/>
      <c r="W69" s="11"/>
      <c r="X69" s="83"/>
      <c r="Y69" s="12"/>
      <c r="Z69" s="11"/>
      <c r="AA69" s="14"/>
      <c r="AB69" s="11"/>
      <c r="AC69" s="11"/>
      <c r="AD69" s="15"/>
      <c r="AE69" s="11"/>
      <c r="AF69" s="11"/>
      <c r="AG69" s="11"/>
      <c r="AH69" s="11"/>
      <c r="AI69" s="11"/>
      <c r="AJ69" s="11"/>
      <c r="AK69" s="11"/>
      <c r="AL69" s="11"/>
    </row>
    <row r="70" spans="1:38" x14ac:dyDescent="0.25">
      <c r="A70" s="11"/>
      <c r="B70" s="83"/>
      <c r="C70" s="83"/>
      <c r="D70" s="83"/>
      <c r="E70" s="10"/>
      <c r="F70" s="10"/>
      <c r="G70" s="10"/>
      <c r="H70" s="83"/>
      <c r="I70" s="11"/>
      <c r="J70" s="83"/>
      <c r="K70" s="83"/>
      <c r="L70" s="12"/>
      <c r="M70" s="12"/>
      <c r="N70" s="12"/>
      <c r="O70" s="12"/>
      <c r="P70" s="11"/>
      <c r="Q70" s="13"/>
      <c r="R70" s="83"/>
      <c r="S70" s="83"/>
      <c r="T70" s="83"/>
      <c r="U70" s="83"/>
      <c r="V70" s="12"/>
      <c r="W70" s="11"/>
      <c r="X70" s="83"/>
      <c r="Y70" s="12"/>
      <c r="Z70" s="11"/>
      <c r="AA70" s="14"/>
      <c r="AB70" s="11"/>
      <c r="AC70" s="11"/>
      <c r="AD70" s="15"/>
      <c r="AE70" s="11"/>
      <c r="AF70" s="11"/>
      <c r="AG70" s="11"/>
      <c r="AH70" s="11"/>
      <c r="AI70" s="11"/>
      <c r="AJ70" s="11"/>
      <c r="AK70" s="11"/>
      <c r="AL70" s="11"/>
    </row>
    <row r="71" spans="1:38" x14ac:dyDescent="0.25">
      <c r="A71" s="11"/>
      <c r="B71" s="83"/>
      <c r="C71" s="83"/>
      <c r="D71" s="83"/>
      <c r="E71" s="10"/>
      <c r="F71" s="10"/>
      <c r="G71" s="10"/>
      <c r="H71" s="83"/>
      <c r="I71" s="11"/>
      <c r="J71" s="83"/>
      <c r="K71" s="83"/>
      <c r="L71" s="12"/>
      <c r="M71" s="12"/>
      <c r="N71" s="12"/>
      <c r="O71" s="12"/>
      <c r="P71" s="11"/>
      <c r="Q71" s="13"/>
      <c r="R71" s="83"/>
      <c r="S71" s="83"/>
      <c r="T71" s="83"/>
      <c r="U71" s="83"/>
      <c r="V71" s="12"/>
      <c r="W71" s="11"/>
      <c r="X71" s="83"/>
      <c r="Y71" s="12"/>
      <c r="Z71" s="11"/>
      <c r="AA71" s="14"/>
      <c r="AB71" s="11"/>
      <c r="AC71" s="11"/>
      <c r="AD71" s="15"/>
      <c r="AE71" s="11"/>
      <c r="AF71" s="11"/>
      <c r="AG71" s="11"/>
      <c r="AH71" s="11"/>
      <c r="AI71" s="11"/>
      <c r="AJ71" s="11"/>
      <c r="AK71" s="11"/>
      <c r="AL71" s="11"/>
    </row>
    <row r="72" spans="1:38" x14ac:dyDescent="0.25">
      <c r="A72" s="11"/>
      <c r="B72" s="83"/>
      <c r="C72" s="83"/>
      <c r="D72" s="83"/>
      <c r="E72" s="10"/>
      <c r="F72" s="10"/>
      <c r="G72" s="10"/>
      <c r="H72" s="83"/>
      <c r="I72" s="11"/>
      <c r="J72" s="83"/>
      <c r="K72" s="83"/>
      <c r="L72" s="12"/>
      <c r="M72" s="12"/>
      <c r="N72" s="12"/>
      <c r="O72" s="12"/>
      <c r="P72" s="11"/>
      <c r="Q72" s="13"/>
      <c r="R72" s="83"/>
      <c r="S72" s="83"/>
      <c r="T72" s="83"/>
      <c r="U72" s="83"/>
      <c r="V72" s="12"/>
      <c r="W72" s="11"/>
      <c r="X72" s="83"/>
      <c r="Y72" s="12"/>
      <c r="Z72" s="11"/>
      <c r="AA72" s="14"/>
      <c r="AB72" s="11"/>
      <c r="AC72" s="11"/>
      <c r="AD72" s="15"/>
      <c r="AE72" s="11"/>
      <c r="AF72" s="11"/>
      <c r="AG72" s="11"/>
      <c r="AH72" s="11"/>
      <c r="AI72" s="11"/>
      <c r="AJ72" s="11"/>
      <c r="AK72" s="11"/>
      <c r="AL72" s="11"/>
    </row>
    <row r="73" spans="1:38" x14ac:dyDescent="0.25">
      <c r="A73" s="11"/>
      <c r="B73" s="83"/>
      <c r="C73" s="83"/>
      <c r="D73" s="83"/>
      <c r="E73" s="10"/>
      <c r="F73" s="10"/>
      <c r="G73" s="10"/>
      <c r="H73" s="83"/>
      <c r="I73" s="11"/>
      <c r="J73" s="83"/>
      <c r="K73" s="83"/>
      <c r="L73" s="12"/>
      <c r="M73" s="12"/>
      <c r="N73" s="12"/>
      <c r="O73" s="12"/>
      <c r="P73" s="11"/>
      <c r="Q73" s="13"/>
      <c r="R73" s="83"/>
      <c r="S73" s="83"/>
      <c r="T73" s="83"/>
      <c r="U73" s="83"/>
      <c r="V73" s="12"/>
      <c r="W73" s="11"/>
      <c r="X73" s="83"/>
      <c r="Y73" s="12"/>
      <c r="Z73" s="11"/>
      <c r="AA73" s="14"/>
      <c r="AB73" s="11"/>
      <c r="AC73" s="11"/>
      <c r="AD73" s="15"/>
      <c r="AE73" s="11"/>
      <c r="AF73" s="11"/>
      <c r="AG73" s="11"/>
      <c r="AH73" s="11"/>
      <c r="AI73" s="11"/>
      <c r="AJ73" s="11"/>
      <c r="AK73" s="11"/>
      <c r="AL73" s="11"/>
    </row>
    <row r="74" spans="1:38" x14ac:dyDescent="0.25">
      <c r="A74" s="11"/>
      <c r="B74" s="83"/>
      <c r="C74" s="83"/>
      <c r="D74" s="83"/>
      <c r="E74" s="10"/>
      <c r="F74" s="10"/>
      <c r="G74" s="10"/>
      <c r="H74" s="83"/>
      <c r="I74" s="11"/>
      <c r="J74" s="83"/>
      <c r="K74" s="83"/>
      <c r="L74" s="12"/>
      <c r="M74" s="12"/>
      <c r="N74" s="12"/>
      <c r="O74" s="12"/>
      <c r="P74" s="11"/>
      <c r="Q74" s="13"/>
      <c r="R74" s="83"/>
      <c r="S74" s="83"/>
      <c r="T74" s="83"/>
      <c r="U74" s="83"/>
      <c r="V74" s="12"/>
      <c r="W74" s="11"/>
      <c r="X74" s="83"/>
      <c r="Y74" s="12"/>
      <c r="Z74" s="11"/>
      <c r="AA74" s="14"/>
      <c r="AB74" s="11"/>
      <c r="AC74" s="11"/>
      <c r="AD74" s="15"/>
      <c r="AE74" s="11"/>
      <c r="AF74" s="11"/>
      <c r="AG74" s="11"/>
      <c r="AH74" s="11"/>
      <c r="AI74" s="11"/>
      <c r="AJ74" s="11"/>
      <c r="AK74" s="11"/>
      <c r="AL74" s="11"/>
    </row>
    <row r="75" spans="1:38" x14ac:dyDescent="0.25">
      <c r="A75" s="11"/>
      <c r="B75" s="83"/>
      <c r="C75" s="83"/>
      <c r="D75" s="83"/>
      <c r="E75" s="10"/>
      <c r="F75" s="10"/>
      <c r="G75" s="10"/>
      <c r="H75" s="83"/>
      <c r="I75" s="11"/>
      <c r="J75" s="83"/>
      <c r="K75" s="83"/>
      <c r="L75" s="12"/>
      <c r="M75" s="12"/>
      <c r="N75" s="12"/>
      <c r="O75" s="12"/>
      <c r="P75" s="11"/>
      <c r="Q75" s="13"/>
      <c r="R75" s="83"/>
      <c r="S75" s="83"/>
      <c r="T75" s="83"/>
      <c r="U75" s="83"/>
      <c r="V75" s="12"/>
      <c r="W75" s="11"/>
      <c r="X75" s="83"/>
      <c r="Y75" s="12"/>
      <c r="Z75" s="11"/>
      <c r="AA75" s="14"/>
      <c r="AB75" s="11"/>
      <c r="AC75" s="11"/>
      <c r="AD75" s="15"/>
      <c r="AE75" s="11"/>
      <c r="AF75" s="11"/>
      <c r="AG75" s="11"/>
      <c r="AH75" s="11"/>
      <c r="AI75" s="11"/>
      <c r="AJ75" s="11"/>
      <c r="AK75" s="11"/>
      <c r="AL75" s="11"/>
    </row>
    <row r="76" spans="1:38" x14ac:dyDescent="0.25">
      <c r="A76" s="11"/>
      <c r="B76" s="83"/>
      <c r="C76" s="83"/>
      <c r="D76" s="83"/>
      <c r="E76" s="10"/>
      <c r="F76" s="10"/>
      <c r="G76" s="10"/>
      <c r="H76" s="83"/>
      <c r="I76" s="11"/>
      <c r="J76" s="83"/>
      <c r="K76" s="83"/>
      <c r="L76" s="12"/>
      <c r="M76" s="12"/>
      <c r="N76" s="12"/>
      <c r="O76" s="12"/>
      <c r="P76" s="11"/>
      <c r="Q76" s="13"/>
      <c r="R76" s="83"/>
      <c r="S76" s="83"/>
      <c r="T76" s="83"/>
      <c r="U76" s="83"/>
      <c r="V76" s="12"/>
      <c r="W76" s="11"/>
      <c r="X76" s="83"/>
      <c r="Y76" s="12"/>
      <c r="Z76" s="11"/>
      <c r="AA76" s="14"/>
      <c r="AB76" s="11"/>
      <c r="AC76" s="11"/>
      <c r="AD76" s="15"/>
      <c r="AE76" s="11"/>
      <c r="AF76" s="11"/>
      <c r="AG76" s="11"/>
      <c r="AH76" s="11"/>
      <c r="AI76" s="11"/>
      <c r="AJ76" s="11"/>
      <c r="AK76" s="11"/>
      <c r="AL76" s="11"/>
    </row>
    <row r="77" spans="1:38" x14ac:dyDescent="0.25">
      <c r="A77" s="11"/>
      <c r="B77" s="83"/>
      <c r="C77" s="83"/>
      <c r="D77" s="83"/>
      <c r="E77" s="10"/>
      <c r="F77" s="10"/>
      <c r="G77" s="10"/>
      <c r="H77" s="83"/>
      <c r="I77" s="11"/>
      <c r="J77" s="83"/>
      <c r="K77" s="83"/>
      <c r="L77" s="12"/>
      <c r="M77" s="12"/>
      <c r="N77" s="12"/>
      <c r="O77" s="12"/>
      <c r="P77" s="11"/>
      <c r="Q77" s="13"/>
      <c r="R77" s="83"/>
      <c r="S77" s="83"/>
      <c r="T77" s="83"/>
      <c r="U77" s="83"/>
      <c r="V77" s="12"/>
      <c r="W77" s="11"/>
      <c r="X77" s="83"/>
      <c r="Y77" s="12"/>
      <c r="Z77" s="11"/>
      <c r="AA77" s="14"/>
      <c r="AB77" s="11"/>
      <c r="AC77" s="11"/>
      <c r="AD77" s="15"/>
      <c r="AE77" s="11"/>
      <c r="AF77" s="11"/>
      <c r="AG77" s="11"/>
      <c r="AH77" s="11"/>
      <c r="AI77" s="11"/>
      <c r="AJ77" s="11"/>
      <c r="AK77" s="11"/>
      <c r="AL77" s="11"/>
    </row>
    <row r="78" spans="1:38" x14ac:dyDescent="0.25">
      <c r="A78" s="11"/>
      <c r="B78" s="83"/>
      <c r="C78" s="83"/>
      <c r="D78" s="83"/>
      <c r="E78" s="10"/>
      <c r="F78" s="10"/>
      <c r="G78" s="10"/>
      <c r="H78" s="83"/>
      <c r="I78" s="11"/>
      <c r="J78" s="83"/>
      <c r="K78" s="83"/>
      <c r="L78" s="12"/>
      <c r="M78" s="12"/>
      <c r="N78" s="12"/>
      <c r="O78" s="12"/>
      <c r="P78" s="11"/>
      <c r="Q78" s="13"/>
      <c r="R78" s="83"/>
      <c r="S78" s="83"/>
      <c r="T78" s="83"/>
      <c r="U78" s="83"/>
      <c r="V78" s="12"/>
      <c r="W78" s="11"/>
      <c r="X78" s="83"/>
      <c r="Y78" s="12"/>
      <c r="Z78" s="11"/>
      <c r="AA78" s="14"/>
      <c r="AB78" s="11"/>
      <c r="AC78" s="11"/>
      <c r="AD78" s="15"/>
      <c r="AE78" s="11"/>
      <c r="AF78" s="11"/>
      <c r="AG78" s="11"/>
      <c r="AH78" s="11"/>
      <c r="AI78" s="11"/>
      <c r="AJ78" s="11"/>
      <c r="AK78" s="11"/>
      <c r="AL78" s="11"/>
    </row>
    <row r="79" spans="1:38" x14ac:dyDescent="0.25">
      <c r="A79" s="11"/>
      <c r="B79" s="83"/>
      <c r="C79" s="83"/>
      <c r="D79" s="83"/>
      <c r="E79" s="10"/>
      <c r="F79" s="10"/>
      <c r="G79" s="10"/>
      <c r="H79" s="83"/>
      <c r="I79" s="11"/>
      <c r="J79" s="83"/>
      <c r="K79" s="83"/>
      <c r="L79" s="12"/>
      <c r="M79" s="12"/>
      <c r="N79" s="12"/>
      <c r="O79" s="12"/>
      <c r="P79" s="11"/>
      <c r="Q79" s="13"/>
      <c r="R79" s="83"/>
      <c r="S79" s="83"/>
      <c r="T79" s="83"/>
      <c r="U79" s="83"/>
      <c r="V79" s="12"/>
      <c r="W79" s="11"/>
      <c r="X79" s="83"/>
      <c r="Y79" s="12"/>
      <c r="Z79" s="11"/>
      <c r="AA79" s="14"/>
      <c r="AB79" s="11"/>
      <c r="AC79" s="11"/>
      <c r="AD79" s="15"/>
      <c r="AE79" s="11"/>
      <c r="AF79" s="11"/>
      <c r="AG79" s="11"/>
      <c r="AH79" s="11"/>
      <c r="AI79" s="11"/>
      <c r="AJ79" s="11"/>
      <c r="AK79" s="11"/>
      <c r="AL79" s="11"/>
    </row>
    <row r="80" spans="1:38" x14ac:dyDescent="0.25">
      <c r="A80" s="11"/>
      <c r="B80" s="83"/>
      <c r="C80" s="83"/>
      <c r="D80" s="83"/>
      <c r="E80" s="10"/>
      <c r="F80" s="10"/>
      <c r="G80" s="10"/>
      <c r="H80" s="83"/>
      <c r="I80" s="11"/>
      <c r="J80" s="83"/>
      <c r="K80" s="83"/>
      <c r="L80" s="12"/>
      <c r="M80" s="12"/>
      <c r="N80" s="12"/>
      <c r="O80" s="12"/>
      <c r="P80" s="11"/>
      <c r="Q80" s="13"/>
      <c r="R80" s="83"/>
      <c r="S80" s="83"/>
      <c r="T80" s="83"/>
      <c r="U80" s="83"/>
      <c r="V80" s="12"/>
      <c r="W80" s="11"/>
      <c r="X80" s="83"/>
      <c r="Y80" s="12"/>
      <c r="Z80" s="11"/>
      <c r="AA80" s="14"/>
      <c r="AB80" s="11"/>
      <c r="AC80" s="11"/>
      <c r="AD80" s="15"/>
      <c r="AE80" s="11"/>
      <c r="AF80" s="11"/>
      <c r="AG80" s="11"/>
      <c r="AH80" s="11"/>
      <c r="AI80" s="11"/>
      <c r="AJ80" s="11"/>
      <c r="AK80" s="11"/>
      <c r="AL80" s="11"/>
    </row>
    <row r="81" spans="1:38" x14ac:dyDescent="0.25">
      <c r="A81" s="11"/>
      <c r="B81" s="83"/>
      <c r="C81" s="83"/>
      <c r="D81" s="83"/>
      <c r="E81" s="10"/>
      <c r="F81" s="10"/>
      <c r="G81" s="10"/>
      <c r="H81" s="83"/>
      <c r="I81" s="11"/>
      <c r="J81" s="83"/>
      <c r="K81" s="83"/>
      <c r="L81" s="12"/>
      <c r="M81" s="12"/>
      <c r="N81" s="12"/>
      <c r="O81" s="12"/>
      <c r="P81" s="11"/>
      <c r="Q81" s="13"/>
      <c r="R81" s="83"/>
      <c r="S81" s="83"/>
      <c r="T81" s="83"/>
      <c r="U81" s="83"/>
      <c r="V81" s="12"/>
      <c r="W81" s="11"/>
      <c r="X81" s="83"/>
      <c r="Y81" s="12"/>
      <c r="Z81" s="11"/>
      <c r="AA81" s="14"/>
      <c r="AB81" s="11"/>
      <c r="AC81" s="11"/>
      <c r="AD81" s="15"/>
      <c r="AE81" s="11"/>
      <c r="AF81" s="11"/>
      <c r="AG81" s="11"/>
      <c r="AH81" s="11"/>
      <c r="AI81" s="11"/>
      <c r="AJ81" s="11"/>
      <c r="AK81" s="11"/>
      <c r="AL81" s="11"/>
    </row>
    <row r="82" spans="1:38" x14ac:dyDescent="0.25">
      <c r="A82" s="11"/>
      <c r="B82" s="83"/>
      <c r="C82" s="83"/>
      <c r="D82" s="83"/>
      <c r="E82" s="10"/>
      <c r="F82" s="10"/>
      <c r="G82" s="10"/>
      <c r="H82" s="83"/>
      <c r="I82" s="11"/>
      <c r="J82" s="83"/>
      <c r="K82" s="83"/>
      <c r="L82" s="12"/>
      <c r="M82" s="12"/>
      <c r="N82" s="12"/>
      <c r="O82" s="12"/>
      <c r="P82" s="11"/>
      <c r="Q82" s="13"/>
      <c r="R82" s="83"/>
      <c r="S82" s="83"/>
      <c r="T82" s="83"/>
      <c r="U82" s="83"/>
      <c r="V82" s="12"/>
      <c r="W82" s="11"/>
      <c r="X82" s="83"/>
      <c r="Y82" s="12"/>
      <c r="Z82" s="11"/>
      <c r="AA82" s="14"/>
      <c r="AB82" s="11"/>
      <c r="AC82" s="11"/>
      <c r="AD82" s="15"/>
      <c r="AE82" s="11"/>
      <c r="AF82" s="11"/>
      <c r="AG82" s="11"/>
      <c r="AH82" s="11"/>
      <c r="AI82" s="11"/>
      <c r="AJ82" s="11"/>
      <c r="AK82" s="11"/>
      <c r="AL82" s="11"/>
    </row>
    <row r="83" spans="1:38" x14ac:dyDescent="0.25">
      <c r="A83" s="11"/>
      <c r="B83" s="83"/>
      <c r="C83" s="83"/>
      <c r="D83" s="83"/>
      <c r="E83" s="10"/>
      <c r="F83" s="10"/>
      <c r="G83" s="10"/>
      <c r="H83" s="83"/>
      <c r="I83" s="11"/>
      <c r="J83" s="83"/>
      <c r="K83" s="83"/>
      <c r="L83" s="12"/>
      <c r="M83" s="12"/>
      <c r="N83" s="12"/>
      <c r="O83" s="12"/>
      <c r="P83" s="11"/>
      <c r="Q83" s="13"/>
      <c r="R83" s="83"/>
      <c r="S83" s="83"/>
      <c r="T83" s="83"/>
      <c r="U83" s="83"/>
      <c r="V83" s="12"/>
      <c r="W83" s="11"/>
      <c r="X83" s="83"/>
      <c r="Y83" s="12"/>
      <c r="Z83" s="11"/>
      <c r="AA83" s="14"/>
      <c r="AB83" s="11"/>
      <c r="AC83" s="11"/>
      <c r="AD83" s="15"/>
      <c r="AE83" s="11"/>
      <c r="AF83" s="11"/>
      <c r="AG83" s="11"/>
      <c r="AH83" s="11"/>
      <c r="AI83" s="11"/>
      <c r="AJ83" s="11"/>
      <c r="AK83" s="11"/>
      <c r="AL83" s="11"/>
    </row>
    <row r="84" spans="1:38" x14ac:dyDescent="0.25">
      <c r="A84" s="11"/>
      <c r="B84" s="83"/>
      <c r="C84" s="83"/>
      <c r="D84" s="83"/>
      <c r="E84" s="10"/>
      <c r="F84" s="10"/>
      <c r="G84" s="10"/>
      <c r="H84" s="83"/>
      <c r="I84" s="11"/>
      <c r="J84" s="83"/>
      <c r="K84" s="83"/>
      <c r="L84" s="12"/>
      <c r="M84" s="12"/>
      <c r="N84" s="12"/>
      <c r="O84" s="12"/>
      <c r="P84" s="11"/>
      <c r="Q84" s="13"/>
      <c r="R84" s="83"/>
      <c r="S84" s="83"/>
      <c r="T84" s="83"/>
      <c r="U84" s="83"/>
      <c r="V84" s="12"/>
      <c r="W84" s="11"/>
      <c r="X84" s="83"/>
      <c r="Y84" s="12"/>
      <c r="Z84" s="11"/>
      <c r="AA84" s="14"/>
      <c r="AB84" s="11"/>
      <c r="AC84" s="11"/>
      <c r="AD84" s="15"/>
      <c r="AE84" s="11"/>
      <c r="AF84" s="11"/>
      <c r="AG84" s="11"/>
      <c r="AH84" s="11"/>
      <c r="AI84" s="11"/>
      <c r="AJ84" s="11"/>
      <c r="AK84" s="11"/>
      <c r="AL84" s="11"/>
    </row>
    <row r="85" spans="1:38" x14ac:dyDescent="0.25">
      <c r="A85" s="11"/>
      <c r="B85" s="83"/>
      <c r="C85" s="83"/>
      <c r="D85" s="83"/>
      <c r="E85" s="10"/>
      <c r="F85" s="10"/>
      <c r="G85" s="10"/>
      <c r="H85" s="83"/>
      <c r="I85" s="11"/>
      <c r="J85" s="83"/>
      <c r="K85" s="83"/>
      <c r="L85" s="12"/>
      <c r="M85" s="12"/>
      <c r="N85" s="12"/>
      <c r="O85" s="12"/>
      <c r="P85" s="11"/>
      <c r="Q85" s="13"/>
      <c r="R85" s="83"/>
      <c r="S85" s="83"/>
      <c r="T85" s="83"/>
      <c r="U85" s="83"/>
      <c r="V85" s="12"/>
      <c r="W85" s="11"/>
      <c r="X85" s="83"/>
      <c r="Y85" s="12"/>
      <c r="Z85" s="11"/>
      <c r="AA85" s="14"/>
      <c r="AB85" s="11"/>
      <c r="AC85" s="11"/>
      <c r="AD85" s="15"/>
      <c r="AE85" s="11"/>
      <c r="AF85" s="11"/>
      <c r="AG85" s="11"/>
      <c r="AH85" s="11"/>
      <c r="AI85" s="11"/>
      <c r="AJ85" s="11"/>
      <c r="AK85" s="11"/>
      <c r="AL85" s="11"/>
    </row>
    <row r="86" spans="1:38" x14ac:dyDescent="0.25">
      <c r="A86" s="11"/>
      <c r="B86" s="83"/>
      <c r="C86" s="83"/>
      <c r="D86" s="83"/>
      <c r="E86" s="10"/>
      <c r="F86" s="10"/>
      <c r="G86" s="10"/>
      <c r="H86" s="83"/>
      <c r="I86" s="11"/>
      <c r="J86" s="83"/>
      <c r="K86" s="83"/>
      <c r="L86" s="12"/>
      <c r="M86" s="12"/>
      <c r="N86" s="12"/>
      <c r="O86" s="12"/>
      <c r="P86" s="11"/>
      <c r="Q86" s="13"/>
      <c r="R86" s="83"/>
      <c r="S86" s="83"/>
      <c r="T86" s="83"/>
      <c r="U86" s="83"/>
      <c r="V86" s="12"/>
      <c r="W86" s="11"/>
      <c r="X86" s="83"/>
      <c r="Y86" s="12"/>
      <c r="Z86" s="11"/>
      <c r="AA86" s="14"/>
      <c r="AB86" s="11"/>
      <c r="AC86" s="11"/>
      <c r="AD86" s="15"/>
      <c r="AE86" s="11"/>
      <c r="AF86" s="11"/>
      <c r="AG86" s="11"/>
      <c r="AH86" s="11"/>
      <c r="AI86" s="11"/>
      <c r="AJ86" s="11"/>
      <c r="AK86" s="11"/>
      <c r="AL86" s="11"/>
    </row>
    <row r="87" spans="1:38" x14ac:dyDescent="0.25">
      <c r="A87" s="11"/>
      <c r="B87" s="83"/>
      <c r="C87" s="83"/>
      <c r="D87" s="83"/>
      <c r="E87" s="10"/>
      <c r="F87" s="10"/>
      <c r="G87" s="10"/>
      <c r="H87" s="83"/>
      <c r="I87" s="11"/>
      <c r="J87" s="83"/>
      <c r="K87" s="83"/>
      <c r="L87" s="12"/>
      <c r="M87" s="12"/>
      <c r="N87" s="12"/>
      <c r="O87" s="12"/>
      <c r="P87" s="11"/>
      <c r="Q87" s="13"/>
      <c r="R87" s="83"/>
      <c r="S87" s="83"/>
      <c r="T87" s="83"/>
      <c r="U87" s="83"/>
      <c r="V87" s="12"/>
      <c r="W87" s="11"/>
      <c r="X87" s="83"/>
      <c r="Y87" s="12"/>
      <c r="Z87" s="11"/>
      <c r="AA87" s="14"/>
      <c r="AB87" s="11"/>
      <c r="AC87" s="11"/>
      <c r="AD87" s="15"/>
      <c r="AE87" s="11"/>
      <c r="AF87" s="11"/>
      <c r="AG87" s="11"/>
      <c r="AH87" s="11"/>
      <c r="AI87" s="11"/>
      <c r="AJ87" s="11"/>
      <c r="AK87" s="11"/>
      <c r="AL87" s="11"/>
    </row>
    <row r="88" spans="1:38" x14ac:dyDescent="0.25">
      <c r="A88" s="11"/>
      <c r="B88" s="83"/>
      <c r="C88" s="83"/>
      <c r="D88" s="83"/>
      <c r="E88" s="10"/>
      <c r="F88" s="10"/>
      <c r="G88" s="10"/>
      <c r="H88" s="83"/>
      <c r="I88" s="11"/>
      <c r="J88" s="83"/>
      <c r="K88" s="83"/>
      <c r="L88" s="12"/>
      <c r="M88" s="12"/>
      <c r="N88" s="12"/>
      <c r="O88" s="12"/>
      <c r="P88" s="11"/>
      <c r="Q88" s="13"/>
      <c r="R88" s="83"/>
      <c r="S88" s="83"/>
      <c r="T88" s="83"/>
      <c r="U88" s="83"/>
      <c r="V88" s="12"/>
      <c r="W88" s="11"/>
      <c r="X88" s="83"/>
      <c r="Y88" s="12"/>
      <c r="Z88" s="11"/>
      <c r="AA88" s="14"/>
      <c r="AB88" s="11"/>
      <c r="AC88" s="11"/>
      <c r="AD88" s="15"/>
      <c r="AE88" s="11"/>
      <c r="AF88" s="11"/>
      <c r="AG88" s="11"/>
      <c r="AH88" s="11"/>
      <c r="AI88" s="11"/>
      <c r="AJ88" s="11"/>
      <c r="AK88" s="11"/>
      <c r="AL88" s="11"/>
    </row>
    <row r="89" spans="1:38" x14ac:dyDescent="0.25">
      <c r="A89" s="11"/>
      <c r="B89" s="83"/>
      <c r="C89" s="83"/>
      <c r="D89" s="83"/>
      <c r="E89" s="10"/>
      <c r="F89" s="10"/>
      <c r="G89" s="10"/>
      <c r="H89" s="83"/>
      <c r="I89" s="11"/>
      <c r="J89" s="83"/>
      <c r="K89" s="83"/>
      <c r="L89" s="12"/>
      <c r="M89" s="12"/>
      <c r="N89" s="12"/>
      <c r="O89" s="12"/>
      <c r="P89" s="11"/>
      <c r="Q89" s="13"/>
      <c r="R89" s="83"/>
      <c r="S89" s="83"/>
      <c r="T89" s="83"/>
      <c r="U89" s="83"/>
      <c r="V89" s="12"/>
      <c r="W89" s="11"/>
      <c r="X89" s="83"/>
      <c r="Y89" s="12"/>
      <c r="Z89" s="11"/>
      <c r="AA89" s="14"/>
      <c r="AB89" s="11"/>
      <c r="AC89" s="11"/>
      <c r="AD89" s="15"/>
      <c r="AE89" s="11"/>
      <c r="AF89" s="11"/>
      <c r="AG89" s="11"/>
      <c r="AH89" s="11"/>
      <c r="AI89" s="11"/>
      <c r="AJ89" s="11"/>
      <c r="AK89" s="11"/>
      <c r="AL89" s="11"/>
    </row>
    <row r="90" spans="1:38" x14ac:dyDescent="0.25">
      <c r="A90" s="11"/>
      <c r="B90" s="83"/>
      <c r="C90" s="83"/>
      <c r="D90" s="83"/>
      <c r="E90" s="10"/>
      <c r="F90" s="10"/>
      <c r="G90" s="10"/>
      <c r="H90" s="83"/>
      <c r="I90" s="11"/>
      <c r="J90" s="83"/>
      <c r="K90" s="83"/>
      <c r="L90" s="12"/>
      <c r="M90" s="12"/>
      <c r="N90" s="12"/>
      <c r="O90" s="12"/>
      <c r="P90" s="11"/>
      <c r="Q90" s="13"/>
      <c r="R90" s="83"/>
      <c r="S90" s="83"/>
      <c r="T90" s="83"/>
      <c r="U90" s="83"/>
      <c r="V90" s="12"/>
      <c r="W90" s="11"/>
      <c r="X90" s="83"/>
      <c r="Y90" s="12"/>
      <c r="Z90" s="11"/>
      <c r="AA90" s="14"/>
      <c r="AB90" s="11"/>
      <c r="AC90" s="11"/>
      <c r="AD90" s="15"/>
      <c r="AE90" s="11"/>
      <c r="AF90" s="11"/>
      <c r="AG90" s="11"/>
      <c r="AH90" s="11"/>
      <c r="AI90" s="11"/>
      <c r="AJ90" s="11"/>
      <c r="AK90" s="11"/>
      <c r="AL90" s="11"/>
    </row>
    <row r="91" spans="1:38" x14ac:dyDescent="0.25">
      <c r="A91" s="11"/>
      <c r="B91" s="83"/>
      <c r="C91" s="83"/>
      <c r="D91" s="83"/>
      <c r="E91" s="10"/>
      <c r="F91" s="10"/>
      <c r="G91" s="10"/>
      <c r="H91" s="83"/>
      <c r="I91" s="11"/>
      <c r="J91" s="83"/>
      <c r="K91" s="83"/>
      <c r="L91" s="12"/>
      <c r="M91" s="12"/>
      <c r="N91" s="12"/>
      <c r="O91" s="12"/>
      <c r="P91" s="11"/>
      <c r="Q91" s="13"/>
      <c r="R91" s="83"/>
      <c r="S91" s="83"/>
      <c r="T91" s="83"/>
      <c r="U91" s="83"/>
      <c r="V91" s="12"/>
      <c r="W91" s="11"/>
      <c r="X91" s="83"/>
      <c r="Y91" s="12"/>
      <c r="Z91" s="11"/>
      <c r="AA91" s="14"/>
      <c r="AB91" s="11"/>
      <c r="AC91" s="11"/>
      <c r="AD91" s="15"/>
      <c r="AE91" s="11"/>
      <c r="AF91" s="11"/>
      <c r="AG91" s="11"/>
      <c r="AH91" s="11"/>
      <c r="AI91" s="11"/>
      <c r="AJ91" s="11"/>
      <c r="AK91" s="11"/>
      <c r="AL91" s="11"/>
    </row>
    <row r="92" spans="1:38" x14ac:dyDescent="0.25">
      <c r="A92" s="11"/>
      <c r="B92" s="83"/>
      <c r="C92" s="83"/>
      <c r="D92" s="83"/>
      <c r="E92" s="10"/>
      <c r="F92" s="10"/>
      <c r="G92" s="10"/>
      <c r="H92" s="83"/>
      <c r="I92" s="11"/>
      <c r="J92" s="83"/>
      <c r="K92" s="83"/>
      <c r="L92" s="12"/>
      <c r="M92" s="12"/>
      <c r="N92" s="12"/>
      <c r="O92" s="12"/>
      <c r="P92" s="11"/>
      <c r="Q92" s="13"/>
      <c r="R92" s="83"/>
      <c r="S92" s="83"/>
      <c r="T92" s="83"/>
      <c r="U92" s="83"/>
      <c r="V92" s="12"/>
      <c r="W92" s="11"/>
      <c r="X92" s="83"/>
      <c r="Y92" s="12"/>
      <c r="Z92" s="11"/>
      <c r="AA92" s="14"/>
      <c r="AB92" s="11"/>
      <c r="AC92" s="11"/>
      <c r="AD92" s="15"/>
      <c r="AE92" s="11"/>
      <c r="AF92" s="11"/>
      <c r="AG92" s="11"/>
      <c r="AH92" s="11"/>
      <c r="AI92" s="11"/>
      <c r="AJ92" s="11"/>
      <c r="AK92" s="11"/>
      <c r="AL92" s="11"/>
    </row>
    <row r="93" spans="1:38" x14ac:dyDescent="0.25">
      <c r="A93" s="11"/>
      <c r="B93" s="83"/>
      <c r="C93" s="83"/>
      <c r="D93" s="83"/>
      <c r="E93" s="10"/>
      <c r="F93" s="10"/>
      <c r="G93" s="10"/>
      <c r="H93" s="83"/>
      <c r="I93" s="11"/>
      <c r="J93" s="83"/>
      <c r="K93" s="83"/>
      <c r="L93" s="12"/>
      <c r="M93" s="12"/>
      <c r="N93" s="12"/>
      <c r="O93" s="12"/>
      <c r="P93" s="11"/>
      <c r="Q93" s="13"/>
      <c r="R93" s="83"/>
      <c r="S93" s="83"/>
      <c r="T93" s="83"/>
      <c r="U93" s="83"/>
      <c r="V93" s="12"/>
      <c r="W93" s="11"/>
      <c r="X93" s="83"/>
      <c r="Y93" s="12"/>
      <c r="Z93" s="11"/>
      <c r="AA93" s="14"/>
      <c r="AB93" s="11"/>
      <c r="AC93" s="11"/>
      <c r="AD93" s="15"/>
      <c r="AE93" s="11"/>
      <c r="AF93" s="11"/>
      <c r="AG93" s="11"/>
      <c r="AH93" s="11"/>
      <c r="AI93" s="11"/>
      <c r="AJ93" s="11"/>
      <c r="AK93" s="11"/>
      <c r="AL93" s="11"/>
    </row>
    <row r="94" spans="1:38" x14ac:dyDescent="0.25">
      <c r="A94" s="11"/>
      <c r="B94" s="83"/>
      <c r="C94" s="83"/>
      <c r="D94" s="83"/>
      <c r="E94" s="10"/>
      <c r="F94" s="10"/>
      <c r="G94" s="10"/>
      <c r="H94" s="83"/>
      <c r="I94" s="11"/>
      <c r="J94" s="83"/>
      <c r="K94" s="83"/>
      <c r="L94" s="12"/>
      <c r="M94" s="12"/>
      <c r="N94" s="12"/>
      <c r="O94" s="12"/>
      <c r="P94" s="11"/>
      <c r="Q94" s="13"/>
      <c r="R94" s="83"/>
      <c r="S94" s="83"/>
      <c r="T94" s="83"/>
      <c r="U94" s="83"/>
      <c r="V94" s="12"/>
      <c r="W94" s="11"/>
      <c r="X94" s="83"/>
      <c r="Y94" s="12"/>
      <c r="Z94" s="11"/>
      <c r="AA94" s="14"/>
      <c r="AB94" s="11"/>
      <c r="AC94" s="11"/>
      <c r="AD94" s="15"/>
      <c r="AE94" s="11"/>
      <c r="AF94" s="11"/>
      <c r="AG94" s="11"/>
      <c r="AH94" s="11"/>
      <c r="AI94" s="11"/>
      <c r="AJ94" s="11"/>
      <c r="AK94" s="11"/>
      <c r="AL94" s="11"/>
    </row>
    <row r="95" spans="1:38" x14ac:dyDescent="0.25">
      <c r="A95" s="11"/>
      <c r="B95" s="83"/>
      <c r="C95" s="83"/>
      <c r="D95" s="83"/>
      <c r="E95" s="10"/>
      <c r="F95" s="10"/>
      <c r="G95" s="10"/>
      <c r="H95" s="83"/>
      <c r="I95" s="11"/>
      <c r="J95" s="83"/>
      <c r="K95" s="83"/>
      <c r="L95" s="12"/>
      <c r="M95" s="12"/>
      <c r="N95" s="12"/>
      <c r="O95" s="12"/>
      <c r="P95" s="11"/>
      <c r="Q95" s="13"/>
      <c r="R95" s="83"/>
      <c r="S95" s="83"/>
      <c r="T95" s="83"/>
      <c r="U95" s="83"/>
      <c r="V95" s="12"/>
      <c r="W95" s="11"/>
      <c r="X95" s="83"/>
      <c r="Y95" s="12"/>
      <c r="Z95" s="11"/>
      <c r="AA95" s="14"/>
      <c r="AB95" s="11"/>
      <c r="AC95" s="11"/>
      <c r="AD95" s="15"/>
      <c r="AE95" s="11"/>
      <c r="AF95" s="11"/>
      <c r="AG95" s="11"/>
      <c r="AH95" s="11"/>
      <c r="AI95" s="11"/>
      <c r="AJ95" s="11"/>
      <c r="AK95" s="11"/>
      <c r="AL95" s="11"/>
    </row>
    <row r="96" spans="1:38" x14ac:dyDescent="0.25">
      <c r="A96" s="11"/>
      <c r="B96" s="83"/>
      <c r="C96" s="83"/>
      <c r="D96" s="83"/>
      <c r="E96" s="10"/>
      <c r="F96" s="10"/>
      <c r="G96" s="10"/>
      <c r="H96" s="83"/>
      <c r="I96" s="11"/>
      <c r="J96" s="83"/>
      <c r="K96" s="83"/>
      <c r="L96" s="12"/>
      <c r="M96" s="12"/>
      <c r="N96" s="12"/>
      <c r="O96" s="12"/>
      <c r="P96" s="11"/>
      <c r="Q96" s="13"/>
      <c r="R96" s="83"/>
      <c r="S96" s="83"/>
      <c r="T96" s="83"/>
      <c r="U96" s="83"/>
      <c r="V96" s="12"/>
      <c r="W96" s="11"/>
      <c r="X96" s="83"/>
      <c r="Y96" s="12"/>
      <c r="Z96" s="11"/>
      <c r="AA96" s="14"/>
      <c r="AB96" s="11"/>
      <c r="AC96" s="11"/>
      <c r="AD96" s="15"/>
      <c r="AE96" s="11"/>
      <c r="AF96" s="11"/>
      <c r="AG96" s="11"/>
      <c r="AH96" s="11"/>
      <c r="AI96" s="11"/>
      <c r="AJ96" s="11"/>
      <c r="AK96" s="11"/>
      <c r="AL96" s="11"/>
    </row>
    <row r="97" spans="1:38" x14ac:dyDescent="0.25">
      <c r="A97" s="11"/>
      <c r="B97" s="83"/>
      <c r="C97" s="83"/>
      <c r="D97" s="83"/>
      <c r="E97" s="10"/>
      <c r="F97" s="10"/>
      <c r="G97" s="10"/>
      <c r="H97" s="83"/>
      <c r="I97" s="11"/>
      <c r="J97" s="83"/>
      <c r="K97" s="83"/>
      <c r="L97" s="12"/>
      <c r="M97" s="12"/>
      <c r="N97" s="12"/>
      <c r="O97" s="12"/>
      <c r="P97" s="11"/>
      <c r="Q97" s="13"/>
      <c r="R97" s="83"/>
      <c r="S97" s="83"/>
      <c r="T97" s="83"/>
      <c r="U97" s="83"/>
      <c r="V97" s="12"/>
      <c r="W97" s="11"/>
      <c r="X97" s="83"/>
      <c r="Y97" s="12"/>
      <c r="Z97" s="11"/>
      <c r="AA97" s="14"/>
      <c r="AB97" s="11"/>
      <c r="AC97" s="11"/>
      <c r="AD97" s="15"/>
      <c r="AE97" s="11"/>
      <c r="AF97" s="11"/>
      <c r="AG97" s="11"/>
      <c r="AH97" s="11"/>
      <c r="AI97" s="11"/>
      <c r="AJ97" s="11"/>
      <c r="AK97" s="11"/>
      <c r="AL97" s="11"/>
    </row>
    <row r="98" spans="1:38" x14ac:dyDescent="0.25">
      <c r="A98" s="11"/>
      <c r="B98" s="83"/>
      <c r="C98" s="83"/>
      <c r="D98" s="83"/>
      <c r="E98" s="10"/>
      <c r="F98" s="10"/>
      <c r="G98" s="10"/>
      <c r="H98" s="83"/>
      <c r="I98" s="11"/>
      <c r="J98" s="83"/>
      <c r="K98" s="83"/>
      <c r="L98" s="12"/>
      <c r="M98" s="12"/>
      <c r="N98" s="12"/>
      <c r="O98" s="12"/>
      <c r="P98" s="11"/>
      <c r="Q98" s="13"/>
      <c r="R98" s="83"/>
      <c r="S98" s="83"/>
      <c r="T98" s="83"/>
      <c r="U98" s="83"/>
      <c r="V98" s="12"/>
      <c r="W98" s="11"/>
      <c r="X98" s="83"/>
      <c r="Y98" s="12"/>
      <c r="Z98" s="11"/>
      <c r="AA98" s="14"/>
      <c r="AB98" s="11"/>
      <c r="AC98" s="11"/>
      <c r="AD98" s="15"/>
      <c r="AE98" s="11"/>
      <c r="AF98" s="11"/>
      <c r="AG98" s="11"/>
      <c r="AH98" s="11"/>
      <c r="AI98" s="11"/>
      <c r="AJ98" s="11"/>
      <c r="AK98" s="11"/>
      <c r="AL98" s="11"/>
    </row>
    <row r="99" spans="1:38" x14ac:dyDescent="0.25">
      <c r="A99" s="11"/>
      <c r="B99" s="83"/>
      <c r="C99" s="83"/>
      <c r="D99" s="83"/>
      <c r="E99" s="10"/>
      <c r="F99" s="10"/>
      <c r="G99" s="10"/>
      <c r="H99" s="83"/>
      <c r="I99" s="11"/>
      <c r="J99" s="83"/>
      <c r="K99" s="83"/>
      <c r="L99" s="12"/>
      <c r="M99" s="12"/>
      <c r="N99" s="12"/>
      <c r="O99" s="12"/>
      <c r="P99" s="11"/>
      <c r="Q99" s="13"/>
      <c r="R99" s="83"/>
      <c r="S99" s="83"/>
      <c r="T99" s="83"/>
      <c r="U99" s="83"/>
      <c r="V99" s="12"/>
      <c r="W99" s="11"/>
      <c r="X99" s="83"/>
      <c r="Y99" s="12"/>
      <c r="Z99" s="11"/>
      <c r="AA99" s="14"/>
      <c r="AB99" s="11"/>
      <c r="AC99" s="11"/>
      <c r="AD99" s="15"/>
      <c r="AE99" s="11"/>
      <c r="AF99" s="11"/>
      <c r="AG99" s="11"/>
      <c r="AH99" s="11"/>
      <c r="AI99" s="11"/>
      <c r="AJ99" s="11"/>
      <c r="AK99" s="11"/>
      <c r="AL99" s="11"/>
    </row>
    <row r="100" spans="1:38" x14ac:dyDescent="0.25">
      <c r="A100" s="11"/>
      <c r="B100" s="83"/>
      <c r="C100" s="83"/>
      <c r="D100" s="83"/>
      <c r="E100" s="10"/>
      <c r="F100" s="10"/>
      <c r="G100" s="10"/>
      <c r="H100" s="83"/>
      <c r="I100" s="11"/>
      <c r="J100" s="83"/>
      <c r="K100" s="83"/>
      <c r="L100" s="12"/>
      <c r="M100" s="12"/>
      <c r="N100" s="12"/>
      <c r="O100" s="12"/>
      <c r="P100" s="11"/>
      <c r="Q100" s="13"/>
      <c r="R100" s="83"/>
      <c r="S100" s="83"/>
      <c r="T100" s="83"/>
      <c r="U100" s="83"/>
      <c r="V100" s="12"/>
      <c r="W100" s="11"/>
      <c r="X100" s="83"/>
      <c r="Y100" s="12"/>
      <c r="Z100" s="11"/>
      <c r="AA100" s="14"/>
      <c r="AB100" s="11"/>
      <c r="AC100" s="11"/>
      <c r="AD100" s="15"/>
      <c r="AE100" s="11"/>
      <c r="AF100" s="11"/>
      <c r="AG100" s="11"/>
      <c r="AH100" s="11"/>
      <c r="AI100" s="11"/>
      <c r="AJ100" s="11"/>
      <c r="AK100" s="11"/>
      <c r="AL100" s="11"/>
    </row>
    <row r="101" spans="1:38" x14ac:dyDescent="0.25">
      <c r="A101" s="11"/>
      <c r="B101" s="83"/>
      <c r="C101" s="83"/>
      <c r="D101" s="83"/>
      <c r="E101" s="10"/>
      <c r="F101" s="10"/>
      <c r="G101" s="10"/>
      <c r="H101" s="83"/>
      <c r="I101" s="11"/>
      <c r="J101" s="83"/>
      <c r="K101" s="83"/>
      <c r="L101" s="12"/>
      <c r="M101" s="12"/>
      <c r="N101" s="12"/>
      <c r="O101" s="12"/>
      <c r="P101" s="11"/>
      <c r="Q101" s="13"/>
      <c r="R101" s="83"/>
      <c r="S101" s="83"/>
      <c r="T101" s="83"/>
      <c r="U101" s="83"/>
      <c r="V101" s="12"/>
      <c r="W101" s="11"/>
      <c r="X101" s="83"/>
      <c r="Y101" s="12"/>
      <c r="Z101" s="11"/>
      <c r="AA101" s="14"/>
      <c r="AB101" s="11"/>
      <c r="AC101" s="11"/>
      <c r="AD101" s="15"/>
      <c r="AE101" s="11"/>
      <c r="AF101" s="11"/>
      <c r="AG101" s="11"/>
      <c r="AH101" s="11"/>
      <c r="AI101" s="11"/>
      <c r="AJ101" s="11"/>
      <c r="AK101" s="11"/>
      <c r="AL101" s="11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A6DEB-0672-4DA0-812C-2F9DA47C9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Opti_Salidas_+30_INS</vt:lpstr>
      <vt:lpstr>Opti_Salidas_+30_OOS</vt:lpstr>
      <vt:lpstr>Opti_Salidas_+30_ALL_Data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Alberto BR</cp:lastModifiedBy>
  <dcterms:created xsi:type="dcterms:W3CDTF">2024-04-16T13:32:19Z</dcterms:created>
  <dcterms:modified xsi:type="dcterms:W3CDTF">2024-04-16T15:30:16Z</dcterms:modified>
</cp:coreProperties>
</file>