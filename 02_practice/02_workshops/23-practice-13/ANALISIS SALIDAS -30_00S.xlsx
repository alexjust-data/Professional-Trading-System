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CURSOS/CURSO DE TRADING ALGORÍTMICO/PRÁCTICAS/CLASES/Tendencial Oro/Optis Sergi/"/>
    </mc:Choice>
  </mc:AlternateContent>
  <xr:revisionPtr revIDLastSave="8207" documentId="8_{C731E9F7-277D-47AE-B73A-E3D80A988738}" xr6:coauthVersionLast="47" xr6:coauthVersionMax="47" xr10:uidLastSave="{44342452-2427-4596-B3C0-CD41A5FA5E5D}"/>
  <bookViews>
    <workbookView xWindow="-120" yWindow="-120" windowWidth="29040" windowHeight="15720" activeTab="2" xr2:uid="{87622A66-B005-4C27-99B3-2827634FA326}"/>
  </bookViews>
  <sheets>
    <sheet name="Opti_Salidas_-30_INS" sheetId="11" r:id="rId1"/>
    <sheet name="Opti_Salidas_-30_OOS" sheetId="10" r:id="rId2"/>
    <sheet name="Opti_Salidas_-30_ALL_Data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1" l="1"/>
  <c r="AI5" i="11"/>
  <c r="AI2" i="11"/>
  <c r="AI3" i="11"/>
  <c r="AI8" i="11"/>
  <c r="AI9" i="11"/>
  <c r="AI12" i="11"/>
  <c r="AI7" i="11"/>
  <c r="AI10" i="11"/>
  <c r="AI11" i="11"/>
  <c r="AI15" i="11"/>
  <c r="AI14" i="11"/>
  <c r="AI13" i="11"/>
  <c r="AI16" i="11"/>
  <c r="AI17" i="11"/>
  <c r="AI18" i="11"/>
  <c r="AI19" i="11"/>
  <c r="AI21" i="11"/>
  <c r="AI22" i="11"/>
  <c r="AI23" i="11"/>
  <c r="AI20" i="11"/>
  <c r="AI25" i="11"/>
  <c r="AI24" i="11"/>
  <c r="AI6" i="11"/>
  <c r="AI27" i="11"/>
  <c r="AI28" i="11"/>
  <c r="AI26" i="11"/>
  <c r="AI30" i="11"/>
  <c r="AI29" i="11"/>
  <c r="AI31" i="11"/>
  <c r="AI32" i="11"/>
  <c r="AI33" i="11"/>
  <c r="AI34" i="11"/>
  <c r="AH4" i="11"/>
  <c r="AH5" i="11"/>
  <c r="AH2" i="11"/>
  <c r="AH3" i="11"/>
  <c r="AH8" i="11"/>
  <c r="AH9" i="11"/>
  <c r="AH12" i="11"/>
  <c r="AH7" i="11"/>
  <c r="AH10" i="11"/>
  <c r="AH11" i="11"/>
  <c r="AH15" i="11"/>
  <c r="AH14" i="11"/>
  <c r="AH13" i="11"/>
  <c r="AH16" i="11"/>
  <c r="AH17" i="11"/>
  <c r="AH18" i="11"/>
  <c r="AH19" i="11"/>
  <c r="AH21" i="11"/>
  <c r="AH22" i="11"/>
  <c r="AH23" i="11"/>
  <c r="AH20" i="11"/>
  <c r="AH25" i="11"/>
  <c r="AH24" i="11"/>
  <c r="AH6" i="11"/>
  <c r="AH27" i="11"/>
  <c r="AH28" i="11"/>
  <c r="AH26" i="11"/>
  <c r="AH30" i="11"/>
  <c r="AH29" i="11"/>
  <c r="AH31" i="11"/>
  <c r="AH32" i="11"/>
  <c r="AH33" i="11"/>
  <c r="AH34" i="11"/>
  <c r="AF4" i="11"/>
  <c r="AF5" i="11"/>
  <c r="AF2" i="11"/>
  <c r="AF3" i="11"/>
  <c r="AF8" i="11"/>
  <c r="AF9" i="11"/>
  <c r="AF12" i="11"/>
  <c r="AF7" i="11"/>
  <c r="AF10" i="11"/>
  <c r="AF11" i="11"/>
  <c r="AF15" i="11"/>
  <c r="AF14" i="11"/>
  <c r="AF13" i="11"/>
  <c r="AF16" i="11"/>
  <c r="AF17" i="11"/>
  <c r="AF18" i="11"/>
  <c r="AF19" i="11"/>
  <c r="AF21" i="11"/>
  <c r="AF22" i="11"/>
  <c r="AF23" i="11"/>
  <c r="AF20" i="11"/>
  <c r="AF25" i="11"/>
  <c r="AF24" i="11"/>
  <c r="AF6" i="11"/>
  <c r="AF27" i="11"/>
  <c r="AF28" i="11"/>
  <c r="AF26" i="11"/>
  <c r="AF30" i="11"/>
  <c r="AF29" i="11"/>
  <c r="AF31" i="11"/>
  <c r="AF32" i="11"/>
  <c r="AF33" i="11"/>
  <c r="AF34" i="11"/>
  <c r="AI2" i="10"/>
  <c r="AI4" i="10"/>
  <c r="AI7" i="10"/>
  <c r="AI11" i="10"/>
  <c r="AI9" i="10"/>
  <c r="AI6" i="10"/>
  <c r="AI3" i="10"/>
  <c r="AI5" i="10"/>
  <c r="AI10" i="10"/>
  <c r="AI8" i="10"/>
  <c r="AI12" i="10"/>
  <c r="AI14" i="10"/>
  <c r="AI17" i="10"/>
  <c r="AI13" i="10"/>
  <c r="AI18" i="10"/>
  <c r="AI16" i="10"/>
  <c r="AI19" i="10"/>
  <c r="AI20" i="10"/>
  <c r="AI24" i="10"/>
  <c r="AI15" i="10"/>
  <c r="AI22" i="10"/>
  <c r="AI25" i="10"/>
  <c r="AI23" i="10"/>
  <c r="AI21" i="10"/>
  <c r="AI26" i="10"/>
  <c r="AI27" i="10"/>
  <c r="AI28" i="10"/>
  <c r="AI29" i="10"/>
  <c r="AI30" i="10"/>
  <c r="AI31" i="10"/>
  <c r="AI33" i="10"/>
  <c r="AI32" i="10"/>
  <c r="AI34" i="10"/>
  <c r="AH2" i="10"/>
  <c r="AH4" i="10"/>
  <c r="AH7" i="10"/>
  <c r="AH11" i="10"/>
  <c r="AH9" i="10"/>
  <c r="AH6" i="10"/>
  <c r="AH3" i="10"/>
  <c r="AH5" i="10"/>
  <c r="AH10" i="10"/>
  <c r="AH8" i="10"/>
  <c r="AH12" i="10"/>
  <c r="AH14" i="10"/>
  <c r="AH17" i="10"/>
  <c r="AH13" i="10"/>
  <c r="AH18" i="10"/>
  <c r="AH16" i="10"/>
  <c r="AH19" i="10"/>
  <c r="AH20" i="10"/>
  <c r="AH24" i="10"/>
  <c r="AH15" i="10"/>
  <c r="AH22" i="10"/>
  <c r="AH25" i="10"/>
  <c r="AH23" i="10"/>
  <c r="AH21" i="10"/>
  <c r="AH26" i="10"/>
  <c r="AH27" i="10"/>
  <c r="AH28" i="10"/>
  <c r="AH29" i="10"/>
  <c r="AH30" i="10"/>
  <c r="AH31" i="10"/>
  <c r="AH33" i="10"/>
  <c r="AH32" i="10"/>
  <c r="AH34" i="10"/>
  <c r="AF2" i="10"/>
  <c r="AF4" i="10"/>
  <c r="AF7" i="10"/>
  <c r="AF11" i="10"/>
  <c r="AF9" i="10"/>
  <c r="AF6" i="10"/>
  <c r="AF3" i="10"/>
  <c r="AF5" i="10"/>
  <c r="AF10" i="10"/>
  <c r="AF8" i="10"/>
  <c r="AF12" i="10"/>
  <c r="AF14" i="10"/>
  <c r="AF17" i="10"/>
  <c r="AF13" i="10"/>
  <c r="AF18" i="10"/>
  <c r="AF16" i="10"/>
  <c r="AF19" i="10"/>
  <c r="AF20" i="10"/>
  <c r="AF24" i="10"/>
  <c r="AF15" i="10"/>
  <c r="AF22" i="10"/>
  <c r="AF25" i="10"/>
  <c r="AF23" i="10"/>
  <c r="AF21" i="10"/>
  <c r="AF26" i="10"/>
  <c r="AF27" i="10"/>
  <c r="AF28" i="10"/>
  <c r="AF29" i="10"/>
  <c r="AF30" i="10"/>
  <c r="AF31" i="10"/>
  <c r="AF33" i="10"/>
  <c r="AF32" i="10"/>
  <c r="AF34" i="10"/>
  <c r="AI3" i="9"/>
  <c r="AI2" i="9"/>
  <c r="AI5" i="9"/>
  <c r="AI6" i="9"/>
  <c r="AI7" i="9"/>
  <c r="AI8" i="9"/>
  <c r="AI9" i="9"/>
  <c r="AI10" i="9"/>
  <c r="AI11" i="9"/>
  <c r="AI12" i="9"/>
  <c r="AI15" i="9"/>
  <c r="AI22" i="9"/>
  <c r="AI19" i="9"/>
  <c r="AI13" i="9"/>
  <c r="AI14" i="9"/>
  <c r="AI16" i="9"/>
  <c r="AI17" i="9"/>
  <c r="AI18" i="9"/>
  <c r="AI21" i="9"/>
  <c r="AI20" i="9"/>
  <c r="AI24" i="9"/>
  <c r="AI25" i="9"/>
  <c r="AI23" i="9"/>
  <c r="AI4" i="9"/>
  <c r="AI26" i="9"/>
  <c r="AI27" i="9"/>
  <c r="AI28" i="9"/>
  <c r="AI29" i="9"/>
  <c r="AI30" i="9"/>
  <c r="AI31" i="9"/>
  <c r="AI32" i="9"/>
  <c r="AI33" i="9"/>
  <c r="AI34" i="9"/>
  <c r="AH3" i="9"/>
  <c r="AH2" i="9"/>
  <c r="AH5" i="9"/>
  <c r="AH6" i="9"/>
  <c r="AH7" i="9"/>
  <c r="AH8" i="9"/>
  <c r="AH9" i="9"/>
  <c r="AH10" i="9"/>
  <c r="AH11" i="9"/>
  <c r="AH12" i="9"/>
  <c r="AH15" i="9"/>
  <c r="AH22" i="9"/>
  <c r="AH19" i="9"/>
  <c r="AH13" i="9"/>
  <c r="AH14" i="9"/>
  <c r="AH16" i="9"/>
  <c r="AH17" i="9"/>
  <c r="AH18" i="9"/>
  <c r="AH21" i="9"/>
  <c r="AH20" i="9"/>
  <c r="AH24" i="9"/>
  <c r="AH25" i="9"/>
  <c r="AH23" i="9"/>
  <c r="AH4" i="9"/>
  <c r="AH26" i="9"/>
  <c r="AH27" i="9"/>
  <c r="AH28" i="9"/>
  <c r="AH29" i="9"/>
  <c r="AH30" i="9"/>
  <c r="AH31" i="9"/>
  <c r="AH32" i="9"/>
  <c r="AH33" i="9"/>
  <c r="AH34" i="9"/>
  <c r="AF3" i="9"/>
  <c r="AF2" i="9"/>
  <c r="AF5" i="9"/>
  <c r="AF6" i="9"/>
  <c r="AF7" i="9"/>
  <c r="AF8" i="9"/>
  <c r="AF9" i="9"/>
  <c r="AF10" i="9"/>
  <c r="AF11" i="9"/>
  <c r="AF12" i="9"/>
  <c r="AF15" i="9"/>
  <c r="AF22" i="9"/>
  <c r="AF19" i="9"/>
  <c r="AF13" i="9"/>
  <c r="AF14" i="9"/>
  <c r="AF16" i="9"/>
  <c r="AF17" i="9"/>
  <c r="AF18" i="9"/>
  <c r="AF21" i="9"/>
  <c r="AF20" i="9"/>
  <c r="AF24" i="9"/>
  <c r="AF25" i="9"/>
  <c r="AF23" i="9"/>
  <c r="AF4" i="9"/>
  <c r="AF26" i="9"/>
  <c r="AF27" i="9"/>
  <c r="AF28" i="9"/>
  <c r="AF29" i="9"/>
  <c r="AF30" i="9"/>
  <c r="AF31" i="9"/>
  <c r="AF32" i="9"/>
  <c r="AF33" i="9"/>
  <c r="AF34" i="9"/>
  <c r="AE4" i="11"/>
  <c r="AJ4" i="11" s="1"/>
  <c r="AK4" i="11" s="1"/>
  <c r="AE5" i="11"/>
  <c r="AE2" i="11"/>
  <c r="AE3" i="11"/>
  <c r="AE8" i="11"/>
  <c r="AE9" i="11"/>
  <c r="AE12" i="11"/>
  <c r="AE7" i="11"/>
  <c r="AE10" i="11"/>
  <c r="AE11" i="11"/>
  <c r="AE15" i="11"/>
  <c r="AE14" i="11"/>
  <c r="AE13" i="11"/>
  <c r="AJ13" i="11" s="1"/>
  <c r="AK13" i="11" s="1"/>
  <c r="AE16" i="11"/>
  <c r="AE17" i="11"/>
  <c r="AE18" i="11"/>
  <c r="AE19" i="11"/>
  <c r="AE21" i="11"/>
  <c r="AE22" i="11"/>
  <c r="AJ22" i="11" s="1"/>
  <c r="AK22" i="11" s="1"/>
  <c r="AE23" i="11"/>
  <c r="AJ23" i="11" s="1"/>
  <c r="AK23" i="11" s="1"/>
  <c r="AE20" i="11"/>
  <c r="AE25" i="11"/>
  <c r="AE24" i="11"/>
  <c r="AE6" i="11"/>
  <c r="AE27" i="11"/>
  <c r="AJ27" i="11" s="1"/>
  <c r="AK27" i="11" s="1"/>
  <c r="AE28" i="11"/>
  <c r="AE26" i="11"/>
  <c r="AE30" i="11"/>
  <c r="AE29" i="11"/>
  <c r="AE31" i="11"/>
  <c r="AE32" i="11"/>
  <c r="AJ32" i="11" s="1"/>
  <c r="AK32" i="11" s="1"/>
  <c r="AE33" i="11"/>
  <c r="AJ33" i="11" s="1"/>
  <c r="AK33" i="11" s="1"/>
  <c r="AE34" i="11"/>
  <c r="AE2" i="10"/>
  <c r="AE4" i="10"/>
  <c r="AE7" i="10"/>
  <c r="AJ7" i="10" s="1"/>
  <c r="AK7" i="10" s="1"/>
  <c r="AE11" i="10"/>
  <c r="AE9" i="10"/>
  <c r="AE6" i="10"/>
  <c r="AJ6" i="10" s="1"/>
  <c r="AK6" i="10" s="1"/>
  <c r="AE3" i="10"/>
  <c r="AE5" i="10"/>
  <c r="AE10" i="10"/>
  <c r="AE8" i="10"/>
  <c r="AE12" i="10"/>
  <c r="AE14" i="10"/>
  <c r="AE17" i="10"/>
  <c r="AE13" i="10"/>
  <c r="AE18" i="10"/>
  <c r="AJ18" i="10" s="1"/>
  <c r="AK18" i="10" s="1"/>
  <c r="AE16" i="10"/>
  <c r="AE19" i="10"/>
  <c r="AE20" i="10"/>
  <c r="AE24" i="10"/>
  <c r="AE15" i="10"/>
  <c r="AE22" i="10"/>
  <c r="AE25" i="10"/>
  <c r="AE23" i="10"/>
  <c r="AE21" i="10"/>
  <c r="AE26" i="10"/>
  <c r="AE27" i="10"/>
  <c r="AE28" i="10"/>
  <c r="AJ28" i="10" s="1"/>
  <c r="AK28" i="10" s="1"/>
  <c r="AE29" i="10"/>
  <c r="AE30" i="10"/>
  <c r="AE31" i="10"/>
  <c r="AJ31" i="10" s="1"/>
  <c r="AK31" i="10" s="1"/>
  <c r="AE33" i="10"/>
  <c r="AE32" i="10"/>
  <c r="AE34" i="10"/>
  <c r="AE3" i="9"/>
  <c r="AE2" i="9"/>
  <c r="AE5" i="9"/>
  <c r="AE6" i="9"/>
  <c r="AE7" i="9"/>
  <c r="AE8" i="9"/>
  <c r="AJ8" i="9" s="1"/>
  <c r="AK8" i="9" s="1"/>
  <c r="AE9" i="9"/>
  <c r="AJ9" i="9" s="1"/>
  <c r="AK9" i="9" s="1"/>
  <c r="AE10" i="9"/>
  <c r="AE11" i="9"/>
  <c r="AE12" i="9"/>
  <c r="AE15" i="9"/>
  <c r="AE22" i="9"/>
  <c r="AE19" i="9"/>
  <c r="AE13" i="9"/>
  <c r="AE14" i="9"/>
  <c r="AE16" i="9"/>
  <c r="AE17" i="9"/>
  <c r="AE18" i="9"/>
  <c r="AJ18" i="9" s="1"/>
  <c r="AK18" i="9" s="1"/>
  <c r="AE21" i="9"/>
  <c r="AJ21" i="9" s="1"/>
  <c r="AK21" i="9" s="1"/>
  <c r="AE20" i="9"/>
  <c r="AJ20" i="9" s="1"/>
  <c r="AK20" i="9" s="1"/>
  <c r="AE24" i="9"/>
  <c r="AE25" i="9"/>
  <c r="AE23" i="9"/>
  <c r="AE4" i="9"/>
  <c r="AE26" i="9"/>
  <c r="AE27" i="9"/>
  <c r="AE28" i="9"/>
  <c r="AE29" i="9"/>
  <c r="AE30" i="9"/>
  <c r="AE31" i="9"/>
  <c r="AJ31" i="9" s="1"/>
  <c r="AK31" i="9" s="1"/>
  <c r="AE32" i="9"/>
  <c r="AJ32" i="9" s="1"/>
  <c r="AK32" i="9" s="1"/>
  <c r="AE33" i="9"/>
  <c r="AJ33" i="9" s="1"/>
  <c r="AK33" i="9" s="1"/>
  <c r="AE34" i="9"/>
  <c r="AJ6" i="11" l="1"/>
  <c r="AK6" i="11" s="1"/>
  <c r="AJ14" i="11"/>
  <c r="AK14" i="11" s="1"/>
  <c r="AJ24" i="11"/>
  <c r="AK24" i="11" s="1"/>
  <c r="AJ15" i="11"/>
  <c r="AK15" i="11" s="1"/>
  <c r="AJ25" i="11"/>
  <c r="AK25" i="11" s="1"/>
  <c r="AJ11" i="11"/>
  <c r="AK11" i="11" s="1"/>
  <c r="AJ7" i="11"/>
  <c r="AK7" i="11" s="1"/>
  <c r="AJ30" i="11"/>
  <c r="AK30" i="11" s="1"/>
  <c r="AJ18" i="11"/>
  <c r="AK18" i="11" s="1"/>
  <c r="AJ3" i="11"/>
  <c r="AK3" i="11" s="1"/>
  <c r="AJ19" i="10"/>
  <c r="AK19" i="10" s="1"/>
  <c r="AJ4" i="10"/>
  <c r="AK4" i="10" s="1"/>
  <c r="AJ29" i="10"/>
  <c r="AK29" i="10" s="1"/>
  <c r="AJ16" i="10"/>
  <c r="AK16" i="10" s="1"/>
  <c r="AJ11" i="10"/>
  <c r="AK11" i="10" s="1"/>
  <c r="AJ13" i="10"/>
  <c r="AK13" i="10" s="1"/>
  <c r="AJ27" i="10"/>
  <c r="AK27" i="10" s="1"/>
  <c r="AJ30" i="10"/>
  <c r="AK30" i="10" s="1"/>
  <c r="AJ9" i="10"/>
  <c r="AK9" i="10" s="1"/>
  <c r="AJ25" i="10"/>
  <c r="AK25" i="10" s="1"/>
  <c r="AJ8" i="10"/>
  <c r="AK8" i="10" s="1"/>
  <c r="AJ26" i="9"/>
  <c r="AK26" i="9" s="1"/>
  <c r="AJ3" i="9"/>
  <c r="AK3" i="9" s="1"/>
  <c r="AJ19" i="9"/>
  <c r="AK19" i="9" s="1"/>
  <c r="AJ23" i="9"/>
  <c r="AK23" i="9" s="1"/>
  <c r="AJ15" i="9"/>
  <c r="AK15" i="9" s="1"/>
  <c r="AJ14" i="9"/>
  <c r="AK14" i="9" s="1"/>
  <c r="AJ5" i="9"/>
  <c r="AK5" i="9" s="1"/>
  <c r="AJ22" i="9"/>
  <c r="AK22" i="9" s="1"/>
  <c r="AJ27" i="9"/>
  <c r="AK27" i="9" s="1"/>
  <c r="AJ13" i="9"/>
  <c r="AK13" i="9" s="1"/>
  <c r="AJ2" i="9"/>
  <c r="AK2" i="9" s="1"/>
  <c r="AJ4" i="9"/>
  <c r="AK4" i="9" s="1"/>
  <c r="AJ12" i="9"/>
  <c r="AK12" i="9" s="1"/>
  <c r="AJ34" i="9"/>
  <c r="AK34" i="9" s="1"/>
  <c r="AJ24" i="9"/>
  <c r="AK24" i="9" s="1"/>
  <c r="AJ11" i="9"/>
  <c r="AK11" i="9" s="1"/>
  <c r="AJ28" i="9"/>
  <c r="AK28" i="9" s="1"/>
  <c r="AJ25" i="9"/>
  <c r="AK25" i="9" s="1"/>
  <c r="AJ10" i="9"/>
  <c r="AK10" i="9" s="1"/>
  <c r="AJ30" i="9"/>
  <c r="AK30" i="9" s="1"/>
  <c r="AJ17" i="9"/>
  <c r="AK17" i="9" s="1"/>
  <c r="AJ7" i="9"/>
  <c r="AK7" i="9" s="1"/>
  <c r="AJ29" i="9"/>
  <c r="AK29" i="9" s="1"/>
  <c r="AJ16" i="9"/>
  <c r="AK16" i="9" s="1"/>
  <c r="AJ6" i="9"/>
  <c r="AK6" i="9" s="1"/>
  <c r="AJ2" i="10"/>
  <c r="AK2" i="10" s="1"/>
  <c r="AJ20" i="10"/>
  <c r="AK20" i="10" s="1"/>
  <c r="AJ26" i="10"/>
  <c r="AK26" i="10" s="1"/>
  <c r="AJ17" i="10"/>
  <c r="AK17" i="10" s="1"/>
  <c r="AJ21" i="10"/>
  <c r="AK21" i="10" s="1"/>
  <c r="AJ14" i="10"/>
  <c r="AK14" i="10" s="1"/>
  <c r="AJ34" i="10"/>
  <c r="AK34" i="10" s="1"/>
  <c r="AJ22" i="10"/>
  <c r="AK22" i="10" s="1"/>
  <c r="AJ10" i="10"/>
  <c r="AK10" i="10" s="1"/>
  <c r="AJ32" i="10"/>
  <c r="AK32" i="10" s="1"/>
  <c r="AJ15" i="10"/>
  <c r="AK15" i="10" s="1"/>
  <c r="AJ5" i="10"/>
  <c r="AK5" i="10" s="1"/>
  <c r="AJ23" i="10"/>
  <c r="AK23" i="10" s="1"/>
  <c r="AJ12" i="10"/>
  <c r="AK12" i="10" s="1"/>
  <c r="AJ33" i="10"/>
  <c r="AK33" i="10" s="1"/>
  <c r="AJ24" i="10"/>
  <c r="AK24" i="10" s="1"/>
  <c r="AJ3" i="10"/>
  <c r="AK3" i="10" s="1"/>
  <c r="AJ10" i="11"/>
  <c r="AK10" i="11" s="1"/>
  <c r="AJ12" i="11"/>
  <c r="AK12" i="11" s="1"/>
  <c r="AJ20" i="11"/>
  <c r="AK20" i="11" s="1"/>
  <c r="AJ34" i="11"/>
  <c r="AK34" i="11" s="1"/>
  <c r="AJ29" i="11"/>
  <c r="AK29" i="11" s="1"/>
  <c r="AJ19" i="11"/>
  <c r="AK19" i="11" s="1"/>
  <c r="AJ8" i="11"/>
  <c r="AK8" i="11" s="1"/>
  <c r="AJ31" i="11"/>
  <c r="AK31" i="11" s="1"/>
  <c r="AJ21" i="11"/>
  <c r="AK21" i="11" s="1"/>
  <c r="AJ9" i="11"/>
  <c r="AK9" i="11" s="1"/>
  <c r="AJ26" i="11"/>
  <c r="AK26" i="11" s="1"/>
  <c r="AJ17" i="11"/>
  <c r="AK17" i="11" s="1"/>
  <c r="AJ2" i="11"/>
  <c r="AK2" i="11" s="1"/>
  <c r="AJ28" i="11"/>
  <c r="AK28" i="11" s="1"/>
  <c r="AJ16" i="11"/>
  <c r="AK16" i="11" s="1"/>
  <c r="AJ5" i="11"/>
  <c r="AK5" i="11" s="1"/>
</calcChain>
</file>

<file path=xl/sharedStrings.xml><?xml version="1.0" encoding="utf-8"?>
<sst xmlns="http://schemas.openxmlformats.org/spreadsheetml/2006/main" count="164" uniqueCount="63">
  <si>
    <t>Test</t>
  </si>
  <si>
    <t>All: Net Profit</t>
  </si>
  <si>
    <t>All: Gross Profit</t>
  </si>
  <si>
    <t>All: Gross Loss</t>
  </si>
  <si>
    <t>All: Total Trades</t>
  </si>
  <si>
    <t>All: % Profitable</t>
  </si>
  <si>
    <t>All: Winning Trades</t>
  </si>
  <si>
    <t>All: Losing Trades</t>
  </si>
  <si>
    <t>All: Max Winning Trade</t>
  </si>
  <si>
    <t>All: Max Losing Trade</t>
  </si>
  <si>
    <t>All: Avg Winning Trade</t>
  </si>
  <si>
    <t>All: Avg Losing Trade</t>
  </si>
  <si>
    <t>All: Win/Loss Ratio</t>
  </si>
  <si>
    <t>All: Avg Trade</t>
  </si>
  <si>
    <t>All: Max Consecutive Winners</t>
  </si>
  <si>
    <t>All: Max Consecutive Losers</t>
  </si>
  <si>
    <t>All: Avg Bars in Winner</t>
  </si>
  <si>
    <t>All: Avg Bars in Loser</t>
  </si>
  <si>
    <t>All: Max Intraday Drawdown</t>
  </si>
  <si>
    <t>All: ProfitFactor</t>
  </si>
  <si>
    <t>All: Max Contracts Held</t>
  </si>
  <si>
    <t>All: Required Account Size</t>
  </si>
  <si>
    <t>All: Return on Account</t>
  </si>
  <si>
    <t>All: TS Index</t>
  </si>
  <si>
    <t>All: Expectancy Score</t>
  </si>
  <si>
    <t>All: Pessimistic Return On Capital</t>
  </si>
  <si>
    <t>All: Perfect Profit Correlation</t>
  </si>
  <si>
    <t>All: Robustness Index</t>
  </si>
  <si>
    <t>MEJORES</t>
  </si>
  <si>
    <t>VAR TS Index</t>
  </si>
  <si>
    <t>VAR Expectancy Score</t>
  </si>
  <si>
    <t>Columna1</t>
  </si>
  <si>
    <t>VAR Perfect Profit Correlation</t>
  </si>
  <si>
    <t>VAR Robustness Index</t>
  </si>
  <si>
    <t>SUMA</t>
  </si>
  <si>
    <t>SUMA SIN ROB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</si>
  <si>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</si>
  <si>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</si>
  <si>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</si>
  <si>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</si>
  <si>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</si>
  <si>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</si>
  <si>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</si>
  <si>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</si>
  <si>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</si>
  <si>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</si>
  <si>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</si>
  <si>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Nivel de confianza(95.0%)</t>
  </si>
  <si>
    <t xml:space="preserve"> 04º/ </t>
  </si>
  <si>
    <t xml:space="preserve"> 01º/ 01º</t>
  </si>
  <si>
    <t xml:space="preserve"> 02º/ 02º</t>
  </si>
  <si>
    <t xml:space="preserve"> 03º/ 03º</t>
  </si>
  <si>
    <t xml:space="preserve"> 05º/ 04º</t>
  </si>
  <si>
    <t>CURSO-Salidas_02: Salida</t>
  </si>
  <si>
    <t xml:space="preserve"> 04º/ 04º</t>
  </si>
  <si>
    <t xml:space="preserve"> / 05º</t>
  </si>
  <si>
    <t xml:space="preserve"> 05º/ </t>
  </si>
  <si>
    <t xml:space="preserve"> 02º/ 01º</t>
  </si>
  <si>
    <t xml:space="preserve"> 01º/ 02º</t>
  </si>
  <si>
    <t xml:space="preserve"> 05º/ 03º</t>
  </si>
  <si>
    <t xml:space="preserve"> / 04º</t>
  </si>
  <si>
    <t xml:space="preserve"> 03º/ 05º</t>
  </si>
  <si>
    <t xml:space="preserve"> 04º/ 05º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</si>
</sst>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_-* #,##0.00_€_-;\-* #,##0.00_€_-;_-* &quot;-&quot;??_€_-;_-@_-"/>
    <numFmt numFmtId="165" formatCode="_-* #,##0.00&quot;€&quot;_-;\-* #,##0.00&quot;€&quot;_-;_-* &quot;-&quot;??&quot;€&quot;_-;_-@_-"/>
    <numFmt numFmtId="166" formatCode="#,##0.00_ ;[Red]\-#,##0.00\ "/>
    <numFmt numFmtId="167" formatCode="&quot;$&quot;#,##0.0_);[Red]\(&quot;$&quot;#,##0.0\)"/>
    <numFmt numFmtId="168" formatCode="[$$-409]#,##0.00_);[Red]\([$$-409]#,##0.00\)"/>
    <numFmt numFmtId="169" formatCode="#,##0.0_);[Red]\(#,##0.0\)"/>
  </numFmts>
  <fonts count="7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  <font>
      <sz val="11"/>
      <name val="Myriad Pro"/>
      <family val="2"/>
    </font>
    <font>
      <b/>
      <sz val="11"/>
      <color theme="1"/>
      <name val="Myriad Pro"/>
      <family val="2"/>
      <scheme val="minor"/>
    </font>
    <font>
      <sz val="11"/>
      <name val="Myriad Pro"/>
      <family val="2"/>
      <scheme val="minor"/>
    </font>
    <font>
      <b/>
      <sz val="11"/>
      <name val="Myriad Pro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1" applyNumberFormat="1" applyFont="1" applyFill="1" applyAlignment="1">
      <alignment horizontal="center" vertical="center" wrapText="1"/>
    </xf>
    <xf numFmtId="0" fontId="2" fillId="0" borderId="0" xfId="2" applyNumberFormat="1" applyFont="1" applyFill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 wrapText="1"/>
    </xf>
    <xf numFmtId="6" fontId="2" fillId="0" borderId="0" xfId="2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7" fontId="2" fillId="0" borderId="0" xfId="2" applyNumberFormat="1" applyFont="1" applyFill="1" applyBorder="1" applyAlignment="1">
      <alignment horizontal="center" vertical="center"/>
    </xf>
    <xf numFmtId="168" fontId="2" fillId="0" borderId="0" xfId="2" applyNumberFormat="1" applyFont="1" applyFill="1" applyBorder="1" applyAlignment="1">
      <alignment horizontal="center" vertical="center"/>
    </xf>
    <xf numFmtId="38" fontId="2" fillId="0" borderId="0" xfId="1" applyNumberFormat="1" applyFont="1" applyFill="1" applyBorder="1" applyAlignment="1">
      <alignment horizontal="center" vertical="center"/>
    </xf>
    <xf numFmtId="38" fontId="2" fillId="0" borderId="0" xfId="2" applyNumberFormat="1" applyFont="1" applyFill="1" applyBorder="1" applyAlignment="1">
      <alignment horizontal="center" vertical="center"/>
    </xf>
    <xf numFmtId="6" fontId="2" fillId="0" borderId="0" xfId="2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vertical="center"/>
    </xf>
    <xf numFmtId="168" fontId="2" fillId="0" borderId="0" xfId="2" applyNumberFormat="1" applyFont="1" applyFill="1" applyAlignment="1">
      <alignment horizontal="center" vertical="center"/>
    </xf>
    <xf numFmtId="38" fontId="2" fillId="0" borderId="0" xfId="1" applyNumberFormat="1" applyFont="1" applyFill="1" applyAlignment="1">
      <alignment horizontal="center" vertical="center"/>
    </xf>
    <xf numFmtId="38" fontId="2" fillId="0" borderId="0" xfId="2" applyNumberFormat="1" applyFont="1" applyFill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 wrapText="1"/>
    </xf>
    <xf numFmtId="0" fontId="2" fillId="3" borderId="0" xfId="1" applyNumberFormat="1" applyFont="1" applyFill="1" applyAlignment="1">
      <alignment horizontal="center" vertical="center" wrapText="1"/>
    </xf>
    <xf numFmtId="0" fontId="3" fillId="0" borderId="0" xfId="2" applyNumberFormat="1" applyFont="1" applyAlignment="1">
      <alignment horizontal="center" vertical="center" wrapText="1"/>
    </xf>
    <xf numFmtId="0" fontId="3" fillId="4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6" fontId="2" fillId="4" borderId="0" xfId="2" applyNumberFormat="1" applyFont="1" applyFill="1" applyBorder="1" applyAlignment="1">
      <alignment horizontal="center" vertical="center"/>
    </xf>
    <xf numFmtId="166" fontId="2" fillId="4" borderId="0" xfId="1" applyNumberFormat="1" applyFont="1" applyFill="1" applyBorder="1" applyAlignment="1">
      <alignment horizontal="center" vertical="center"/>
    </xf>
    <xf numFmtId="167" fontId="2" fillId="4" borderId="0" xfId="2" applyNumberFormat="1" applyFont="1" applyFill="1" applyBorder="1" applyAlignment="1">
      <alignment horizontal="center" vertical="center"/>
    </xf>
    <xf numFmtId="168" fontId="2" fillId="4" borderId="0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6" fontId="2" fillId="2" borderId="0" xfId="2" applyNumberFormat="1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167" fontId="2" fillId="2" borderId="0" xfId="2" applyNumberFormat="1" applyFont="1" applyFill="1" applyAlignment="1">
      <alignment horizontal="center" vertical="center"/>
    </xf>
    <xf numFmtId="168" fontId="2" fillId="2" borderId="0" xfId="2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6" fontId="2" fillId="3" borderId="0" xfId="2" applyNumberFormat="1" applyFont="1" applyFill="1" applyAlignment="1">
      <alignment horizontal="center" vertical="center"/>
    </xf>
    <xf numFmtId="166" fontId="2" fillId="3" borderId="0" xfId="1" applyNumberFormat="1" applyFont="1" applyFill="1" applyAlignment="1">
      <alignment horizontal="center" vertical="center"/>
    </xf>
    <xf numFmtId="167" fontId="2" fillId="3" borderId="0" xfId="2" applyNumberFormat="1" applyFont="1" applyFill="1" applyAlignment="1">
      <alignment horizontal="center" vertical="center"/>
    </xf>
    <xf numFmtId="168" fontId="2" fillId="3" borderId="0" xfId="2" applyNumberFormat="1" applyFont="1" applyFill="1" applyAlignment="1">
      <alignment horizontal="center" vertical="center"/>
    </xf>
    <xf numFmtId="6" fontId="2" fillId="2" borderId="0" xfId="2" applyNumberFormat="1" applyFont="1" applyFill="1" applyBorder="1" applyAlignment="1">
      <alignment horizontal="center" vertical="center"/>
    </xf>
    <xf numFmtId="166" fontId="2" fillId="2" borderId="0" xfId="1" applyNumberFormat="1" applyFont="1" applyFill="1" applyBorder="1" applyAlignment="1">
      <alignment horizontal="center" vertical="center"/>
    </xf>
    <xf numFmtId="167" fontId="2" fillId="2" borderId="0" xfId="2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9" fontId="0" fillId="5" borderId="2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38" fontId="5" fillId="5" borderId="2" xfId="0" applyNumberFormat="1" applyFont="1" applyFill="1" applyBorder="1" applyAlignment="1">
      <alignment horizontal="center" vertical="center" wrapText="1"/>
    </xf>
    <xf numFmtId="6" fontId="0" fillId="5" borderId="2" xfId="0" applyNumberForma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40" fontId="5" fillId="5" borderId="2" xfId="0" applyNumberFormat="1" applyFont="1" applyFill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40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8" fontId="5" fillId="5" borderId="1" xfId="0" applyNumberFormat="1" applyFont="1" applyFill="1" applyBorder="1" applyAlignment="1">
      <alignment horizontal="center" vertical="center" wrapText="1"/>
    </xf>
    <xf numFmtId="6" fontId="0" fillId="5" borderId="1" xfId="0" applyNumberFormat="1" applyFill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40" fontId="5" fillId="5" borderId="1" xfId="0" applyNumberFormat="1" applyFont="1" applyFill="1" applyBorder="1" applyAlignment="1">
      <alignment horizontal="center" vertical="center" wrapText="1"/>
    </xf>
    <xf numFmtId="38" fontId="6" fillId="6" borderId="1" xfId="0" applyNumberFormat="1" applyFont="1" applyFill="1" applyBorder="1" applyAlignment="1">
      <alignment horizontal="center" vertical="center" wrapText="1"/>
    </xf>
    <xf numFmtId="40" fontId="6" fillId="7" borderId="1" xfId="0" applyNumberFormat="1" applyFont="1" applyFill="1" applyBorder="1" applyAlignment="1">
      <alignment horizontal="center" vertical="center" wrapText="1"/>
    </xf>
    <xf numFmtId="38" fontId="6" fillId="8" borderId="1" xfId="0" applyNumberFormat="1" applyFont="1" applyFill="1" applyBorder="1" applyAlignment="1">
      <alignment horizontal="center" vertical="center" wrapText="1"/>
    </xf>
    <xf numFmtId="40" fontId="5" fillId="9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0" fontId="5" fillId="10" borderId="1" xfId="0" applyNumberFormat="1" applyFont="1" applyFill="1" applyBorder="1" applyAlignment="1">
      <alignment horizontal="center" vertical="center" wrapText="1"/>
    </xf>
    <xf numFmtId="40" fontId="5" fillId="0" borderId="3" xfId="0" applyNumberFormat="1" applyFont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66" fontId="2" fillId="9" borderId="0" xfId="1" applyNumberFormat="1" applyFont="1" applyFill="1" applyAlignment="1">
      <alignment horizontal="center" vertical="center"/>
    </xf>
    <xf numFmtId="166" fontId="2" fillId="11" borderId="0" xfId="1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6" fontId="2" fillId="11" borderId="0" xfId="2" applyNumberFormat="1" applyFont="1" applyFill="1" applyAlignment="1">
      <alignment horizontal="center" vertical="center"/>
    </xf>
    <xf numFmtId="167" fontId="2" fillId="11" borderId="0" xfId="2" applyNumberFormat="1" applyFont="1" applyFill="1" applyAlignment="1">
      <alignment horizontal="center" vertical="center"/>
    </xf>
    <xf numFmtId="168" fontId="2" fillId="11" borderId="0" xfId="2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6" fontId="2" fillId="9" borderId="0" xfId="2" applyNumberFormat="1" applyFont="1" applyFill="1" applyAlignment="1">
      <alignment horizontal="center" vertical="center"/>
    </xf>
    <xf numFmtId="167" fontId="2" fillId="9" borderId="0" xfId="2" applyNumberFormat="1" applyFont="1" applyFill="1" applyAlignment="1">
      <alignment horizontal="center" vertical="center"/>
    </xf>
    <xf numFmtId="168" fontId="2" fillId="9" borderId="0" xfId="2" applyNumberFormat="1" applyFont="1" applyFill="1" applyAlignment="1">
      <alignment horizontal="center" vertical="center"/>
    </xf>
    <xf numFmtId="40" fontId="2" fillId="0" borderId="0" xfId="2" applyNumberFormat="1" applyFont="1" applyFill="1" applyBorder="1" applyAlignment="1">
      <alignment horizontal="center" vertical="center"/>
    </xf>
    <xf numFmtId="40" fontId="2" fillId="0" borderId="0" xfId="2" applyNumberFormat="1" applyFont="1" applyFill="1" applyAlignment="1">
      <alignment horizontal="center" vertical="center"/>
    </xf>
    <xf numFmtId="40" fontId="2" fillId="4" borderId="0" xfId="2" applyNumberFormat="1" applyFont="1" applyFill="1" applyBorder="1" applyAlignment="1">
      <alignment horizontal="center" vertical="center"/>
    </xf>
    <xf numFmtId="40" fontId="2" fillId="2" borderId="0" xfId="2" applyNumberFormat="1" applyFont="1" applyFill="1" applyAlignment="1">
      <alignment horizontal="center" vertical="center"/>
    </xf>
    <xf numFmtId="40" fontId="2" fillId="3" borderId="0" xfId="2" applyNumberFormat="1" applyFont="1" applyFill="1" applyAlignment="1">
      <alignment horizontal="center" vertical="center"/>
    </xf>
    <xf numFmtId="40" fontId="2" fillId="2" borderId="0" xfId="1" applyNumberFormat="1" applyFont="1" applyFill="1" applyAlignment="1">
      <alignment horizontal="center" vertical="center"/>
    </xf>
    <xf numFmtId="40" fontId="2" fillId="0" borderId="0" xfId="1" applyNumberFormat="1" applyFont="1" applyFill="1" applyAlignment="1">
      <alignment horizontal="center" vertical="center"/>
    </xf>
    <xf numFmtId="40" fontId="2" fillId="4" borderId="0" xfId="1" applyNumberFormat="1" applyFont="1" applyFill="1" applyBorder="1" applyAlignment="1">
      <alignment horizontal="center" vertical="center"/>
    </xf>
    <xf numFmtId="40" fontId="2" fillId="0" borderId="0" xfId="1" applyNumberFormat="1" applyFont="1" applyFill="1" applyBorder="1" applyAlignment="1">
      <alignment horizontal="center" vertical="center"/>
    </xf>
    <xf numFmtId="40" fontId="2" fillId="3" borderId="0" xfId="1" applyNumberFormat="1" applyFont="1" applyFill="1" applyAlignment="1">
      <alignment horizontal="center" vertical="center"/>
    </xf>
    <xf numFmtId="40" fontId="2" fillId="11" borderId="0" xfId="1" applyNumberFormat="1" applyFont="1" applyFill="1" applyAlignment="1">
      <alignment horizontal="center" vertical="center"/>
    </xf>
    <xf numFmtId="40" fontId="2" fillId="11" borderId="0" xfId="2" applyNumberFormat="1" applyFont="1" applyFill="1" applyAlignment="1">
      <alignment horizontal="center" vertical="center"/>
    </xf>
    <xf numFmtId="40" fontId="2" fillId="9" borderId="0" xfId="1" applyNumberFormat="1" applyFont="1" applyFill="1" applyAlignment="1">
      <alignment horizontal="center" vertical="center"/>
    </xf>
    <xf numFmtId="40" fontId="2" fillId="9" borderId="0" xfId="2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>
      <alignment horizontal="center" vertical="center"/>
    </xf>
  </cellXfs>
  <cellStyles count="3">
    <cellStyle name="Millares 2" xfId="1" xr:uid="{DBB278E2-12E4-4F5B-B6BF-684EED6510F8}"/>
    <cellStyle name="Moneda 2" xfId="2" xr:uid="{2E7E3E8F-DBC6-476D-A958-E8DC81898D0D}"/>
    <cellStyle name="Normal" xfId="0" builtinId="0"/>
  </cellStyles>
  <dxfs count="3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BBB59"/>
      <color rgb="FFF79646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278914-7282-4BAB-99E7-6A9E1A49DF19}" name="Opti_Salidas__30_INS_1" displayName="Opti_Salidas__30_INS_1" ref="A1:AK34" totalsRowShown="0" headerRowDxfId="213" dataDxfId="214" headerRowCellStyle="Millares 2" dataCellStyle="Millares 2">
  <autoFilter ref="A1:AK34" xr:uid="{A7278914-7282-4BAB-99E7-6A9E1A49DF19}"/>
  <sortState xmlns:xlrd2="http://schemas.microsoft.com/office/spreadsheetml/2017/richdata2" ref="A2:AK34">
    <sortCondition descending="1" ref="AK1:AK34"/>
  </sortState>
  <tableColumns count="37">
    <tableColumn id="37" xr3:uid="{D8802452-B0A6-4632-93BB-5875A0DCB393}" name="MEJORES" dataDxfId="2" dataCellStyle="Millares 2"/>
    <tableColumn id="1" xr3:uid="{FDAD0BB5-EA6C-4EFB-B00D-CD7630E1DCAB}" name="CURSO-Salidas_02: Salida" dataDxfId="243"/>
    <tableColumn id="2" xr3:uid="{FF5E7A0E-3372-4633-AFBF-5DDFFA99C8EA}" name="Test" dataDxfId="242"/>
    <tableColumn id="3" xr3:uid="{F43B808E-613B-45F2-8747-BD789C42953D}" name="All: Net Profit" dataDxfId="241"/>
    <tableColumn id="4" xr3:uid="{636CB7EA-66D3-47D5-8F1D-D904DB9A8F41}" name="All: Gross Profit" dataDxfId="240" dataCellStyle="Moneda 2"/>
    <tableColumn id="5" xr3:uid="{B6803596-A194-4C7D-BEC4-AB53669EFCB8}" name="All: Gross Loss" dataDxfId="239" dataCellStyle="Moneda 2"/>
    <tableColumn id="6" xr3:uid="{C22E7890-05E0-47E9-9B25-D92173159B3D}" name="All: Total Trades" dataDxfId="238" dataCellStyle="Moneda 2"/>
    <tableColumn id="7" xr3:uid="{C20E5895-0916-49F8-9531-535B61D22567}" name="All: % Profitable" dataDxfId="237"/>
    <tableColumn id="8" xr3:uid="{040FF7A0-A677-45CD-B8DA-40DFC6AC049E}" name="All: Winning Trades" dataDxfId="236" dataCellStyle="Millares 2"/>
    <tableColumn id="9" xr3:uid="{1E78D9BC-7EA7-4EF3-A576-AB500F79CBFC}" name="All: Losing Trades" dataDxfId="235"/>
    <tableColumn id="10" xr3:uid="{582A2568-0E0B-48C4-817A-612BC59A4B11}" name="All: Max Winning Trade" dataDxfId="234"/>
    <tableColumn id="11" xr3:uid="{609CF2F5-3745-413B-AC29-FAC46A092B63}" name="All: Max Losing Trade" dataDxfId="233" dataCellStyle="Moneda 2"/>
    <tableColumn id="12" xr3:uid="{67B51043-B7A6-49A4-A5E6-C26C6E8EFE98}" name="All: Avg Winning Trade" dataDxfId="232" dataCellStyle="Moneda 2"/>
    <tableColumn id="13" xr3:uid="{82ADF91D-D5E5-4B8B-96DD-F5319142506C}" name="All: Avg Losing Trade" dataDxfId="231" dataCellStyle="Moneda 2"/>
    <tableColumn id="14" xr3:uid="{9BE45CEF-7AEA-42F1-BE26-177DCA2C3247}" name="All: Win/Loss Ratio" dataDxfId="230" dataCellStyle="Moneda 2"/>
    <tableColumn id="15" xr3:uid="{4C283F85-1239-45C7-9C30-E600309BFCC5}" name="All: Avg Trade" dataDxfId="229" dataCellStyle="Millares 2"/>
    <tableColumn id="16" xr3:uid="{9FE0B87D-0725-4CF0-82CA-6644CEC8C528}" name="All: Max Consecutive Winners" dataDxfId="228" dataCellStyle="Moneda 2"/>
    <tableColumn id="17" xr3:uid="{E8F82E93-1214-4CAF-8145-EA5B4E87A0E8}" name="All: Max Consecutive Losers" dataDxfId="227"/>
    <tableColumn id="18" xr3:uid="{2D282219-A4E2-4A74-8B09-3153320A515A}" name="All: Avg Bars in Winner" dataDxfId="226"/>
    <tableColumn id="19" xr3:uid="{58E30957-E5BD-4571-92FE-4C624742340D}" name="All: Avg Bars in Loser" dataDxfId="225"/>
    <tableColumn id="20" xr3:uid="{8D972FFC-D1FE-4734-BE0C-08B39A10324D}" name="All: Max Intraday Drawdown" dataDxfId="224"/>
    <tableColumn id="21" xr3:uid="{B1572271-A1C8-47FF-9F2E-5D3594903239}" name="All: ProfitFactor" dataDxfId="223" dataCellStyle="Moneda 2"/>
    <tableColumn id="22" xr3:uid="{FD975AAB-A9F5-4A90-885C-2AE5E6B06BB6}" name="All: Max Contracts Held" dataDxfId="222" dataCellStyle="Millares 2"/>
    <tableColumn id="23" xr3:uid="{4DF553D4-DCBC-4C7A-8627-FB390A826CDD}" name="All: Required Account Size" dataDxfId="221"/>
    <tableColumn id="24" xr3:uid="{3D2414E4-CC17-4035-8F96-C1ADBB83E83D}" name="All: Return on Account" dataDxfId="220" dataCellStyle="Moneda 2"/>
    <tableColumn id="25" xr3:uid="{E0C2D000-FD44-4C31-9374-3D0CC84EED3D}" name="All: TS Index" dataDxfId="219" dataCellStyle="Millares 2"/>
    <tableColumn id="26" xr3:uid="{E716DBD7-FC55-4FF4-94BE-0B0D817F72F2}" name="All: Expectancy Score" dataDxfId="218" dataCellStyle="Millares 2"/>
    <tableColumn id="27" xr3:uid="{ACD208A7-9A81-4D21-A391-178932E97219}" name="All: Pessimistic Return On Capital" dataDxfId="217" dataCellStyle="Millares 2"/>
    <tableColumn id="28" xr3:uid="{35663732-2F89-4801-B4BD-4F322F47B91C}" name="All: Perfect Profit Correlation" dataDxfId="216" dataCellStyle="Millares 2"/>
    <tableColumn id="29" xr3:uid="{FE607054-74E9-4664-BB48-EA3BD4082334}" name="All: Robustness Index" dataDxfId="215" dataCellStyle="Moneda 2"/>
    <tableColumn id="30" xr3:uid="{D42E24BC-15F6-40E7-8E05-E9008AC0ACEB}" name="VAR TS Index" dataDxfId="87" dataCellStyle="Millares 2">
      <calculatedColumnFormula>(Opti_Salidas__30_INS_1[[#This Row],[All: TS Index]]-Z$47) /ABS(Z$47)</calculatedColumnFormula>
    </tableColumn>
    <tableColumn id="31" xr3:uid="{AACFAA12-4766-46D1-AC8E-EECB524360AD}" name="VAR Expectancy Score" dataDxfId="7" dataCellStyle="Millares 2">
      <calculatedColumnFormula>(Opti_Salidas__30_INS_1[[#This Row],[All: Expectancy Score]]-AA$47) /ABS(AA$47)</calculatedColumnFormula>
    </tableColumn>
    <tableColumn id="32" xr3:uid="{E5936475-D2B4-4C5E-AFC9-67866321CA41}" name="Columna1" dataDxfId="210" dataCellStyle="Millares 2"/>
    <tableColumn id="33" xr3:uid="{FB781D7B-3961-4123-8202-C9B4C2E85B56}" name="VAR Perfect Profit Correlation" dataDxfId="6" dataCellStyle="Millares 2">
      <calculatedColumnFormula>(Opti_Salidas__30_INS_1[[#This Row],[All: Perfect Profit Correlation]]-AC$47) /ABS(AC$47)</calculatedColumnFormula>
    </tableColumn>
    <tableColumn id="34" xr3:uid="{5FD3BB85-959C-4718-BFA6-6FAE50E982AB}" name="VAR Robustness Index" dataDxfId="5" dataCellStyle="Millares 2">
      <calculatedColumnFormula>(Opti_Salidas__30_INS_1[[#This Row],[All: Robustness Index]]-AD$47) /ABS(AD$47)</calculatedColumnFormula>
    </tableColumn>
    <tableColumn id="35" xr3:uid="{66528E33-3FE5-4587-8E2F-D11F592D3F7F}" name="SUMA" dataDxfId="4" dataCellStyle="Millares 2">
      <calculatedColumnFormula>SUM(Opti_Salidas__30_INS_1[[#This Row],[VAR TS Index]:[VAR Robustness Index]])</calculatedColumnFormula>
    </tableColumn>
    <tableColumn id="36" xr3:uid="{D6EF6EC1-A2BE-4503-9E9B-74AEA8B35F08}" name="SUMA SIN ROB" dataDxfId="3" dataCellStyle="Millares 2">
      <calculatedColumnFormula>Opti_Salidas__30_INS_1[[#This Row],[SUMA]]-Opti_Salidas__30_INS_1[[#This Row],[VAR Robustness Index]]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2635E-C960-4C19-8C98-91621F7F4EFD}" name="Tabla4" displayName="Tabla4" ref="A37:AD48" headerRowCount="0" totalsRowShown="0" headerRowDxfId="209" dataDxfId="18" tableBorderDxfId="208">
  <tableColumns count="30">
    <tableColumn id="1" xr3:uid="{45D78BBD-7454-402F-8AA2-FB07C1359391}" name="Columna1" headerRowDxfId="207" dataDxfId="40"/>
    <tableColumn id="2" xr3:uid="{6DB56FE4-6EFC-4F66-852A-BC0393B6A88B}" name="Columna2" headerRowDxfId="206" dataDxfId="39"/>
    <tableColumn id="3" xr3:uid="{F02A9096-DF54-4B77-92C0-388D2A60F42B}" name="Columna3" headerRowDxfId="205" dataDxfId="204"/>
    <tableColumn id="4" xr3:uid="{B4878382-6215-44F8-9D47-8ACE2ED246EC}" name="Columna4" headerRowDxfId="203" dataDxfId="38"/>
    <tableColumn id="5" xr3:uid="{CAB6AB37-4BC4-4568-BBFC-C695D063D8E8}" name="Columna5" headerRowDxfId="202" dataDxfId="37"/>
    <tableColumn id="6" xr3:uid="{7392141F-8A7F-4B11-8C57-490844DE1F98}" name="Columna6" headerRowDxfId="201" dataDxfId="36"/>
    <tableColumn id="7" xr3:uid="{E8F1052A-1CBE-411F-83F1-98ED40CED1B3}" name="Columna7" headerRowDxfId="200" dataDxfId="35"/>
    <tableColumn id="8" xr3:uid="{66D607EC-D2E3-48FE-A3AF-E2D1EE15A014}" name="Columna8" headerRowDxfId="199" dataDxfId="34"/>
    <tableColumn id="9" xr3:uid="{D764BBE8-6F2E-4902-B2C9-391663F41D77}" name="Columna9" headerRowDxfId="198" dataDxfId="33"/>
    <tableColumn id="10" xr3:uid="{8BA300B1-BB7D-4BFB-8640-ED23AE93BB05}" name="Columna10" headerRowDxfId="197" dataDxfId="32"/>
    <tableColumn id="11" xr3:uid="{A8AB5C7E-C8EF-4D5B-91F9-0794AAAE5408}" name="Columna11" headerRowDxfId="196" dataDxfId="31"/>
    <tableColumn id="12" xr3:uid="{05AC7600-6975-4C07-872B-09BE4D3E4F20}" name="Columna12" headerRowDxfId="195" dataDxfId="30"/>
    <tableColumn id="13" xr3:uid="{AF667649-A67A-4E77-8A78-56A12C0F4B56}" name="Columna13" headerRowDxfId="194" dataDxfId="29"/>
    <tableColumn id="14" xr3:uid="{FC003CEE-7FF9-4CAB-9C18-1B0456578815}" name="Columna14" headerRowDxfId="193" dataDxfId="28"/>
    <tableColumn id="15" xr3:uid="{1D7E0018-DAD3-4EF8-976A-EDA314940226}" name="Columna15" headerRowDxfId="192" dataDxfId="27"/>
    <tableColumn id="16" xr3:uid="{1FEC4D7F-9CB8-4DC0-91AD-4F542CC884B3}" name="Columna16" headerRowDxfId="191" dataDxfId="26"/>
    <tableColumn id="17" xr3:uid="{C6B7BD38-625F-4D4C-B691-A09BDC4E5E66}" name="Columna17" headerRowDxfId="190" dataDxfId="25"/>
    <tableColumn id="18" xr3:uid="{E6F3336A-4DF8-42DF-8E5B-98E6802C6882}" name="Columna18" headerRowDxfId="189" dataDxfId="24"/>
    <tableColumn id="19" xr3:uid="{E659566D-841B-4685-A17D-554FC4083889}" name="Columna19" headerRowDxfId="188" dataDxfId="23"/>
    <tableColumn id="20" xr3:uid="{8FC9F1B8-CC95-4B5C-8022-2A956F74E4E9}" name="Columna20" headerRowDxfId="187" dataDxfId="22"/>
    <tableColumn id="21" xr3:uid="{914A7748-AAAB-49CE-A9C7-98A313F7B916}" name="Columna21" headerRowDxfId="186" dataDxfId="21"/>
    <tableColumn id="22" xr3:uid="{2EDE57AE-D7A7-48C2-B8F3-823D72FF8247}" name="Columna22" headerRowDxfId="185" dataDxfId="20"/>
    <tableColumn id="23" xr3:uid="{9D45EF34-A05A-44F4-9438-7426504B61D2}" name="Columna23" headerRowDxfId="184" dataDxfId="183"/>
    <tableColumn id="24" xr3:uid="{00FCBE02-5477-4251-BC27-EC0A9876C3B7}" name="Columna24" headerRowDxfId="182" dataDxfId="181"/>
    <tableColumn id="25" xr3:uid="{E51FE561-1691-4EF4-95B3-2DAEA3F14299}" name="Columna25" headerRowDxfId="180" dataDxfId="179"/>
    <tableColumn id="26" xr3:uid="{4C80B37A-D246-47F9-B895-E35DEEAD362F}" name="Columna26" headerRowDxfId="178" dataDxfId="177"/>
    <tableColumn id="27" xr3:uid="{40323579-D53C-45E4-9F5F-9B2BAC6DCB90}" name="Columna27" headerRowDxfId="176" dataDxfId="175"/>
    <tableColumn id="28" xr3:uid="{BCA31B80-9B8D-4683-B309-C000C95C8037}" name="Columna28" headerRowDxfId="174" dataDxfId="19"/>
    <tableColumn id="29" xr3:uid="{85E0265D-EF78-4920-80A3-555BF3469062}" name="Columna29" headerRowDxfId="173" dataDxfId="172"/>
    <tableColumn id="30" xr3:uid="{990473D3-BE8D-4FE5-A621-86BC2E3F29AC}" name="Columna30" headerRowDxfId="171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00879-9DEC-42A1-8588-CF764CDE3C0E}" name="Opti_Salidas__30_OOS_1" displayName="Opti_Salidas__30_OOS_1" ref="A1:AK34" totalsRowShown="0" headerRowDxfId="244" dataDxfId="245" headerRowCellStyle="Millares 2" dataCellStyle="Millares 2">
  <autoFilter ref="A1:AK34" xr:uid="{D9200879-9DEC-42A1-8588-CF764CDE3C0E}"/>
  <sortState xmlns:xlrd2="http://schemas.microsoft.com/office/spreadsheetml/2017/richdata2" ref="A2:AK34">
    <sortCondition descending="1" ref="AK1:AK34"/>
  </sortState>
  <tableColumns count="37">
    <tableColumn id="37" xr3:uid="{FE1351F4-5F99-45D6-988B-794AD0320334}" name="MEJORES" dataDxfId="1" dataCellStyle="Millares 2"/>
    <tableColumn id="1" xr3:uid="{5FF14BD8-4A1D-436A-AAEB-9C08D4695903}" name="CURSO-Salidas_02: Salida" dataDxfId="274"/>
    <tableColumn id="2" xr3:uid="{65C86F1C-2C83-427C-BC3B-2425F95001E3}" name="Test" dataDxfId="273"/>
    <tableColumn id="3" xr3:uid="{CABF228C-BA70-4D87-8852-6EE475F9353F}" name="All: Net Profit" dataDxfId="272"/>
    <tableColumn id="4" xr3:uid="{79EB6620-CAC6-4A71-BF43-74B0DEF63B44}" name="All: Gross Profit" dataDxfId="271" dataCellStyle="Moneda 2"/>
    <tableColumn id="5" xr3:uid="{14EA1ACA-B9D0-42BA-8050-DB97BFC14DDD}" name="All: Gross Loss" dataDxfId="270" dataCellStyle="Moneda 2"/>
    <tableColumn id="6" xr3:uid="{05955776-5A6F-46DE-8BEB-EFC8FD39FC44}" name="All: Total Trades" dataDxfId="269" dataCellStyle="Moneda 2"/>
    <tableColumn id="7" xr3:uid="{A829DF9B-DC2E-42AA-A13A-615308BF5942}" name="All: % Profitable" dataDxfId="268"/>
    <tableColumn id="8" xr3:uid="{DE8CA299-72D6-41B5-931B-8FEFEC99D885}" name="All: Winning Trades" dataDxfId="267" dataCellStyle="Millares 2"/>
    <tableColumn id="9" xr3:uid="{B21E17A9-D19A-4715-857B-C89A306FD632}" name="All: Losing Trades" dataDxfId="266"/>
    <tableColumn id="10" xr3:uid="{927AAADC-BC8C-4E64-9BE5-33436AF02CCD}" name="All: Max Winning Trade" dataDxfId="265"/>
    <tableColumn id="11" xr3:uid="{0580E671-D0A2-4192-92AB-B38194A2E873}" name="All: Max Losing Trade" dataDxfId="264" dataCellStyle="Moneda 2"/>
    <tableColumn id="12" xr3:uid="{3C549177-FDE8-4116-8D55-315065CF171B}" name="All: Avg Winning Trade" dataDxfId="263" dataCellStyle="Moneda 2"/>
    <tableColumn id="13" xr3:uid="{8329DFA3-8F27-4A1D-8C4A-91FE5B41810D}" name="All: Avg Losing Trade" dataDxfId="262" dataCellStyle="Moneda 2"/>
    <tableColumn id="14" xr3:uid="{DB2A8C42-2A66-45D9-9794-CF8B961F55AC}" name="All: Win/Loss Ratio" dataDxfId="261" dataCellStyle="Moneda 2"/>
    <tableColumn id="15" xr3:uid="{9A1D57C2-CF57-4F33-AB47-8F45CB66EC23}" name="All: Avg Trade" dataDxfId="260" dataCellStyle="Millares 2"/>
    <tableColumn id="16" xr3:uid="{06D77591-EFE6-4B43-A6E3-F8F3874719A7}" name="All: Max Consecutive Winners" dataDxfId="259" dataCellStyle="Moneda 2"/>
    <tableColumn id="17" xr3:uid="{6E2D2D6C-345E-44F0-B643-51F4CEE1654E}" name="All: Max Consecutive Losers" dataDxfId="258"/>
    <tableColumn id="18" xr3:uid="{06AAF081-0B27-4321-A84D-DD63BD0802FA}" name="All: Avg Bars in Winner" dataDxfId="257"/>
    <tableColumn id="19" xr3:uid="{888C7FD9-3689-4BF8-B72D-30E2A422F792}" name="All: Avg Bars in Loser" dataDxfId="256"/>
    <tableColumn id="20" xr3:uid="{F98A83E6-C7D1-49FA-97B2-1ADE35E0C372}" name="All: Max Intraday Drawdown" dataDxfId="255"/>
    <tableColumn id="21" xr3:uid="{A45F4BC3-CA4A-4025-A1F0-A2CCFF1670C3}" name="All: ProfitFactor" dataDxfId="254" dataCellStyle="Moneda 2"/>
    <tableColumn id="22" xr3:uid="{CF717A48-361E-42C7-AE78-D329EC1A6FCD}" name="All: Max Contracts Held" dataDxfId="253" dataCellStyle="Millares 2"/>
    <tableColumn id="23" xr3:uid="{E5FBE14A-035C-4636-BE4E-AD470FCB6E83}" name="All: Required Account Size" dataDxfId="252"/>
    <tableColumn id="24" xr3:uid="{0F9C1C1B-476E-466D-B847-70C711917DD2}" name="All: Return on Account" dataDxfId="251" dataCellStyle="Moneda 2"/>
    <tableColumn id="25" xr3:uid="{0C7CE514-1957-4054-B346-AF70643BFB59}" name="All: TS Index" dataDxfId="250" dataCellStyle="Millares 2"/>
    <tableColumn id="26" xr3:uid="{AB981D45-C309-4AA0-8C5E-D74738F80DDD}" name="All: Expectancy Score" dataDxfId="249" dataCellStyle="Millares 2"/>
    <tableColumn id="27" xr3:uid="{F9B9C638-5B2F-4C16-9565-6EC7A7DC1589}" name="All: Pessimistic Return On Capital" dataDxfId="248" dataCellStyle="Millares 2"/>
    <tableColumn id="28" xr3:uid="{6E9AEA29-8A93-409A-A887-81DCC26C8007}" name="All: Perfect Profit Correlation" dataDxfId="247" dataCellStyle="Millares 2"/>
    <tableColumn id="29" xr3:uid="{53066F7D-F3AF-46A7-A673-5385D82DA700}" name="All: Robustness Index" dataDxfId="246" dataCellStyle="Moneda 2"/>
    <tableColumn id="30" xr3:uid="{90431CA0-0281-49D7-AB91-E6811F19E340}" name="VAR TS Index" dataDxfId="88" dataCellStyle="Millares 2">
      <calculatedColumnFormula>(Opti_Salidas__30_OOS_1[[#This Row],[All: TS Index]]-Z$47) /ABS(Z$47)</calculatedColumnFormula>
    </tableColumn>
    <tableColumn id="31" xr3:uid="{40BCA4C0-1BBC-4B13-A283-0226F8CABB32}" name="VAR Expectancy Score" dataDxfId="12" dataCellStyle="Millares 2">
      <calculatedColumnFormula>(Opti_Salidas__30_OOS_1[[#This Row],[All: Expectancy Score]]-AA$47) /ABS(AA$47)</calculatedColumnFormula>
    </tableColumn>
    <tableColumn id="32" xr3:uid="{77C4CC94-D600-4FC5-A018-234CB74224D9}" name="Columna1" dataDxfId="211" dataCellStyle="Millares 2"/>
    <tableColumn id="33" xr3:uid="{5B75C923-E398-4924-929D-AE804A665ECE}" name="VAR Perfect Profit Correlation" dataDxfId="11" dataCellStyle="Millares 2">
      <calculatedColumnFormula>(Opti_Salidas__30_OOS_1[[#This Row],[All: Perfect Profit Correlation]]-AC$47) /ABS(AC$47)</calculatedColumnFormula>
    </tableColumn>
    <tableColumn id="34" xr3:uid="{0C4399AE-7771-44C4-AE72-AD36919913D4}" name="VAR Robustness Index" dataDxfId="10" dataCellStyle="Millares 2">
      <calculatedColumnFormula>(Opti_Salidas__30_OOS_1[[#This Row],[All: Robustness Index]]-AD$47) /ABS(AD$47)</calculatedColumnFormula>
    </tableColumn>
    <tableColumn id="35" xr3:uid="{5CEC93E2-5DEA-4314-A919-24628CFD44D6}" name="SUMA" dataDxfId="9" dataCellStyle="Millares 2">
      <calculatedColumnFormula>SUM(Opti_Salidas__30_OOS_1[[#This Row],[VAR TS Index]:[VAR Robustness Index]])</calculatedColumnFormula>
    </tableColumn>
    <tableColumn id="36" xr3:uid="{2789B6F8-8754-48EE-B089-CC18383ED165}" name="SUMA SIN ROB" dataDxfId="8" dataCellStyle="Millares 2">
      <calculatedColumnFormula>Opti_Salidas__30_OOS_1[[#This Row],[SUMA]]-Opti_Salidas__30_OOS_1[[#This Row],[VAR Robustness Index]]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5CB95C-2868-4F39-AB47-5154345E7046}" name="Tabla5" displayName="Tabla5" ref="A37:AD48" headerRowCount="0" totalsRowShown="0" headerRowDxfId="169" dataDxfId="41" tableBorderDxfId="168">
  <tableColumns count="30">
    <tableColumn id="1" xr3:uid="{6A7417A5-56CA-4494-8C40-8C684D5CB469}" name="Columna1" headerRowDxfId="167" dataDxfId="63"/>
    <tableColumn id="2" xr3:uid="{7896FB90-9834-423C-814F-C6BBF782B109}" name="Columna2" headerRowDxfId="166" dataDxfId="62"/>
    <tableColumn id="3" xr3:uid="{4679F974-24C9-4F81-93BB-F58E094BCB17}" name="Columna3" headerRowDxfId="165" dataDxfId="164"/>
    <tableColumn id="4" xr3:uid="{083D9CC1-3244-45CB-BB44-07D940722963}" name="Columna4" headerRowDxfId="163" dataDxfId="61"/>
    <tableColumn id="5" xr3:uid="{16490D41-7BDC-461B-B7A9-5DBFECC88620}" name="Columna5" headerRowDxfId="162" dataDxfId="60"/>
    <tableColumn id="6" xr3:uid="{17A6FF26-F4AC-48F0-AFCE-CFBBEDD9CBFD}" name="Columna6" headerRowDxfId="161" dataDxfId="59"/>
    <tableColumn id="7" xr3:uid="{BAF183F7-7CDC-4DD6-81BE-F57841B79122}" name="Columna7" headerRowDxfId="160" dataDxfId="58"/>
    <tableColumn id="8" xr3:uid="{CEF33B48-CB90-4990-B6B2-6EC66DCCDEC3}" name="Columna8" headerRowDxfId="159" dataDxfId="57"/>
    <tableColumn id="9" xr3:uid="{03BE3C91-89C2-4AC0-BE9D-B4C82E5FCB87}" name="Columna9" headerRowDxfId="158" dataDxfId="56"/>
    <tableColumn id="10" xr3:uid="{3B62EE6A-0461-4AAA-8EF1-C83BCD7EEF73}" name="Columna10" headerRowDxfId="157" dataDxfId="55"/>
    <tableColumn id="11" xr3:uid="{70926197-F923-4EA0-95E9-B422B2AB0BF8}" name="Columna11" headerRowDxfId="156" dataDxfId="54"/>
    <tableColumn id="12" xr3:uid="{75E872B2-DBAD-4FAC-B698-6206E1C05C21}" name="Columna12" headerRowDxfId="155" dataDxfId="53"/>
    <tableColumn id="13" xr3:uid="{3FD1242D-4AD3-4D51-A5B8-EE43FE15FF3B}" name="Columna13" headerRowDxfId="154" dataDxfId="52"/>
    <tableColumn id="14" xr3:uid="{82D5585F-4CB6-43E0-9267-8956D1118EE2}" name="Columna14" headerRowDxfId="153" dataDxfId="51"/>
    <tableColumn id="15" xr3:uid="{F0EB1F5F-095C-4F0C-8CE6-D515F0AF483E}" name="Columna15" headerRowDxfId="152" dataDxfId="50"/>
    <tableColumn id="16" xr3:uid="{6C9A6465-490A-4330-8735-8C9AF4A82FEB}" name="Columna16" headerRowDxfId="151" dataDxfId="49"/>
    <tableColumn id="17" xr3:uid="{EA73FDDD-170B-4146-A984-90D3CCD3C6AB}" name="Columna17" headerRowDxfId="150" dataDxfId="48"/>
    <tableColumn id="18" xr3:uid="{B035F6C6-EF2C-4620-A7D0-5D3C1C8A5FA7}" name="Columna18" headerRowDxfId="149" dataDxfId="47"/>
    <tableColumn id="19" xr3:uid="{83B56FF9-284C-4AB0-ADCC-DAC13CC409FD}" name="Columna19" headerRowDxfId="148" dataDxfId="46"/>
    <tableColumn id="20" xr3:uid="{EAF6F3E9-CFA9-47C6-A7E1-9AD282B3DCBD}" name="Columna20" headerRowDxfId="147" dataDxfId="45"/>
    <tableColumn id="21" xr3:uid="{C556E045-97EB-4F15-B1AF-407419809CE2}" name="Columna21" headerRowDxfId="146" dataDxfId="44"/>
    <tableColumn id="22" xr3:uid="{8BC507F7-E91D-4487-81D1-54AF09B789EE}" name="Columna22" headerRowDxfId="145" dataDxfId="43"/>
    <tableColumn id="23" xr3:uid="{DC843E12-854E-4D58-926F-9E542BC5EBE8}" name="Columna23" headerRowDxfId="144" dataDxfId="143"/>
    <tableColumn id="24" xr3:uid="{2B9042B8-307B-4C5B-B25D-66E63C042F80}" name="Columna24" headerRowDxfId="142" dataDxfId="141"/>
    <tableColumn id="25" xr3:uid="{F60D58A4-26B2-4B6A-A19B-254A9115A792}" name="Columna25" headerRowDxfId="140" dataDxfId="139"/>
    <tableColumn id="26" xr3:uid="{F40C5600-F78B-45F7-BA7A-15DA83EEA16D}" name="Columna26" headerRowDxfId="138" dataDxfId="137"/>
    <tableColumn id="27" xr3:uid="{1CF75790-C854-4D6F-9595-4F20C1DAB9BD}" name="Columna27" headerRowDxfId="136" dataDxfId="135"/>
    <tableColumn id="28" xr3:uid="{F0C934F7-B98F-45E9-B09B-E29DD3931E33}" name="Columna28" headerRowDxfId="134" dataDxfId="42"/>
    <tableColumn id="29" xr3:uid="{E65EDE76-29DC-4F80-AFCC-0B3ADC26AAE7}" name="Columna29" headerRowDxfId="133" dataDxfId="132"/>
    <tableColumn id="30" xr3:uid="{BB6AA046-D370-4E5F-A099-7DE8A2EFC2D0}" name="Columna30" headerRowDxfId="131" dataDxfId="1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9E1A7-C9C0-4CAD-8E89-745BDA3B63D4}" name="Opti_Salidas__30_ALL_Data_1" displayName="Opti_Salidas__30_ALL_Data_1" ref="A1:AK34" totalsRowShown="0" headerRowDxfId="275" dataDxfId="276" headerRowCellStyle="Millares 2" dataCellStyle="Millares 2">
  <autoFilter ref="A1:AK34" xr:uid="{03F9E1A7-C9C0-4CAD-8E89-745BDA3B63D4}"/>
  <sortState xmlns:xlrd2="http://schemas.microsoft.com/office/spreadsheetml/2017/richdata2" ref="A2:AK34">
    <sortCondition descending="1" ref="AK1:AK34"/>
  </sortState>
  <tableColumns count="37">
    <tableColumn id="37" xr3:uid="{624F8006-F348-4A2C-8E32-8361FEBA0F32}" name="MEJORES" dataDxfId="0" dataCellStyle="Millares 2"/>
    <tableColumn id="1" xr3:uid="{C484A3EF-AB20-4981-A870-DF61DBA7C9BB}" name="CURSO-Salidas_02: Salida" dataDxfId="305"/>
    <tableColumn id="2" xr3:uid="{012887FF-1DFF-497D-B168-C782B88B5D91}" name="Test" dataDxfId="304"/>
    <tableColumn id="3" xr3:uid="{93A7997A-5421-46D9-AEF8-0EAFF7A0F9E5}" name="All: Net Profit" dataDxfId="303"/>
    <tableColumn id="4" xr3:uid="{C6CBC080-DD62-498C-B1C6-4572720B5197}" name="All: Gross Profit" dataDxfId="302" dataCellStyle="Moneda 2"/>
    <tableColumn id="5" xr3:uid="{284091BC-D6F5-41B0-9971-046A9A05FD89}" name="All: Gross Loss" dataDxfId="301" dataCellStyle="Moneda 2"/>
    <tableColumn id="6" xr3:uid="{8348FA03-07CB-4C04-ACB5-31F54C177378}" name="All: Total Trades" dataDxfId="300" dataCellStyle="Moneda 2"/>
    <tableColumn id="7" xr3:uid="{92A438CD-C184-4C2D-9B55-BD72194C4337}" name="All: % Profitable" dataDxfId="299"/>
    <tableColumn id="8" xr3:uid="{3B537CE3-F9D9-4808-B3BF-1C695056D5C8}" name="All: Winning Trades" dataDxfId="298" dataCellStyle="Millares 2"/>
    <tableColumn id="9" xr3:uid="{23FA0411-4BF1-4814-8A89-36FC7B1ABDE2}" name="All: Losing Trades" dataDxfId="297"/>
    <tableColumn id="10" xr3:uid="{12AACEDF-BB0D-47FF-8D7A-F2334F1DEF62}" name="All: Max Winning Trade" dataDxfId="296"/>
    <tableColumn id="11" xr3:uid="{EAD30D54-C96E-4B74-847A-77F4ECE36187}" name="All: Max Losing Trade" dataDxfId="295" dataCellStyle="Moneda 2"/>
    <tableColumn id="12" xr3:uid="{BC7BF369-64A6-4912-A854-90E677F9645A}" name="All: Avg Winning Trade" dataDxfId="294" dataCellStyle="Moneda 2"/>
    <tableColumn id="13" xr3:uid="{4EB29014-D524-4778-88D7-4EC2CDAB3BD0}" name="All: Avg Losing Trade" dataDxfId="293" dataCellStyle="Moneda 2"/>
    <tableColumn id="14" xr3:uid="{67CF3701-27FB-46EC-8CF2-5E74A37EB8F0}" name="All: Win/Loss Ratio" dataDxfId="292" dataCellStyle="Moneda 2"/>
    <tableColumn id="15" xr3:uid="{19F357CB-C472-4522-B7A9-2755B6EFE1F0}" name="All: Avg Trade" dataDxfId="291" dataCellStyle="Millares 2"/>
    <tableColumn id="16" xr3:uid="{E8025E89-A80A-4079-A6CD-0C3C7B8C9CC0}" name="All: Max Consecutive Winners" dataDxfId="290" dataCellStyle="Moneda 2"/>
    <tableColumn id="17" xr3:uid="{70B5EE1F-1BB5-4D6A-A6C6-5A84F4664A6C}" name="All: Max Consecutive Losers" dataDxfId="289"/>
    <tableColumn id="18" xr3:uid="{5B410CB7-57D3-48C2-B9EC-A6BB0943E815}" name="All: Avg Bars in Winner" dataDxfId="288"/>
    <tableColumn id="19" xr3:uid="{1E8718C8-11E7-42F9-AAA8-518CEF9CFD0F}" name="All: Avg Bars in Loser" dataDxfId="287"/>
    <tableColumn id="20" xr3:uid="{85843BF0-AE44-43EB-AD56-806F25340CD8}" name="All: Max Intraday Drawdown" dataDxfId="286"/>
    <tableColumn id="21" xr3:uid="{698A74C9-4BEF-4E72-A511-D2C869F50900}" name="All: ProfitFactor" dataDxfId="285" dataCellStyle="Moneda 2"/>
    <tableColumn id="22" xr3:uid="{39C6AA36-D94B-41EA-9209-8712D7838344}" name="All: Max Contracts Held" dataDxfId="284" dataCellStyle="Millares 2"/>
    <tableColumn id="23" xr3:uid="{73881B27-0672-4A02-85B3-74E8BF6EE401}" name="All: Required Account Size" dataDxfId="283"/>
    <tableColumn id="24" xr3:uid="{F45EC3F2-E537-423D-B059-94B6044B4E7E}" name="All: Return on Account" dataDxfId="282" dataCellStyle="Moneda 2"/>
    <tableColumn id="25" xr3:uid="{65426808-4819-4E3D-AA6D-859E26331B29}" name="All: TS Index" dataDxfId="281" dataCellStyle="Millares 2"/>
    <tableColumn id="26" xr3:uid="{1F69A16F-991F-45A6-BC8F-80F56B87ED39}" name="All: Expectancy Score" dataDxfId="280" dataCellStyle="Millares 2"/>
    <tableColumn id="27" xr3:uid="{A082553B-7E0A-48E3-A98C-A22634A99E17}" name="All: Pessimistic Return On Capital" dataDxfId="279" dataCellStyle="Millares 2"/>
    <tableColumn id="28" xr3:uid="{0AECF4D3-45F9-4E2D-8565-E5BDB004A357}" name="All: Perfect Profit Correlation" dataDxfId="278" dataCellStyle="Millares 2"/>
    <tableColumn id="29" xr3:uid="{6F4714B6-E598-48FC-9D0E-5D17F0A8D32D}" name="All: Robustness Index" dataDxfId="277" dataCellStyle="Moneda 2"/>
    <tableColumn id="30" xr3:uid="{BB8C357F-4CE5-42A2-9D0C-69131702E46C}" name="VAR TS Index" dataDxfId="89" dataCellStyle="Millares 2">
      <calculatedColumnFormula>(Opti_Salidas__30_ALL_Data_1[[#This Row],[All: TS Index]]-Z$47) /ABS(Z$47)</calculatedColumnFormula>
    </tableColumn>
    <tableColumn id="31" xr3:uid="{5816A505-5423-4D87-9550-9ABAD9979B14}" name="VAR Expectancy Score" dataDxfId="17" dataCellStyle="Millares 2">
      <calculatedColumnFormula>(Opti_Salidas__30_ALL_Data_1[[#This Row],[All: Expectancy Score]]-AA$47) /ABS(AA$47)</calculatedColumnFormula>
    </tableColumn>
    <tableColumn id="32" xr3:uid="{340F044A-AA89-4BA1-9527-33D5BF2567BC}" name="Columna1" dataDxfId="212" dataCellStyle="Millares 2"/>
    <tableColumn id="33" xr3:uid="{98F039BA-357D-48FC-8F97-8125D6D73AA7}" name="VAR Perfect Profit Correlation" dataDxfId="16" dataCellStyle="Millares 2">
      <calculatedColumnFormula>(Opti_Salidas__30_ALL_Data_1[[#This Row],[All: Perfect Profit Correlation]]-AC$47) /ABS(AC$47)</calculatedColumnFormula>
    </tableColumn>
    <tableColumn id="34" xr3:uid="{85E4B7FB-6C50-43F4-A2D4-2917B0B2838F}" name="VAR Robustness Index" dataDxfId="15" dataCellStyle="Millares 2">
      <calculatedColumnFormula>(Opti_Salidas__30_ALL_Data_1[[#This Row],[All: Robustness Index]]-AD$47) /ABS(AD$47)</calculatedColumnFormula>
    </tableColumn>
    <tableColumn id="35" xr3:uid="{C8FC54E2-FF5B-4D30-82B7-E35B66BF8525}" name="SUMA" dataDxfId="14" dataCellStyle="Millares 2">
      <calculatedColumnFormula>SUM(Opti_Salidas__30_ALL_Data_1[[#This Row],[VAR TS Index]:[VAR Robustness Index]])</calculatedColumnFormula>
    </tableColumn>
    <tableColumn id="36" xr3:uid="{C2E7D0CA-CCB9-4826-891A-2D3E3C5FF886}" name="SUMA SIN ROB" dataDxfId="13" dataCellStyle="Millares 2">
      <calculatedColumnFormula>Opti_Salidas__30_ALL_Data_1[[#This Row],[SUMA]]-Opti_Salidas__30_ALL_Data_1[[#This Row],[VAR Robustness Index]]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02F748-27E1-46C6-BB10-82B311085D58}" name="Tabla6" displayName="Tabla6" ref="A37:AD48" headerRowCount="0" totalsRowShown="0" headerRowDxfId="129" dataDxfId="64" tableBorderDxfId="128">
  <tableColumns count="30">
    <tableColumn id="1" xr3:uid="{43E3337F-0AAE-4CB4-9A87-A0CB76A1FE4B}" name="Columna1" headerRowDxfId="127" dataDxfId="86"/>
    <tableColumn id="2" xr3:uid="{CC6629D8-A6FC-4376-8445-8ED3E74646BB}" name="Columna2" headerRowDxfId="126" dataDxfId="85"/>
    <tableColumn id="3" xr3:uid="{449DA64E-3C54-4EBE-AA3F-45F4DE4AF2F1}" name="Columna3" headerRowDxfId="125" dataDxfId="124"/>
    <tableColumn id="4" xr3:uid="{C0FC9956-FA0D-48B5-BF44-9559C49328FA}" name="Columna4" headerRowDxfId="123" dataDxfId="84"/>
    <tableColumn id="5" xr3:uid="{7D3219CD-0EAF-4D59-A22A-797E122EA7FA}" name="Columna5" headerRowDxfId="122" dataDxfId="83"/>
    <tableColumn id="6" xr3:uid="{5C54982B-A81D-4852-8D8C-A8E3E6846092}" name="Columna6" headerRowDxfId="121" dataDxfId="82"/>
    <tableColumn id="7" xr3:uid="{DBB74019-EE3E-4EF1-A463-9B7D22272D9C}" name="Columna7" headerRowDxfId="120" dataDxfId="81"/>
    <tableColumn id="8" xr3:uid="{67398F98-F43E-48AC-A087-45CAC9F0B8ED}" name="Columna8" headerRowDxfId="119" dataDxfId="80"/>
    <tableColumn id="9" xr3:uid="{463D4C17-A92C-4662-AED3-D6A1D20220F2}" name="Columna9" headerRowDxfId="118" dataDxfId="79"/>
    <tableColumn id="10" xr3:uid="{00C0A411-6475-40DB-91DB-7890A0CAB7CF}" name="Columna10" headerRowDxfId="117" dataDxfId="78"/>
    <tableColumn id="11" xr3:uid="{85123EA1-388C-4B40-9A12-20B1B639727F}" name="Columna11" headerRowDxfId="116" dataDxfId="77"/>
    <tableColumn id="12" xr3:uid="{44A22669-07CB-4203-BBC5-DB7FBCE61777}" name="Columna12" headerRowDxfId="115" dataDxfId="76"/>
    <tableColumn id="13" xr3:uid="{133324AB-E980-4746-B493-83446D1818E0}" name="Columna13" headerRowDxfId="114" dataDxfId="75"/>
    <tableColumn id="14" xr3:uid="{07C46275-EDA8-436D-B4A2-0E6109F66659}" name="Columna14" headerRowDxfId="113" dataDxfId="74"/>
    <tableColumn id="15" xr3:uid="{7C92B6C9-FF9C-4A60-BB6F-AF9E82019C76}" name="Columna15" headerRowDxfId="112" dataDxfId="73"/>
    <tableColumn id="16" xr3:uid="{02F794BE-A9FB-475F-8F25-A314D0E84579}" name="Columna16" headerRowDxfId="111" dataDxfId="72"/>
    <tableColumn id="17" xr3:uid="{FE15BC41-935A-4F04-BDB3-17104BBE90AC}" name="Columna17" headerRowDxfId="110" dataDxfId="71"/>
    <tableColumn id="18" xr3:uid="{C0445695-E77F-4309-85BB-75317C2DC937}" name="Columna18" headerRowDxfId="109" dataDxfId="70"/>
    <tableColumn id="19" xr3:uid="{A4141E92-4D20-4D63-9963-C38535306960}" name="Columna19" headerRowDxfId="108" dataDxfId="69"/>
    <tableColumn id="20" xr3:uid="{E21D14CD-1144-4ACC-969A-DC2058F3A397}" name="Columna20" headerRowDxfId="107" dataDxfId="68"/>
    <tableColumn id="21" xr3:uid="{525CD53B-A344-466A-97A6-FE4B96357C6A}" name="Columna21" headerRowDxfId="106" dataDxfId="67"/>
    <tableColumn id="22" xr3:uid="{423A64A9-B0C6-47F6-A75B-882A87BCCB77}" name="Columna22" headerRowDxfId="105" dataDxfId="66"/>
    <tableColumn id="23" xr3:uid="{32C3C798-C1A8-4F28-A33B-97FAF152C363}" name="Columna23" headerRowDxfId="104" dataDxfId="103"/>
    <tableColumn id="24" xr3:uid="{72B1356B-0E1E-4F72-90FB-54AAB92CBB70}" name="Columna24" headerRowDxfId="102" dataDxfId="101"/>
    <tableColumn id="25" xr3:uid="{5FD0632E-61E5-4170-9395-F6A0A78E4EE5}" name="Columna25" headerRowDxfId="100" dataDxfId="99"/>
    <tableColumn id="26" xr3:uid="{7B6EE3DC-5E45-4F6F-B5F7-7B797371722F}" name="Columna26" headerRowDxfId="98" dataDxfId="97"/>
    <tableColumn id="27" xr3:uid="{5BAED837-8D4F-4125-BFD2-48BC33073B25}" name="Columna27" headerRowDxfId="96" dataDxfId="95"/>
    <tableColumn id="28" xr3:uid="{E741307B-8B9F-49AB-BD62-B50CC5665653}" name="Columna28" headerRowDxfId="94" dataDxfId="65"/>
    <tableColumn id="29" xr3:uid="{91512F7D-FB50-4AE1-B708-9D6C49D6F650}" name="Columna29" headerRowDxfId="93" dataDxfId="92"/>
    <tableColumn id="30" xr3:uid="{CD73A682-C560-47C5-A8BB-CC6293FD4068}" name="Columna30" headerRowDxfId="91" dataDxfId="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0116-B82B-4997-AB90-F4F430AB9F95}">
  <dimension ref="A1:AL88"/>
  <sheetViews>
    <sheetView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A2" sqref="A2:A6"/>
    </sheetView>
  </sheetViews>
  <sheetFormatPr baseColWidth="10" defaultColWidth="1.375" defaultRowHeight="15" x14ac:dyDescent="0.25"/>
  <cols>
    <col min="1" max="1" width="11.125" style="95" customWidth="1"/>
    <col min="2" max="2" width="12.75" style="95" bestFit="1" customWidth="1"/>
    <col min="3" max="3" width="11.75" style="95" bestFit="1" customWidth="1"/>
    <col min="4" max="4" width="8.5" style="95" bestFit="1" customWidth="1"/>
    <col min="5" max="6" width="12.125" style="95" bestFit="1" customWidth="1"/>
    <col min="7" max="7" width="10.625" style="95" bestFit="1" customWidth="1"/>
    <col min="8" max="8" width="7.625" style="95" bestFit="1" customWidth="1"/>
    <col min="9" max="9" width="11.5" style="95" bestFit="1" customWidth="1"/>
    <col min="10" max="10" width="8.375" style="95" bestFit="1" customWidth="1"/>
    <col min="11" max="11" width="7.625" style="95" bestFit="1" customWidth="1"/>
    <col min="12" max="15" width="9.25" style="95" bestFit="1" customWidth="1"/>
    <col min="16" max="16" width="8.625" style="95" bestFit="1" customWidth="1"/>
    <col min="17" max="17" width="7.375" style="95" bestFit="1" customWidth="1"/>
    <col min="18" max="18" width="11" style="95" bestFit="1" customWidth="1"/>
    <col min="19" max="19" width="9.875" style="95" bestFit="1" customWidth="1"/>
    <col min="20" max="20" width="10" style="95" bestFit="1" customWidth="1"/>
    <col min="21" max="21" width="9.125" style="95" bestFit="1" customWidth="1"/>
    <col min="22" max="22" width="11" style="95" bestFit="1" customWidth="1"/>
    <col min="23" max="23" width="7.5" style="95" bestFit="1" customWidth="1"/>
    <col min="24" max="24" width="8.625" style="95" bestFit="1" customWidth="1"/>
    <col min="25" max="25" width="10.125" style="95" bestFit="1" customWidth="1"/>
    <col min="26" max="26" width="8.875" style="95" bestFit="1" customWidth="1"/>
    <col min="27" max="27" width="7.375" style="95" bestFit="1" customWidth="1"/>
    <col min="28" max="28" width="9.25" style="95" bestFit="1" customWidth="1"/>
    <col min="29" max="29" width="12.375" style="95" bestFit="1" customWidth="1"/>
    <col min="30" max="30" width="10.125" style="95" bestFit="1" customWidth="1"/>
    <col min="31" max="31" width="9.25" style="95" bestFit="1" customWidth="1"/>
    <col min="32" max="32" width="10.125" style="95" bestFit="1" customWidth="1"/>
    <col min="33" max="33" width="13.875" style="95" bestFit="1" customWidth="1"/>
    <col min="34" max="34" width="13" style="95" bestFit="1" customWidth="1"/>
    <col min="35" max="35" width="14" style="95" bestFit="1" customWidth="1"/>
    <col min="36" max="36" width="13.125" style="95" bestFit="1" customWidth="1"/>
    <col min="37" max="37" width="9.625" style="95" bestFit="1" customWidth="1"/>
    <col min="38" max="38" width="12.625" style="95" bestFit="1" customWidth="1"/>
    <col min="39" max="16384" width="1.375" style="95"/>
  </cols>
  <sheetData>
    <row r="1" spans="1:38" ht="83.25" customHeight="1" x14ac:dyDescent="0.25">
      <c r="A1" s="1" t="s">
        <v>28</v>
      </c>
      <c r="B1" s="94" t="s">
        <v>53</v>
      </c>
      <c r="C1" s="94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94" t="s">
        <v>6</v>
      </c>
      <c r="J1" s="94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94" t="s">
        <v>14</v>
      </c>
      <c r="R1" s="94" t="s">
        <v>15</v>
      </c>
      <c r="S1" s="94" t="s">
        <v>16</v>
      </c>
      <c r="T1" s="94" t="s">
        <v>17</v>
      </c>
      <c r="U1" s="2" t="s">
        <v>18</v>
      </c>
      <c r="V1" s="2" t="s">
        <v>19</v>
      </c>
      <c r="W1" s="94" t="s">
        <v>20</v>
      </c>
      <c r="X1" s="2" t="s">
        <v>21</v>
      </c>
      <c r="Y1" s="2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/>
    </row>
    <row r="2" spans="1:38" x14ac:dyDescent="0.25">
      <c r="A2" s="70" t="s">
        <v>57</v>
      </c>
      <c r="B2" s="21">
        <v>6</v>
      </c>
      <c r="C2" s="21">
        <v>7</v>
      </c>
      <c r="D2" s="21">
        <v>207320</v>
      </c>
      <c r="E2" s="22">
        <v>1662810</v>
      </c>
      <c r="F2" s="22">
        <v>-1455490</v>
      </c>
      <c r="G2" s="22">
        <v>3727</v>
      </c>
      <c r="H2" s="21">
        <v>35.444056882210894</v>
      </c>
      <c r="I2" s="23">
        <v>1321</v>
      </c>
      <c r="J2" s="21">
        <v>2388</v>
      </c>
      <c r="K2" s="21">
        <v>10290</v>
      </c>
      <c r="L2" s="24">
        <v>-5640</v>
      </c>
      <c r="M2" s="24">
        <v>1258.7509765625</v>
      </c>
      <c r="N2" s="24">
        <v>-609.50164794921875</v>
      </c>
      <c r="O2" s="24">
        <v>2.0652134096729702</v>
      </c>
      <c r="P2" s="23">
        <v>55.626509256774888</v>
      </c>
      <c r="Q2" s="25">
        <v>9</v>
      </c>
      <c r="R2" s="21">
        <v>12</v>
      </c>
      <c r="S2" s="21">
        <v>59</v>
      </c>
      <c r="T2" s="21">
        <v>24</v>
      </c>
      <c r="U2" s="21">
        <v>-38035</v>
      </c>
      <c r="V2" s="24">
        <v>1.1424400030230371</v>
      </c>
      <c r="W2" s="23">
        <v>1</v>
      </c>
      <c r="X2" s="21">
        <v>38035</v>
      </c>
      <c r="Y2" s="24">
        <v>545.07690285263573</v>
      </c>
      <c r="Z2" s="23">
        <v>7200.4658866833179</v>
      </c>
      <c r="AA2" s="87">
        <v>2.5994248345509869</v>
      </c>
      <c r="AB2" s="23">
        <v>1.9135460738705681</v>
      </c>
      <c r="AC2" s="23">
        <v>191642.56327716081</v>
      </c>
      <c r="AD2" s="82">
        <v>122.65589986317012</v>
      </c>
      <c r="AE2" s="5">
        <f>(Opti_Salidas__30_INS_1[[#This Row],[All: TS Index]]-Z$47) /ABS(Z$47)</f>
        <v>-3.6393066140496165E-2</v>
      </c>
      <c r="AF2" s="5">
        <f>(Opti_Salidas__30_INS_1[[#This Row],[All: Expectancy Score]]-AA$47) /ABS(AA$47)</f>
        <v>-0.89067427955944056</v>
      </c>
      <c r="AG2" s="5"/>
      <c r="AH2" s="5">
        <f>(Opti_Salidas__30_INS_1[[#This Row],[All: Perfect Profit Correlation]]-AC$47) /ABS(AC$47)</f>
        <v>0</v>
      </c>
      <c r="AI2" s="5">
        <f>(Opti_Salidas__30_INS_1[[#This Row],[All: Robustness Index]]-AD$47) /ABS(AD$47)</f>
        <v>-0.53598339507819071</v>
      </c>
      <c r="AJ2" s="11">
        <f>SUM(Opti_Salidas__30_INS_1[[#This Row],[VAR TS Index]:[VAR Robustness Index]])</f>
        <v>-1.4630507407781275</v>
      </c>
      <c r="AK2" s="11">
        <f>Opti_Salidas__30_INS_1[[#This Row],[SUMA]]-Opti_Salidas__30_INS_1[[#This Row],[VAR Robustness Index]]</f>
        <v>-0.92706734569993676</v>
      </c>
      <c r="AL2" s="11"/>
    </row>
    <row r="3" spans="1:38" x14ac:dyDescent="0.25">
      <c r="A3" s="70" t="s">
        <v>58</v>
      </c>
      <c r="B3" s="72">
        <v>17</v>
      </c>
      <c r="C3" s="72">
        <v>18</v>
      </c>
      <c r="D3" s="72">
        <v>203820</v>
      </c>
      <c r="E3" s="73">
        <v>1645060</v>
      </c>
      <c r="F3" s="73">
        <v>-1441240</v>
      </c>
      <c r="G3" s="73">
        <v>3727</v>
      </c>
      <c r="H3" s="72">
        <v>34.96109471424738</v>
      </c>
      <c r="I3" s="71">
        <v>1303</v>
      </c>
      <c r="J3" s="72">
        <v>2406</v>
      </c>
      <c r="K3" s="72">
        <v>11140</v>
      </c>
      <c r="L3" s="74">
        <v>-5290</v>
      </c>
      <c r="M3" s="74">
        <v>1262.5172119140625</v>
      </c>
      <c r="N3" s="74">
        <v>-599.01910400390625</v>
      </c>
      <c r="O3" s="74">
        <v>2.1076409808556451</v>
      </c>
      <c r="P3" s="71">
        <v>54.687416152401397</v>
      </c>
      <c r="Q3" s="75">
        <v>9</v>
      </c>
      <c r="R3" s="72">
        <v>12</v>
      </c>
      <c r="S3" s="72">
        <v>60</v>
      </c>
      <c r="T3" s="72">
        <v>23</v>
      </c>
      <c r="U3" s="72">
        <v>-38485</v>
      </c>
      <c r="V3" s="74">
        <v>1.141419888429408</v>
      </c>
      <c r="W3" s="71">
        <v>1</v>
      </c>
      <c r="X3" s="72">
        <v>38485</v>
      </c>
      <c r="Y3" s="74">
        <v>529.60893854748599</v>
      </c>
      <c r="Z3" s="71">
        <v>6900.8044692737431</v>
      </c>
      <c r="AA3" s="90">
        <v>2.5370557829609912</v>
      </c>
      <c r="AB3" s="71">
        <v>1.8762928205034459</v>
      </c>
      <c r="AC3" s="71">
        <v>191641.60897560048</v>
      </c>
      <c r="AD3" s="91">
        <v>136.51941860213759</v>
      </c>
      <c r="AE3" s="11">
        <f>(Opti_Salidas__30_INS_1[[#This Row],[All: TS Index]]-Z$47) /ABS(Z$47)</f>
        <v>-7.6495446204550635E-2</v>
      </c>
      <c r="AF3" s="11">
        <f>(Opti_Salidas__30_INS_1[[#This Row],[All: Expectancy Score]]-AA$47) /ABS(AA$47)</f>
        <v>-0.89329737579505397</v>
      </c>
      <c r="AG3" s="11"/>
      <c r="AH3" s="11">
        <f>(Opti_Salidas__30_INS_1[[#This Row],[All: Perfect Profit Correlation]]-AC$47) /ABS(AC$47)</f>
        <v>-4.9795908800622998E-6</v>
      </c>
      <c r="AI3" s="11">
        <f>(Opti_Salidas__30_INS_1[[#This Row],[All: Robustness Index]]-AD$47) /ABS(AD$47)</f>
        <v>-0.48353664849117911</v>
      </c>
      <c r="AJ3" s="11">
        <f>SUM(Opti_Salidas__30_INS_1[[#This Row],[VAR TS Index]:[VAR Robustness Index]])</f>
        <v>-1.4533344500816638</v>
      </c>
      <c r="AK3" s="11">
        <f>Opti_Salidas__30_INS_1[[#This Row],[SUMA]]-Opti_Salidas__30_INS_1[[#This Row],[VAR Robustness Index]]</f>
        <v>-0.96979780159048468</v>
      </c>
      <c r="AL3" s="11"/>
    </row>
    <row r="4" spans="1:38" x14ac:dyDescent="0.25">
      <c r="A4" s="70" t="s">
        <v>51</v>
      </c>
      <c r="B4" s="26">
        <v>26</v>
      </c>
      <c r="C4" s="26">
        <v>27</v>
      </c>
      <c r="D4" s="26">
        <v>192830</v>
      </c>
      <c r="E4" s="27">
        <v>1640480</v>
      </c>
      <c r="F4" s="27">
        <v>-1447650</v>
      </c>
      <c r="G4" s="27">
        <v>3727</v>
      </c>
      <c r="H4" s="26">
        <v>35.470888113764424</v>
      </c>
      <c r="I4" s="28">
        <v>1322</v>
      </c>
      <c r="J4" s="26">
        <v>2388</v>
      </c>
      <c r="K4" s="26">
        <v>4100</v>
      </c>
      <c r="L4" s="29">
        <v>-5640</v>
      </c>
      <c r="M4" s="29">
        <v>1240.90771484375</v>
      </c>
      <c r="N4" s="29">
        <v>-606.21856689453125</v>
      </c>
      <c r="O4" s="29">
        <v>2.046964218203565</v>
      </c>
      <c r="P4" s="28">
        <v>51.738663804668633</v>
      </c>
      <c r="Q4" s="30">
        <v>9</v>
      </c>
      <c r="R4" s="26">
        <v>12</v>
      </c>
      <c r="S4" s="26">
        <v>58</v>
      </c>
      <c r="T4" s="26">
        <v>24</v>
      </c>
      <c r="U4" s="26">
        <v>-34115</v>
      </c>
      <c r="V4" s="29">
        <v>1.133202086139605</v>
      </c>
      <c r="W4" s="28">
        <v>1</v>
      </c>
      <c r="X4" s="26">
        <v>34115</v>
      </c>
      <c r="Y4" s="29">
        <v>565.23523376813716</v>
      </c>
      <c r="Z4" s="28">
        <v>7472.4097904147739</v>
      </c>
      <c r="AA4" s="85">
        <v>1.619108166102684</v>
      </c>
      <c r="AB4" s="28">
        <v>1.773356270081929</v>
      </c>
      <c r="AC4" s="28">
        <v>172059.11075964334</v>
      </c>
      <c r="AD4" s="83">
        <v>111.16855349503747</v>
      </c>
      <c r="AE4" s="11">
        <f>(Opti_Salidas__30_INS_1[[#This Row],[All: TS Index]]-Z$47) /ABS(Z$47)</f>
        <v>0</v>
      </c>
      <c r="AF4" s="11">
        <f>(Opti_Salidas__30_INS_1[[#This Row],[All: Expectancy Score]]-AA$47) /ABS(AA$47)</f>
        <v>-0.93190410263932677</v>
      </c>
      <c r="AG4" s="11"/>
      <c r="AH4" s="11">
        <f>(Opti_Salidas__30_INS_1[[#This Row],[All: Perfect Profit Correlation]]-AC$47) /ABS(AC$47)</f>
        <v>-0.1021873856341356</v>
      </c>
      <c r="AI4" s="11">
        <f>(Opti_Salidas__30_INS_1[[#This Row],[All: Robustness Index]]-AD$47) /ABS(AD$47)</f>
        <v>-0.57944090072812748</v>
      </c>
      <c r="AJ4" s="11">
        <f>SUM(Opti_Salidas__30_INS_1[[#This Row],[VAR TS Index]:[VAR Robustness Index]])</f>
        <v>-1.6135323890015898</v>
      </c>
      <c r="AK4" s="11">
        <f>Opti_Salidas__30_INS_1[[#This Row],[SUMA]]-Opti_Salidas__30_INS_1[[#This Row],[VAR Robustness Index]]</f>
        <v>-1.0340914882734622</v>
      </c>
      <c r="AL4" s="11"/>
    </row>
    <row r="5" spans="1:38" x14ac:dyDescent="0.25">
      <c r="A5" s="70" t="s">
        <v>52</v>
      </c>
      <c r="B5" s="72">
        <v>24</v>
      </c>
      <c r="C5" s="72">
        <v>25</v>
      </c>
      <c r="D5" s="72">
        <v>198410</v>
      </c>
      <c r="E5" s="73">
        <v>1648730</v>
      </c>
      <c r="F5" s="73">
        <v>-1450320</v>
      </c>
      <c r="G5" s="73">
        <v>3727</v>
      </c>
      <c r="H5" s="72">
        <v>35.01475717735444</v>
      </c>
      <c r="I5" s="71">
        <v>1305</v>
      </c>
      <c r="J5" s="72">
        <v>2404</v>
      </c>
      <c r="K5" s="72">
        <v>6460</v>
      </c>
      <c r="L5" s="74">
        <v>-5640</v>
      </c>
      <c r="M5" s="74">
        <v>1263.3946533203125</v>
      </c>
      <c r="N5" s="74">
        <v>-603.29449462890625</v>
      </c>
      <c r="O5" s="74">
        <v>2.0941590957123548</v>
      </c>
      <c r="P5" s="71">
        <v>53.235846525355512</v>
      </c>
      <c r="Q5" s="75">
        <v>9</v>
      </c>
      <c r="R5" s="72">
        <v>12</v>
      </c>
      <c r="S5" s="72">
        <v>65</v>
      </c>
      <c r="T5" s="72">
        <v>24</v>
      </c>
      <c r="U5" s="72">
        <v>-35315</v>
      </c>
      <c r="V5" s="74">
        <v>1.1368042914667109</v>
      </c>
      <c r="W5" s="71">
        <v>1</v>
      </c>
      <c r="X5" s="72">
        <v>35315</v>
      </c>
      <c r="Y5" s="74">
        <v>561.82925102647596</v>
      </c>
      <c r="Z5" s="71">
        <v>7331.8717258955121</v>
      </c>
      <c r="AA5" s="90">
        <v>1.519508400045773</v>
      </c>
      <c r="AB5" s="71">
        <v>1.823500353826194</v>
      </c>
      <c r="AC5" s="71">
        <v>175215.92008165715</v>
      </c>
      <c r="AD5" s="91">
        <v>103.02043721358893</v>
      </c>
      <c r="AE5" s="11">
        <f>(Opti_Salidas__30_INS_1[[#This Row],[All: TS Index]]-Z$47) /ABS(Z$47)</f>
        <v>-1.8807596004643216E-2</v>
      </c>
      <c r="AF5" s="11">
        <f>(Opti_Salidas__30_INS_1[[#This Row],[All: Expectancy Score]]-AA$47) /ABS(AA$47)</f>
        <v>-0.93609303552753775</v>
      </c>
      <c r="AG5" s="11"/>
      <c r="AH5" s="11">
        <f>(Opti_Salidas__30_INS_1[[#This Row],[All: Perfect Profit Correlation]]-AC$47) /ABS(AC$47)</f>
        <v>-8.5715004613807072E-2</v>
      </c>
      <c r="AI5" s="11">
        <f>(Opti_Salidas__30_INS_1[[#This Row],[All: Robustness Index]]-AD$47) /ABS(AD$47)</f>
        <v>-0.61026584480047663</v>
      </c>
      <c r="AJ5" s="11">
        <f>SUM(Opti_Salidas__30_INS_1[[#This Row],[VAR TS Index]:[VAR Robustness Index]])</f>
        <v>-1.6508814809464645</v>
      </c>
      <c r="AK5" s="11">
        <f>Opti_Salidas__30_INS_1[[#This Row],[SUMA]]-Opti_Salidas__30_INS_1[[#This Row],[VAR Robustness Index]]</f>
        <v>-1.0406156361459877</v>
      </c>
      <c r="AL5" s="11"/>
    </row>
    <row r="6" spans="1:38" x14ac:dyDescent="0.25">
      <c r="A6" s="70" t="s">
        <v>62</v>
      </c>
      <c r="B6" s="31">
        <v>20</v>
      </c>
      <c r="C6" s="31">
        <v>21</v>
      </c>
      <c r="D6" s="31">
        <v>92080</v>
      </c>
      <c r="E6" s="32">
        <v>1235490</v>
      </c>
      <c r="F6" s="32">
        <v>-1143410</v>
      </c>
      <c r="G6" s="32">
        <v>3727</v>
      </c>
      <c r="H6" s="31">
        <v>30.292460423933459</v>
      </c>
      <c r="I6" s="33">
        <v>1129</v>
      </c>
      <c r="J6" s="31">
        <v>2582</v>
      </c>
      <c r="K6" s="31">
        <v>15660</v>
      </c>
      <c r="L6" s="34">
        <v>-3570</v>
      </c>
      <c r="M6" s="34">
        <v>1094.3223876953125</v>
      </c>
      <c r="N6" s="34">
        <v>-442.83889770507813</v>
      </c>
      <c r="O6" s="34">
        <v>2.4711523612004589</v>
      </c>
      <c r="P6" s="33">
        <v>24.706198014488866</v>
      </c>
      <c r="Q6" s="35">
        <v>6</v>
      </c>
      <c r="R6" s="31">
        <v>21</v>
      </c>
      <c r="S6" s="31">
        <v>47</v>
      </c>
      <c r="T6" s="31">
        <v>16</v>
      </c>
      <c r="U6" s="31">
        <v>-35995</v>
      </c>
      <c r="V6" s="34">
        <v>1.080531043107896</v>
      </c>
      <c r="W6" s="33">
        <v>1</v>
      </c>
      <c r="X6" s="31">
        <v>35995</v>
      </c>
      <c r="Y6" s="34">
        <v>255.81330740380608</v>
      </c>
      <c r="Z6" s="33">
        <v>2888.1322405889705</v>
      </c>
      <c r="AA6" s="89">
        <v>23.776882732406026</v>
      </c>
      <c r="AB6" s="33">
        <v>0.77812257994636702</v>
      </c>
      <c r="AC6" s="33">
        <v>86157.433347629893</v>
      </c>
      <c r="AD6" s="84">
        <v>144.51765322177073</v>
      </c>
      <c r="AE6" s="11">
        <f>(Opti_Salidas__30_INS_1[[#This Row],[All: TS Index]]-Z$47) /ABS(Z$47)</f>
        <v>-0.6134938632121435</v>
      </c>
      <c r="AF6" s="11">
        <f>(Opti_Salidas__30_INS_1[[#This Row],[All: Expectancy Score]]-AA$47) /ABS(AA$47)</f>
        <v>0</v>
      </c>
      <c r="AG6" s="11"/>
      <c r="AH6" s="11">
        <f>(Opti_Salidas__30_INS_1[[#This Row],[All: Perfect Profit Correlation]]-AC$47) /ABS(AC$47)</f>
        <v>-0.55042641950564131</v>
      </c>
      <c r="AI6" s="11">
        <f>(Opti_Salidas__30_INS_1[[#This Row],[All: Robustness Index]]-AD$47) /ABS(AD$47)</f>
        <v>-0.45327871815345838</v>
      </c>
      <c r="AJ6" s="11">
        <f>SUM(Opti_Salidas__30_INS_1[[#This Row],[VAR TS Index]:[VAR Robustness Index]])</f>
        <v>-1.6171990008712431</v>
      </c>
      <c r="AK6" s="11">
        <f>Opti_Salidas__30_INS_1[[#This Row],[SUMA]]-Opti_Salidas__30_INS_1[[#This Row],[VAR Robustness Index]]</f>
        <v>-1.1639202827177848</v>
      </c>
      <c r="AL6" s="11"/>
    </row>
    <row r="7" spans="1:38" x14ac:dyDescent="0.25">
      <c r="A7" s="11"/>
      <c r="B7" s="96">
        <v>29</v>
      </c>
      <c r="C7" s="96">
        <v>30</v>
      </c>
      <c r="D7" s="96">
        <v>196220</v>
      </c>
      <c r="E7" s="10">
        <v>1653690</v>
      </c>
      <c r="F7" s="10">
        <v>-1457470</v>
      </c>
      <c r="G7" s="10">
        <v>3727</v>
      </c>
      <c r="H7" s="96">
        <v>35.363563187550305</v>
      </c>
      <c r="I7" s="11">
        <v>1318</v>
      </c>
      <c r="J7" s="96">
        <v>2391</v>
      </c>
      <c r="K7" s="96">
        <v>8220</v>
      </c>
      <c r="L7" s="12">
        <v>-6540</v>
      </c>
      <c r="M7" s="12">
        <v>1254.696533203125</v>
      </c>
      <c r="N7" s="12">
        <v>-609.5650634765625</v>
      </c>
      <c r="O7" s="12">
        <v>2.0583471861841169</v>
      </c>
      <c r="P7" s="11">
        <v>52.648242554333244</v>
      </c>
      <c r="Q7" s="13">
        <v>9</v>
      </c>
      <c r="R7" s="96">
        <v>12</v>
      </c>
      <c r="S7" s="96">
        <v>67</v>
      </c>
      <c r="T7" s="96">
        <v>24</v>
      </c>
      <c r="U7" s="96">
        <v>-41875</v>
      </c>
      <c r="V7" s="12">
        <v>1.13463055843345</v>
      </c>
      <c r="W7" s="11">
        <v>1</v>
      </c>
      <c r="X7" s="96">
        <v>41875</v>
      </c>
      <c r="Y7" s="12">
        <v>468.58507462686566</v>
      </c>
      <c r="Z7" s="11">
        <v>6175.9512835820897</v>
      </c>
      <c r="AA7" s="86">
        <v>1.709536203228015</v>
      </c>
      <c r="AB7" s="11">
        <v>1.804755808151679</v>
      </c>
      <c r="AC7" s="11">
        <v>176283.2961268097</v>
      </c>
      <c r="AD7" s="81">
        <v>91.125178867503195</v>
      </c>
      <c r="AE7" s="11">
        <f>(Opti_Salidas__30_INS_1[[#This Row],[All: TS Index]]-Z$47) /ABS(Z$47)</f>
        <v>-0.17349938549886745</v>
      </c>
      <c r="AF7" s="11">
        <f>(Opti_Salidas__30_INS_1[[#This Row],[All: Expectancy Score]]-AA$47) /ABS(AA$47)</f>
        <v>-0.92810091118891491</v>
      </c>
      <c r="AG7" s="11"/>
      <c r="AH7" s="11">
        <f>(Opti_Salidas__30_INS_1[[#This Row],[All: Perfect Profit Correlation]]-AC$47) /ABS(AC$47)</f>
        <v>-8.014538569982467E-2</v>
      </c>
      <c r="AI7" s="11">
        <f>(Opti_Salidas__30_INS_1[[#This Row],[All: Robustness Index]]-AD$47) /ABS(AD$47)</f>
        <v>-0.65526651251051704</v>
      </c>
      <c r="AJ7" s="11">
        <f>SUM(Opti_Salidas__30_INS_1[[#This Row],[VAR TS Index]:[VAR Robustness Index]])</f>
        <v>-1.837012194898124</v>
      </c>
      <c r="AK7" s="11">
        <f>Opti_Salidas__30_INS_1[[#This Row],[SUMA]]-Opti_Salidas__30_INS_1[[#This Row],[VAR Robustness Index]]</f>
        <v>-1.1817456823876069</v>
      </c>
      <c r="AL7" s="11"/>
    </row>
    <row r="8" spans="1:38" x14ac:dyDescent="0.25">
      <c r="A8" s="11"/>
      <c r="B8" s="96">
        <v>9</v>
      </c>
      <c r="C8" s="96">
        <v>10</v>
      </c>
      <c r="D8" s="96">
        <v>190610</v>
      </c>
      <c r="E8" s="10">
        <v>1633570</v>
      </c>
      <c r="F8" s="10">
        <v>-1442960</v>
      </c>
      <c r="G8" s="10">
        <v>3727</v>
      </c>
      <c r="H8" s="96">
        <v>35.605044271532066</v>
      </c>
      <c r="I8" s="11">
        <v>1327</v>
      </c>
      <c r="J8" s="96">
        <v>2384</v>
      </c>
      <c r="K8" s="96">
        <v>22940</v>
      </c>
      <c r="L8" s="12">
        <v>-5640</v>
      </c>
      <c r="M8" s="12">
        <v>1231.02490234375</v>
      </c>
      <c r="N8" s="12">
        <v>-605.2684326171875</v>
      </c>
      <c r="O8" s="12">
        <v>2.0338495054512991</v>
      </c>
      <c r="P8" s="11">
        <v>51.143010464180307</v>
      </c>
      <c r="Q8" s="13">
        <v>9</v>
      </c>
      <c r="R8" s="96">
        <v>12</v>
      </c>
      <c r="S8" s="96">
        <v>60</v>
      </c>
      <c r="T8" s="96">
        <v>23</v>
      </c>
      <c r="U8" s="96">
        <v>-37915</v>
      </c>
      <c r="V8" s="12">
        <v>1.1320965238121641</v>
      </c>
      <c r="W8" s="11">
        <v>1</v>
      </c>
      <c r="X8" s="96">
        <v>37915</v>
      </c>
      <c r="Y8" s="12">
        <v>502.72979032045367</v>
      </c>
      <c r="Z8" s="11">
        <v>6671.22431755242</v>
      </c>
      <c r="AA8" s="86">
        <v>0.24623475862640101</v>
      </c>
      <c r="AB8" s="11">
        <v>1.753191846171049</v>
      </c>
      <c r="AC8" s="11">
        <v>172345.92134178986</v>
      </c>
      <c r="AD8" s="81">
        <v>116.90700371547173</v>
      </c>
      <c r="AE8" s="11">
        <f>(Opti_Salidas__30_INS_1[[#This Row],[All: TS Index]]-Z$47) /ABS(Z$47)</f>
        <v>-0.10721915624730241</v>
      </c>
      <c r="AF8" s="11">
        <f>(Opti_Salidas__30_INS_1[[#This Row],[All: Expectancy Score]]-AA$47) /ABS(AA$47)</f>
        <v>-0.98964394275744139</v>
      </c>
      <c r="AG8" s="11"/>
      <c r="AH8" s="11">
        <f>(Opti_Salidas__30_INS_1[[#This Row],[All: Perfect Profit Correlation]]-AC$47) /ABS(AC$47)</f>
        <v>-0.10069079439030153</v>
      </c>
      <c r="AI8" s="11">
        <f>(Opti_Salidas__30_INS_1[[#This Row],[All: Robustness Index]]-AD$47) /ABS(AD$47)</f>
        <v>-0.55773190677211604</v>
      </c>
      <c r="AJ8" s="11">
        <f>SUM(Opti_Salidas__30_INS_1[[#This Row],[VAR TS Index]:[VAR Robustness Index]])</f>
        <v>-1.7552858001671614</v>
      </c>
      <c r="AK8" s="11">
        <f>Opti_Salidas__30_INS_1[[#This Row],[SUMA]]-Opti_Salidas__30_INS_1[[#This Row],[VAR Robustness Index]]</f>
        <v>-1.1975538933950454</v>
      </c>
      <c r="AL8" s="11"/>
    </row>
    <row r="9" spans="1:38" x14ac:dyDescent="0.25">
      <c r="A9" s="11"/>
      <c r="B9" s="96">
        <v>19</v>
      </c>
      <c r="C9" s="96">
        <v>20</v>
      </c>
      <c r="D9" s="96">
        <v>180000</v>
      </c>
      <c r="E9" s="10">
        <v>1611860</v>
      </c>
      <c r="F9" s="10">
        <v>-1431860</v>
      </c>
      <c r="G9" s="10">
        <v>3727</v>
      </c>
      <c r="H9" s="96">
        <v>35.739200429299707</v>
      </c>
      <c r="I9" s="11">
        <v>1332</v>
      </c>
      <c r="J9" s="96">
        <v>2382</v>
      </c>
      <c r="K9" s="96">
        <v>16960</v>
      </c>
      <c r="L9" s="12">
        <v>-5640</v>
      </c>
      <c r="M9" s="12">
        <v>1210.1051025390625</v>
      </c>
      <c r="N9" s="12">
        <v>-601.11669921875</v>
      </c>
      <c r="O9" s="12">
        <v>2.0130951346249288</v>
      </c>
      <c r="P9" s="11">
        <v>48.296216796350954</v>
      </c>
      <c r="Q9" s="13">
        <v>6</v>
      </c>
      <c r="R9" s="96">
        <v>12</v>
      </c>
      <c r="S9" s="96">
        <v>53</v>
      </c>
      <c r="T9" s="96">
        <v>23</v>
      </c>
      <c r="U9" s="96">
        <v>-37555</v>
      </c>
      <c r="V9" s="12">
        <v>1.125710614166189</v>
      </c>
      <c r="W9" s="11">
        <v>1</v>
      </c>
      <c r="X9" s="96">
        <v>37555</v>
      </c>
      <c r="Y9" s="12">
        <v>479.29703102116895</v>
      </c>
      <c r="Z9" s="11">
        <v>6384.2364532019701</v>
      </c>
      <c r="AA9" s="86">
        <v>2.1307243756684939</v>
      </c>
      <c r="AB9" s="11">
        <v>1.651732522632543</v>
      </c>
      <c r="AC9" s="11">
        <v>159245.28366459953</v>
      </c>
      <c r="AD9" s="81">
        <v>120.14241558465027</v>
      </c>
      <c r="AE9" s="11">
        <f>(Opti_Salidas__30_INS_1[[#This Row],[All: TS Index]]-Z$47) /ABS(Z$47)</f>
        <v>-0.14562549000038208</v>
      </c>
      <c r="AF9" s="11">
        <f>(Opti_Salidas__30_INS_1[[#This Row],[All: Expectancy Score]]-AA$47) /ABS(AA$47)</f>
        <v>-0.91038672311890223</v>
      </c>
      <c r="AG9" s="11"/>
      <c r="AH9" s="11">
        <f>(Opti_Salidas__30_INS_1[[#This Row],[All: Perfect Profit Correlation]]-AC$47) /ABS(AC$47)</f>
        <v>-0.16905054419308249</v>
      </c>
      <c r="AI9" s="11">
        <f>(Opti_Salidas__30_INS_1[[#This Row],[All: Robustness Index]]-AD$47) /ABS(AD$47)</f>
        <v>-0.54549209741329407</v>
      </c>
      <c r="AJ9" s="11">
        <f>SUM(Opti_Salidas__30_INS_1[[#This Row],[VAR TS Index]:[VAR Robustness Index]])</f>
        <v>-1.7705548547256611</v>
      </c>
      <c r="AK9" s="11">
        <f>Opti_Salidas__30_INS_1[[#This Row],[SUMA]]-Opti_Salidas__30_INS_1[[#This Row],[VAR Robustness Index]]</f>
        <v>-1.2250627573123669</v>
      </c>
      <c r="AL9" s="11"/>
    </row>
    <row r="10" spans="1:38" x14ac:dyDescent="0.25">
      <c r="A10" s="11"/>
      <c r="B10" s="96">
        <v>4</v>
      </c>
      <c r="C10" s="96">
        <v>5</v>
      </c>
      <c r="D10" s="96">
        <v>190580</v>
      </c>
      <c r="E10" s="10">
        <v>1646850</v>
      </c>
      <c r="F10" s="10">
        <v>-1456270</v>
      </c>
      <c r="G10" s="10">
        <v>3727</v>
      </c>
      <c r="H10" s="96">
        <v>35.390394419103835</v>
      </c>
      <c r="I10" s="11">
        <v>1319</v>
      </c>
      <c r="J10" s="96">
        <v>2390</v>
      </c>
      <c r="K10" s="96">
        <v>7470</v>
      </c>
      <c r="L10" s="12">
        <v>-5640</v>
      </c>
      <c r="M10" s="12">
        <v>1248.5595703125</v>
      </c>
      <c r="N10" s="12">
        <v>-609.3179931640625</v>
      </c>
      <c r="O10" s="12">
        <v>2.0491099628110239</v>
      </c>
      <c r="P10" s="11">
        <v>51.134961094714249</v>
      </c>
      <c r="Q10" s="13">
        <v>9</v>
      </c>
      <c r="R10" s="96">
        <v>12</v>
      </c>
      <c r="S10" s="96">
        <v>67</v>
      </c>
      <c r="T10" s="96">
        <v>24</v>
      </c>
      <c r="U10" s="96">
        <v>-43115</v>
      </c>
      <c r="V10" s="12">
        <v>1.1308685889292509</v>
      </c>
      <c r="W10" s="11">
        <v>1</v>
      </c>
      <c r="X10" s="96">
        <v>43115</v>
      </c>
      <c r="Y10" s="12">
        <v>442.02713672735706</v>
      </c>
      <c r="Z10" s="11">
        <v>5830.3379334338397</v>
      </c>
      <c r="AA10" s="86">
        <v>1.912962985681097</v>
      </c>
      <c r="AB10" s="11">
        <v>1.7502287634583029</v>
      </c>
      <c r="AC10" s="11">
        <v>169023.29052683487</v>
      </c>
      <c r="AD10" s="81">
        <v>86.328904869802784</v>
      </c>
      <c r="AE10" s="11">
        <f>(Opti_Salidas__30_INS_1[[#This Row],[All: TS Index]]-Z$47) /ABS(Z$47)</f>
        <v>-0.21975131223227348</v>
      </c>
      <c r="AF10" s="11">
        <f>(Opti_Salidas__30_INS_1[[#This Row],[All: Expectancy Score]]-AA$47) /ABS(AA$47)</f>
        <v>-0.91954525716384683</v>
      </c>
      <c r="AG10" s="11"/>
      <c r="AH10" s="11">
        <f>(Opti_Salidas__30_INS_1[[#This Row],[All: Perfect Profit Correlation]]-AC$47) /ABS(AC$47)</f>
        <v>-0.11802843983887379</v>
      </c>
      <c r="AI10" s="11">
        <f>(Opti_Salidas__30_INS_1[[#This Row],[All: Robustness Index]]-AD$47) /ABS(AD$47)</f>
        <v>-0.67341118210383</v>
      </c>
      <c r="AJ10" s="11">
        <f>SUM(Opti_Salidas__30_INS_1[[#This Row],[VAR TS Index]:[VAR Robustness Index]])</f>
        <v>-1.9307361913388241</v>
      </c>
      <c r="AK10" s="11">
        <f>Opti_Salidas__30_INS_1[[#This Row],[SUMA]]-Opti_Salidas__30_INS_1[[#This Row],[VAR Robustness Index]]</f>
        <v>-1.2573250092349941</v>
      </c>
      <c r="AL10" s="11"/>
    </row>
    <row r="11" spans="1:38" x14ac:dyDescent="0.25">
      <c r="A11" s="11"/>
      <c r="B11" s="96">
        <v>14</v>
      </c>
      <c r="C11" s="96">
        <v>15</v>
      </c>
      <c r="D11" s="96">
        <v>180190</v>
      </c>
      <c r="E11" s="10">
        <v>1623520</v>
      </c>
      <c r="F11" s="10">
        <v>-1443330</v>
      </c>
      <c r="G11" s="10">
        <v>3727</v>
      </c>
      <c r="H11" s="96">
        <v>35.336731955996783</v>
      </c>
      <c r="I11" s="11">
        <v>1317</v>
      </c>
      <c r="J11" s="96">
        <v>2392</v>
      </c>
      <c r="K11" s="96">
        <v>16750</v>
      </c>
      <c r="L11" s="12">
        <v>-3860</v>
      </c>
      <c r="M11" s="12">
        <v>1232.7410888671875</v>
      </c>
      <c r="N11" s="12">
        <v>-603.3988037109375</v>
      </c>
      <c r="O11" s="12">
        <v>2.0429955798482839</v>
      </c>
      <c r="P11" s="11">
        <v>48.347196136302657</v>
      </c>
      <c r="Q11" s="13">
        <v>9</v>
      </c>
      <c r="R11" s="96">
        <v>12</v>
      </c>
      <c r="S11" s="96">
        <v>68</v>
      </c>
      <c r="T11" s="96">
        <v>24</v>
      </c>
      <c r="U11" s="96">
        <v>-42085</v>
      </c>
      <c r="V11" s="12">
        <v>1.1248432444416729</v>
      </c>
      <c r="W11" s="11">
        <v>1</v>
      </c>
      <c r="X11" s="96">
        <v>42085</v>
      </c>
      <c r="Y11" s="12">
        <v>428.15730070096231</v>
      </c>
      <c r="Z11" s="11">
        <v>5638.8316502316738</v>
      </c>
      <c r="AA11" s="86">
        <v>1.477798822587242</v>
      </c>
      <c r="AB11" s="11">
        <v>1.6496429296665081</v>
      </c>
      <c r="AC11" s="11">
        <v>160138.2223250941</v>
      </c>
      <c r="AD11" s="81">
        <v>84.301080853352587</v>
      </c>
      <c r="AE11" s="11">
        <f>(Opti_Salidas__30_INS_1[[#This Row],[All: TS Index]]-Z$47) /ABS(Z$47)</f>
        <v>-0.24537976256804339</v>
      </c>
      <c r="AF11" s="11">
        <f>(Opti_Salidas__30_INS_1[[#This Row],[All: Expectancy Score]]-AA$47) /ABS(AA$47)</f>
        <v>-0.93784724266763875</v>
      </c>
      <c r="AG11" s="11"/>
      <c r="AH11" s="11">
        <f>(Opti_Salidas__30_INS_1[[#This Row],[All: Perfect Profit Correlation]]-AC$47) /ABS(AC$47)</f>
        <v>-0.16439114783965775</v>
      </c>
      <c r="AI11" s="11">
        <f>(Opti_Salidas__30_INS_1[[#This Row],[All: Robustness Index]]-AD$47) /ABS(AD$47)</f>
        <v>-0.68108259470234189</v>
      </c>
      <c r="AJ11" s="11">
        <f>SUM(Opti_Salidas__30_INS_1[[#This Row],[VAR TS Index]:[VAR Robustness Index]])</f>
        <v>-2.0287007477776817</v>
      </c>
      <c r="AK11" s="11">
        <f>Opti_Salidas__30_INS_1[[#This Row],[SUMA]]-Opti_Salidas__30_INS_1[[#This Row],[VAR Robustness Index]]</f>
        <v>-1.3476181530753397</v>
      </c>
      <c r="AL11" s="11"/>
    </row>
    <row r="12" spans="1:38" x14ac:dyDescent="0.25">
      <c r="A12" s="11"/>
      <c r="B12" s="96">
        <v>16</v>
      </c>
      <c r="C12" s="96">
        <v>17</v>
      </c>
      <c r="D12" s="96">
        <v>158160</v>
      </c>
      <c r="E12" s="10">
        <v>1606170</v>
      </c>
      <c r="F12" s="10">
        <v>-1448010</v>
      </c>
      <c r="G12" s="10">
        <v>3727</v>
      </c>
      <c r="H12" s="96">
        <v>35.578213039978536</v>
      </c>
      <c r="I12" s="11">
        <v>1326</v>
      </c>
      <c r="J12" s="96">
        <v>2384</v>
      </c>
      <c r="K12" s="96">
        <v>3690</v>
      </c>
      <c r="L12" s="12">
        <v>-4990</v>
      </c>
      <c r="M12" s="12">
        <v>1211.28955078125</v>
      </c>
      <c r="N12" s="12">
        <v>-607.38671875</v>
      </c>
      <c r="O12" s="12">
        <v>1.994264137474195</v>
      </c>
      <c r="P12" s="11">
        <v>42.43627582506037</v>
      </c>
      <c r="Q12" s="13">
        <v>9</v>
      </c>
      <c r="R12" s="96">
        <v>12</v>
      </c>
      <c r="S12" s="96">
        <v>55</v>
      </c>
      <c r="T12" s="96">
        <v>24</v>
      </c>
      <c r="U12" s="96">
        <v>-33065</v>
      </c>
      <c r="V12" s="12">
        <v>1.1092257650154349</v>
      </c>
      <c r="W12" s="11">
        <v>1</v>
      </c>
      <c r="X12" s="96">
        <v>33065</v>
      </c>
      <c r="Y12" s="12">
        <v>478.33056101618024</v>
      </c>
      <c r="Z12" s="11">
        <v>6342.6632390745499</v>
      </c>
      <c r="AA12" s="86">
        <v>2.0268190308453171</v>
      </c>
      <c r="AB12" s="11">
        <v>1.4370815841155871</v>
      </c>
      <c r="AC12" s="11">
        <v>136644.17956758605</v>
      </c>
      <c r="AD12" s="81">
        <v>103.75924446496177</v>
      </c>
      <c r="AE12" s="11">
        <f>(Opti_Salidas__30_INS_1[[#This Row],[All: TS Index]]-Z$47) /ABS(Z$47)</f>
        <v>-0.15118905186241327</v>
      </c>
      <c r="AF12" s="11">
        <f>(Opti_Salidas__30_INS_1[[#This Row],[All: Expectancy Score]]-AA$47) /ABS(AA$47)</f>
        <v>-0.91475673856594664</v>
      </c>
      <c r="AG12" s="11"/>
      <c r="AH12" s="11">
        <f>(Opti_Salidas__30_INS_1[[#This Row],[All: Perfect Profit Correlation]]-AC$47) /ABS(AC$47)</f>
        <v>-0.28698417913579038</v>
      </c>
      <c r="AI12" s="11">
        <f>(Opti_Salidas__30_INS_1[[#This Row],[All: Robustness Index]]-AD$47) /ABS(AD$47)</f>
        <v>-0.60747088073551048</v>
      </c>
      <c r="AJ12" s="11">
        <f>SUM(Opti_Salidas__30_INS_1[[#This Row],[VAR TS Index]:[VAR Robustness Index]])</f>
        <v>-1.9604008502996606</v>
      </c>
      <c r="AK12" s="11">
        <f>Opti_Salidas__30_INS_1[[#This Row],[SUMA]]-Opti_Salidas__30_INS_1[[#This Row],[VAR Robustness Index]]</f>
        <v>-1.3529299695641501</v>
      </c>
      <c r="AL12" s="11"/>
    </row>
    <row r="13" spans="1:38" x14ac:dyDescent="0.25">
      <c r="A13" s="11"/>
      <c r="B13" s="96">
        <v>15</v>
      </c>
      <c r="C13" s="96">
        <v>16</v>
      </c>
      <c r="D13" s="96">
        <v>177650</v>
      </c>
      <c r="E13" s="10">
        <v>1634770</v>
      </c>
      <c r="F13" s="10">
        <v>-1457120</v>
      </c>
      <c r="G13" s="10">
        <v>3727</v>
      </c>
      <c r="H13" s="96">
        <v>35.363563187550305</v>
      </c>
      <c r="I13" s="11">
        <v>1318</v>
      </c>
      <c r="J13" s="96">
        <v>2391</v>
      </c>
      <c r="K13" s="96">
        <v>7970</v>
      </c>
      <c r="L13" s="12">
        <v>-4030</v>
      </c>
      <c r="M13" s="12">
        <v>1240.3414306640625</v>
      </c>
      <c r="N13" s="12">
        <v>-609.41864013671875</v>
      </c>
      <c r="O13" s="12">
        <v>2.0352863351632968</v>
      </c>
      <c r="P13" s="11">
        <v>47.665682854843034</v>
      </c>
      <c r="Q13" s="13">
        <v>9</v>
      </c>
      <c r="R13" s="96">
        <v>12</v>
      </c>
      <c r="S13" s="96">
        <v>68</v>
      </c>
      <c r="T13" s="96">
        <v>24</v>
      </c>
      <c r="U13" s="96">
        <v>-46315</v>
      </c>
      <c r="V13" s="12">
        <v>1.1219185791149671</v>
      </c>
      <c r="W13" s="11">
        <v>1</v>
      </c>
      <c r="X13" s="96">
        <v>46315</v>
      </c>
      <c r="Y13" s="12">
        <v>383.5690381086041</v>
      </c>
      <c r="Z13" s="11">
        <v>5055.4399222714028</v>
      </c>
      <c r="AA13" s="86">
        <v>1.7742496668558929</v>
      </c>
      <c r="AB13" s="11">
        <v>1.624195738584411</v>
      </c>
      <c r="AC13" s="11">
        <v>152113.56407939046</v>
      </c>
      <c r="AD13" s="81">
        <v>89.236631937280052</v>
      </c>
      <c r="AE13" s="11">
        <f>(Opti_Salidas__30_INS_1[[#This Row],[All: TS Index]]-Z$47) /ABS(Z$47)</f>
        <v>-0.32345253217291919</v>
      </c>
      <c r="AF13" s="11">
        <f>(Opti_Salidas__30_INS_1[[#This Row],[All: Expectancy Score]]-AA$47) /ABS(AA$47)</f>
        <v>-0.92537921447382454</v>
      </c>
      <c r="AG13" s="11"/>
      <c r="AH13" s="11">
        <f>(Opti_Salidas__30_INS_1[[#This Row],[All: Perfect Profit Correlation]]-AC$47) /ABS(AC$47)</f>
        <v>-0.20626419581229455</v>
      </c>
      <c r="AI13" s="11">
        <f>(Opti_Salidas__30_INS_1[[#This Row],[All: Robustness Index]]-AD$47) /ABS(AD$47)</f>
        <v>-0.66241102929100004</v>
      </c>
      <c r="AJ13" s="11">
        <f>SUM(Opti_Salidas__30_INS_1[[#This Row],[VAR TS Index]:[VAR Robustness Index]])</f>
        <v>-2.1175069717500383</v>
      </c>
      <c r="AK13" s="11">
        <f>Opti_Salidas__30_INS_1[[#This Row],[SUMA]]-Opti_Salidas__30_INS_1[[#This Row],[VAR Robustness Index]]</f>
        <v>-1.4550959424590384</v>
      </c>
      <c r="AL13" s="11"/>
    </row>
    <row r="14" spans="1:38" x14ac:dyDescent="0.25">
      <c r="A14" s="11"/>
      <c r="B14" s="96">
        <v>30</v>
      </c>
      <c r="C14" s="96">
        <v>31</v>
      </c>
      <c r="D14" s="96">
        <v>170170</v>
      </c>
      <c r="E14" s="10">
        <v>1617340</v>
      </c>
      <c r="F14" s="10">
        <v>-1447170</v>
      </c>
      <c r="G14" s="10">
        <v>3727</v>
      </c>
      <c r="H14" s="96">
        <v>34.98792594580091</v>
      </c>
      <c r="I14" s="11">
        <v>1304</v>
      </c>
      <c r="J14" s="96">
        <v>2405</v>
      </c>
      <c r="K14" s="96">
        <v>7970</v>
      </c>
      <c r="L14" s="12">
        <v>-4030</v>
      </c>
      <c r="M14" s="12">
        <v>1240.2913818359375</v>
      </c>
      <c r="N14" s="12">
        <v>-601.73388671875</v>
      </c>
      <c r="O14" s="12">
        <v>2.0611958362511982</v>
      </c>
      <c r="P14" s="11">
        <v>45.658706734639118</v>
      </c>
      <c r="Q14" s="13">
        <v>9</v>
      </c>
      <c r="R14" s="96">
        <v>12</v>
      </c>
      <c r="S14" s="96">
        <v>67</v>
      </c>
      <c r="T14" s="96">
        <v>24</v>
      </c>
      <c r="U14" s="96">
        <v>-43675</v>
      </c>
      <c r="V14" s="12">
        <v>1.117588120262305</v>
      </c>
      <c r="W14" s="11">
        <v>1</v>
      </c>
      <c r="X14" s="96">
        <v>43675</v>
      </c>
      <c r="Y14" s="12">
        <v>389.62793360045794</v>
      </c>
      <c r="Z14" s="11">
        <v>5080.7482541499712</v>
      </c>
      <c r="AA14" s="86">
        <v>1.608250457924266</v>
      </c>
      <c r="AB14" s="11">
        <v>1.548914219068102</v>
      </c>
      <c r="AC14" s="11">
        <v>146787.70929850341</v>
      </c>
      <c r="AD14" s="81">
        <v>96.477417888952971</v>
      </c>
      <c r="AE14" s="11">
        <f>(Opti_Salidas__30_INS_1[[#This Row],[All: TS Index]]-Z$47) /ABS(Z$47)</f>
        <v>-0.32006562853829351</v>
      </c>
      <c r="AF14" s="11">
        <f>(Opti_Salidas__30_INS_1[[#This Row],[All: Expectancy Score]]-AA$47) /ABS(AA$47)</f>
        <v>-0.93236075241552385</v>
      </c>
      <c r="AG14" s="11"/>
      <c r="AH14" s="11">
        <f>(Opti_Salidas__30_INS_1[[#This Row],[All: Perfect Profit Correlation]]-AC$47) /ABS(AC$47)</f>
        <v>-0.23405475908703324</v>
      </c>
      <c r="AI14" s="11">
        <f>(Opti_Salidas__30_INS_1[[#This Row],[All: Robustness Index]]-AD$47) /ABS(AD$47)</f>
        <v>-0.63501858491605423</v>
      </c>
      <c r="AJ14" s="11">
        <f>SUM(Opti_Salidas__30_INS_1[[#This Row],[VAR TS Index]:[VAR Robustness Index]])</f>
        <v>-2.1214997249569048</v>
      </c>
      <c r="AK14" s="11">
        <f>Opti_Salidas__30_INS_1[[#This Row],[SUMA]]-Opti_Salidas__30_INS_1[[#This Row],[VAR Robustness Index]]</f>
        <v>-1.4864811400408504</v>
      </c>
      <c r="AL14" s="11"/>
    </row>
    <row r="15" spans="1:38" x14ac:dyDescent="0.25">
      <c r="A15" s="11"/>
      <c r="B15" s="96">
        <v>5</v>
      </c>
      <c r="C15" s="96">
        <v>6</v>
      </c>
      <c r="D15" s="96">
        <v>147220</v>
      </c>
      <c r="E15" s="10">
        <v>1594720</v>
      </c>
      <c r="F15" s="10">
        <v>-1447500</v>
      </c>
      <c r="G15" s="10">
        <v>3727</v>
      </c>
      <c r="H15" s="96">
        <v>35.605044271532066</v>
      </c>
      <c r="I15" s="11">
        <v>1327</v>
      </c>
      <c r="J15" s="96">
        <v>2383</v>
      </c>
      <c r="K15" s="96">
        <v>3510</v>
      </c>
      <c r="L15" s="12">
        <v>-5640</v>
      </c>
      <c r="M15" s="12">
        <v>1201.748291015625</v>
      </c>
      <c r="N15" s="12">
        <v>-607.4276123046875</v>
      </c>
      <c r="O15" s="12">
        <v>1.9784222295328</v>
      </c>
      <c r="P15" s="11">
        <v>39.500939093104371</v>
      </c>
      <c r="Q15" s="13">
        <v>9</v>
      </c>
      <c r="R15" s="96">
        <v>12</v>
      </c>
      <c r="S15" s="96">
        <v>54</v>
      </c>
      <c r="T15" s="96">
        <v>24</v>
      </c>
      <c r="U15" s="96">
        <v>-34775</v>
      </c>
      <c r="V15" s="12">
        <v>1.1017063903281521</v>
      </c>
      <c r="W15" s="11">
        <v>1</v>
      </c>
      <c r="X15" s="96">
        <v>34775</v>
      </c>
      <c r="Y15" s="12">
        <v>423.35010783608914</v>
      </c>
      <c r="Z15" s="11">
        <v>5617.8559309849034</v>
      </c>
      <c r="AA15" s="86">
        <v>1.989211923733903</v>
      </c>
      <c r="AB15" s="11">
        <v>1.3309487407831291</v>
      </c>
      <c r="AC15" s="11">
        <v>120934.55882583577</v>
      </c>
      <c r="AD15" s="81">
        <v>102.70486878900853</v>
      </c>
      <c r="AE15" s="11">
        <f>(Opti_Salidas__30_INS_1[[#This Row],[All: TS Index]]-Z$47) /ABS(Z$47)</f>
        <v>-0.24818685155741826</v>
      </c>
      <c r="AF15" s="11">
        <f>(Opti_Salidas__30_INS_1[[#This Row],[All: Expectancy Score]]-AA$47) /ABS(AA$47)</f>
        <v>-0.91633840541162426</v>
      </c>
      <c r="AG15" s="11"/>
      <c r="AH15" s="11">
        <f>(Opti_Salidas__30_INS_1[[#This Row],[All: Perfect Profit Correlation]]-AC$47) /ABS(AC$47)</f>
        <v>-0.36895772652061853</v>
      </c>
      <c r="AI15" s="11">
        <f>(Opti_Salidas__30_INS_1[[#This Row],[All: Robustness Index]]-AD$47) /ABS(AD$47)</f>
        <v>-0.6114596641696034</v>
      </c>
      <c r="AJ15" s="11">
        <f>SUM(Opti_Salidas__30_INS_1[[#This Row],[VAR TS Index]:[VAR Robustness Index]])</f>
        <v>-2.1449426476592643</v>
      </c>
      <c r="AK15" s="11">
        <f>Opti_Salidas__30_INS_1[[#This Row],[SUMA]]-Opti_Salidas__30_INS_1[[#This Row],[VAR Robustness Index]]</f>
        <v>-1.5334829834896611</v>
      </c>
      <c r="AL15" s="11"/>
    </row>
    <row r="16" spans="1:38" x14ac:dyDescent="0.25">
      <c r="A16" s="11"/>
      <c r="B16" s="96">
        <v>27</v>
      </c>
      <c r="C16" s="96">
        <v>28</v>
      </c>
      <c r="D16" s="96">
        <v>164610</v>
      </c>
      <c r="E16" s="10">
        <v>1612800</v>
      </c>
      <c r="F16" s="10">
        <v>-1448190</v>
      </c>
      <c r="G16" s="10">
        <v>3727</v>
      </c>
      <c r="H16" s="96">
        <v>34.98792594580091</v>
      </c>
      <c r="I16" s="11">
        <v>1304</v>
      </c>
      <c r="J16" s="96">
        <v>2406</v>
      </c>
      <c r="K16" s="96">
        <v>18780</v>
      </c>
      <c r="L16" s="12">
        <v>-5640</v>
      </c>
      <c r="M16" s="12">
        <v>1236.809814453125</v>
      </c>
      <c r="N16" s="12">
        <v>-601.90771484375</v>
      </c>
      <c r="O16" s="12">
        <v>2.0548163513308522</v>
      </c>
      <c r="P16" s="11">
        <v>44.166890260262946</v>
      </c>
      <c r="Q16" s="13">
        <v>9</v>
      </c>
      <c r="R16" s="96">
        <v>12</v>
      </c>
      <c r="S16" s="96">
        <v>68</v>
      </c>
      <c r="T16" s="96">
        <v>24</v>
      </c>
      <c r="U16" s="96">
        <v>-43845</v>
      </c>
      <c r="V16" s="12">
        <v>1.113666024485737</v>
      </c>
      <c r="W16" s="11">
        <v>1</v>
      </c>
      <c r="X16" s="96">
        <v>43845</v>
      </c>
      <c r="Y16" s="12">
        <v>375.43619568936026</v>
      </c>
      <c r="Z16" s="11">
        <v>4895.6879917892575</v>
      </c>
      <c r="AA16" s="86">
        <v>1.3198152591623249</v>
      </c>
      <c r="AB16" s="11">
        <v>1.4947180714366859</v>
      </c>
      <c r="AC16" s="11">
        <v>140906.66971775863</v>
      </c>
      <c r="AD16" s="81">
        <v>103.54922312697556</v>
      </c>
      <c r="AE16" s="11">
        <f>(Opti_Salidas__30_INS_1[[#This Row],[All: TS Index]]-Z$47) /ABS(Z$47)</f>
        <v>-0.34483143602895061</v>
      </c>
      <c r="AF16" s="11">
        <f>(Opti_Salidas__30_INS_1[[#This Row],[All: Expectancy Score]]-AA$47) /ABS(AA$47)</f>
        <v>-0.94449166133273132</v>
      </c>
      <c r="AG16" s="11"/>
      <c r="AH16" s="11">
        <f>(Opti_Salidas__30_INS_1[[#This Row],[All: Perfect Profit Correlation]]-AC$47) /ABS(AC$47)</f>
        <v>-0.26474230302391638</v>
      </c>
      <c r="AI16" s="11">
        <f>(Opti_Salidas__30_INS_1[[#This Row],[All: Robustness Index]]-AD$47) /ABS(AD$47)</f>
        <v>-0.60826540744251945</v>
      </c>
      <c r="AJ16" s="11">
        <f>SUM(Opti_Salidas__30_INS_1[[#This Row],[VAR TS Index]:[VAR Robustness Index]])</f>
        <v>-2.1623308078281176</v>
      </c>
      <c r="AK16" s="11">
        <f>Opti_Salidas__30_INS_1[[#This Row],[SUMA]]-Opti_Salidas__30_INS_1[[#This Row],[VAR Robustness Index]]</f>
        <v>-1.554065400385598</v>
      </c>
      <c r="AL16" s="11"/>
    </row>
    <row r="17" spans="1:38" x14ac:dyDescent="0.25">
      <c r="A17" s="11"/>
      <c r="B17" s="96">
        <v>0</v>
      </c>
      <c r="C17" s="96">
        <v>1</v>
      </c>
      <c r="D17" s="96">
        <v>166220</v>
      </c>
      <c r="E17" s="10">
        <v>1622610</v>
      </c>
      <c r="F17" s="10">
        <v>-1456390</v>
      </c>
      <c r="G17" s="10">
        <v>3727</v>
      </c>
      <c r="H17" s="96">
        <v>35.363563187550305</v>
      </c>
      <c r="I17" s="11">
        <v>1318</v>
      </c>
      <c r="J17" s="96">
        <v>2391</v>
      </c>
      <c r="K17" s="96">
        <v>18780</v>
      </c>
      <c r="L17" s="12">
        <v>-5640</v>
      </c>
      <c r="M17" s="12">
        <v>1231.1153564453125</v>
      </c>
      <c r="N17" s="12">
        <v>-609.11334228515625</v>
      </c>
      <c r="O17" s="12">
        <v>2.0211597267376331</v>
      </c>
      <c r="P17" s="11">
        <v>44.59887308827475</v>
      </c>
      <c r="Q17" s="13">
        <v>9</v>
      </c>
      <c r="R17" s="96">
        <v>12</v>
      </c>
      <c r="S17" s="96">
        <v>68</v>
      </c>
      <c r="T17" s="96">
        <v>24</v>
      </c>
      <c r="U17" s="96">
        <v>-46315</v>
      </c>
      <c r="V17" s="12">
        <v>1.1141315169700421</v>
      </c>
      <c r="W17" s="11">
        <v>1</v>
      </c>
      <c r="X17" s="96">
        <v>46315</v>
      </c>
      <c r="Y17" s="12">
        <v>358.89020835582426</v>
      </c>
      <c r="Z17" s="11">
        <v>4730.1729461297637</v>
      </c>
      <c r="AA17" s="86">
        <v>1.542470589926773</v>
      </c>
      <c r="AB17" s="11">
        <v>1.513095916059054</v>
      </c>
      <c r="AC17" s="11">
        <v>142555.02259397294</v>
      </c>
      <c r="AD17" s="81">
        <v>102.50413621313122</v>
      </c>
      <c r="AE17" s="11">
        <f>(Opti_Salidas__30_INS_1[[#This Row],[All: TS Index]]-Z$47) /ABS(Z$47)</f>
        <v>-0.36698159244459688</v>
      </c>
      <c r="AF17" s="11">
        <f>(Opti_Salidas__30_INS_1[[#This Row],[All: Expectancy Score]]-AA$47) /ABS(AA$47)</f>
        <v>-0.93512729960077967</v>
      </c>
      <c r="AG17" s="11"/>
      <c r="AH17" s="11">
        <f>(Opti_Salidas__30_INS_1[[#This Row],[All: Perfect Profit Correlation]]-AC$47) /ABS(AC$47)</f>
        <v>-0.2561411194036034</v>
      </c>
      <c r="AI17" s="11">
        <f>(Opti_Salidas__30_INS_1[[#This Row],[All: Robustness Index]]-AD$47) /ABS(AD$47)</f>
        <v>-0.61221905078255634</v>
      </c>
      <c r="AJ17" s="11">
        <f>SUM(Opti_Salidas__30_INS_1[[#This Row],[VAR TS Index]:[VAR Robustness Index]])</f>
        <v>-2.1704690622315361</v>
      </c>
      <c r="AK17" s="11">
        <f>Opti_Salidas__30_INS_1[[#This Row],[SUMA]]-Opti_Salidas__30_INS_1[[#This Row],[VAR Robustness Index]]</f>
        <v>-1.5582500114489797</v>
      </c>
      <c r="AL17" s="11"/>
    </row>
    <row r="18" spans="1:38" x14ac:dyDescent="0.25">
      <c r="A18" s="11"/>
      <c r="B18" s="96">
        <v>3</v>
      </c>
      <c r="C18" s="96">
        <v>4</v>
      </c>
      <c r="D18" s="96">
        <v>166000</v>
      </c>
      <c r="E18" s="10">
        <v>1622610</v>
      </c>
      <c r="F18" s="10">
        <v>-1456610</v>
      </c>
      <c r="G18" s="10">
        <v>3727</v>
      </c>
      <c r="H18" s="96">
        <v>35.363563187550305</v>
      </c>
      <c r="I18" s="11">
        <v>1318</v>
      </c>
      <c r="J18" s="96">
        <v>2391</v>
      </c>
      <c r="K18" s="96">
        <v>18780</v>
      </c>
      <c r="L18" s="12">
        <v>-5640</v>
      </c>
      <c r="M18" s="12">
        <v>1231.1153564453125</v>
      </c>
      <c r="N18" s="12">
        <v>-609.20538330078125</v>
      </c>
      <c r="O18" s="12">
        <v>2.0208543624071642</v>
      </c>
      <c r="P18" s="11">
        <v>44.539844378856991</v>
      </c>
      <c r="Q18" s="13">
        <v>9</v>
      </c>
      <c r="R18" s="96">
        <v>12</v>
      </c>
      <c r="S18" s="96">
        <v>68</v>
      </c>
      <c r="T18" s="96">
        <v>24</v>
      </c>
      <c r="U18" s="96">
        <v>-46315</v>
      </c>
      <c r="V18" s="12">
        <v>1.1139632434213691</v>
      </c>
      <c r="W18" s="11">
        <v>1</v>
      </c>
      <c r="X18" s="96">
        <v>46315</v>
      </c>
      <c r="Y18" s="12">
        <v>358.41520025909534</v>
      </c>
      <c r="Z18" s="11">
        <v>4723.9123394148764</v>
      </c>
      <c r="AA18" s="86">
        <v>1.539936432186038</v>
      </c>
      <c r="AB18" s="11">
        <v>1.510940907809774</v>
      </c>
      <c r="AC18" s="11">
        <v>142349.74267860092</v>
      </c>
      <c r="AD18" s="81">
        <v>102.66809791005937</v>
      </c>
      <c r="AE18" s="11">
        <f>(Opti_Salidas__30_INS_1[[#This Row],[All: TS Index]]-Z$47) /ABS(Z$47)</f>
        <v>-0.36781942212611651</v>
      </c>
      <c r="AF18" s="11">
        <f>(Opti_Salidas__30_INS_1[[#This Row],[All: Expectancy Score]]-AA$47) /ABS(AA$47)</f>
        <v>-0.93523388034011601</v>
      </c>
      <c r="AG18" s="11"/>
      <c r="AH18" s="11">
        <f>(Opti_Salidas__30_INS_1[[#This Row],[All: Perfect Profit Correlation]]-AC$47) /ABS(AC$47)</f>
        <v>-0.25721227975473659</v>
      </c>
      <c r="AI18" s="11">
        <f>(Opti_Salidas__30_INS_1[[#This Row],[All: Robustness Index]]-AD$47) /ABS(AD$47)</f>
        <v>-0.61159877120341921</v>
      </c>
      <c r="AJ18" s="11">
        <f>SUM(Opti_Salidas__30_INS_1[[#This Row],[VAR TS Index]:[VAR Robustness Index]])</f>
        <v>-2.1718643534243882</v>
      </c>
      <c r="AK18" s="11">
        <f>Opti_Salidas__30_INS_1[[#This Row],[SUMA]]-Opti_Salidas__30_INS_1[[#This Row],[VAR Robustness Index]]</f>
        <v>-1.560265582220969</v>
      </c>
      <c r="AL18" s="11"/>
    </row>
    <row r="19" spans="1:38" x14ac:dyDescent="0.25">
      <c r="A19" s="11"/>
      <c r="B19" s="96">
        <v>2</v>
      </c>
      <c r="C19" s="96">
        <v>3</v>
      </c>
      <c r="D19" s="96">
        <v>165980</v>
      </c>
      <c r="E19" s="10">
        <v>1622610</v>
      </c>
      <c r="F19" s="10">
        <v>-1456630</v>
      </c>
      <c r="G19" s="10">
        <v>3727</v>
      </c>
      <c r="H19" s="96">
        <v>35.363563187550305</v>
      </c>
      <c r="I19" s="11">
        <v>1318</v>
      </c>
      <c r="J19" s="96">
        <v>2391</v>
      </c>
      <c r="K19" s="96">
        <v>18780</v>
      </c>
      <c r="L19" s="12">
        <v>-5640</v>
      </c>
      <c r="M19" s="12">
        <v>1231.1153564453125</v>
      </c>
      <c r="N19" s="12">
        <v>-609.2137451171875</v>
      </c>
      <c r="O19" s="12">
        <v>2.020826624994315</v>
      </c>
      <c r="P19" s="11">
        <v>44.534478132546283</v>
      </c>
      <c r="Q19" s="13">
        <v>9</v>
      </c>
      <c r="R19" s="96">
        <v>12</v>
      </c>
      <c r="S19" s="96">
        <v>68</v>
      </c>
      <c r="T19" s="96">
        <v>24</v>
      </c>
      <c r="U19" s="96">
        <v>-46315</v>
      </c>
      <c r="V19" s="12">
        <v>1.113947948346526</v>
      </c>
      <c r="W19" s="11">
        <v>1</v>
      </c>
      <c r="X19" s="96">
        <v>46315</v>
      </c>
      <c r="Y19" s="12">
        <v>358.37201770484722</v>
      </c>
      <c r="Z19" s="11">
        <v>4723.3431933498869</v>
      </c>
      <c r="AA19" s="86">
        <v>1.5397064377587599</v>
      </c>
      <c r="AB19" s="11">
        <v>1.51074499796893</v>
      </c>
      <c r="AC19" s="11">
        <v>142234.82434361917</v>
      </c>
      <c r="AD19" s="81">
        <v>101.2887157053393</v>
      </c>
      <c r="AE19" s="11">
        <f>(Opti_Salidas__30_INS_1[[#This Row],[All: TS Index]]-Z$47) /ABS(Z$47)</f>
        <v>-0.36789558846080006</v>
      </c>
      <c r="AF19" s="11">
        <f>(Opti_Salidas__30_INS_1[[#This Row],[All: Expectancy Score]]-AA$47) /ABS(AA$47)</f>
        <v>-0.93524355336705844</v>
      </c>
      <c r="AG19" s="11"/>
      <c r="AH19" s="11">
        <f>(Opti_Salidas__30_INS_1[[#This Row],[All: Perfect Profit Correlation]]-AC$47) /ABS(AC$47)</f>
        <v>-0.25781192908637041</v>
      </c>
      <c r="AI19" s="11">
        <f>(Opti_Salidas__30_INS_1[[#This Row],[All: Robustness Index]]-AD$47) /ABS(AD$47)</f>
        <v>-0.61681707907314076</v>
      </c>
      <c r="AJ19" s="11">
        <f>SUM(Opti_Salidas__30_INS_1[[#This Row],[VAR TS Index]:[VAR Robustness Index]])</f>
        <v>-2.1777681499873696</v>
      </c>
      <c r="AK19" s="11">
        <f>Opti_Salidas__30_INS_1[[#This Row],[SUMA]]-Opti_Salidas__30_INS_1[[#This Row],[VAR Robustness Index]]</f>
        <v>-1.5609510709142289</v>
      </c>
      <c r="AL19" s="11"/>
    </row>
    <row r="20" spans="1:38" x14ac:dyDescent="0.25">
      <c r="A20" s="11"/>
      <c r="B20" s="96">
        <v>1</v>
      </c>
      <c r="C20" s="96">
        <v>2</v>
      </c>
      <c r="D20" s="96">
        <v>165020</v>
      </c>
      <c r="E20" s="10">
        <v>1622260</v>
      </c>
      <c r="F20" s="10">
        <v>-1457240</v>
      </c>
      <c r="G20" s="10">
        <v>3727</v>
      </c>
      <c r="H20" s="96">
        <v>35.336731955996783</v>
      </c>
      <c r="I20" s="11">
        <v>1317</v>
      </c>
      <c r="J20" s="96">
        <v>2392</v>
      </c>
      <c r="K20" s="96">
        <v>18780</v>
      </c>
      <c r="L20" s="12">
        <v>-4030</v>
      </c>
      <c r="M20" s="12">
        <v>1231.7843017578125</v>
      </c>
      <c r="N20" s="12">
        <v>-609.21405029296875</v>
      </c>
      <c r="O20" s="12">
        <v>2.0219236591235079</v>
      </c>
      <c r="P20" s="11">
        <v>44.276898309632415</v>
      </c>
      <c r="Q20" s="13">
        <v>9</v>
      </c>
      <c r="R20" s="96">
        <v>12</v>
      </c>
      <c r="S20" s="96">
        <v>68</v>
      </c>
      <c r="T20" s="96">
        <v>24</v>
      </c>
      <c r="U20" s="96">
        <v>-47245</v>
      </c>
      <c r="V20" s="12">
        <v>1.1132414701764981</v>
      </c>
      <c r="W20" s="11">
        <v>1</v>
      </c>
      <c r="X20" s="96">
        <v>47245</v>
      </c>
      <c r="Y20" s="12">
        <v>349.28563869192504</v>
      </c>
      <c r="Z20" s="11">
        <v>4600.0918615726532</v>
      </c>
      <c r="AA20" s="86">
        <v>1.5312860700606721</v>
      </c>
      <c r="AB20" s="11">
        <v>1.501134239022466</v>
      </c>
      <c r="AC20" s="11">
        <v>140707.45048475274</v>
      </c>
      <c r="AD20" s="81">
        <v>100.20945255789803</v>
      </c>
      <c r="AE20" s="11">
        <f>(Opti_Salidas__30_INS_1[[#This Row],[All: TS Index]]-Z$47) /ABS(Z$47)</f>
        <v>-0.38438977644488709</v>
      </c>
      <c r="AF20" s="11">
        <f>(Opti_Salidas__30_INS_1[[#This Row],[All: Expectancy Score]]-AA$47) /ABS(AA$47)</f>
        <v>-0.93559769431113649</v>
      </c>
      <c r="AG20" s="11"/>
      <c r="AH20" s="11">
        <f>(Opti_Salidas__30_INS_1[[#This Row],[All: Perfect Profit Correlation]]-AC$47) /ABS(AC$47)</f>
        <v>-0.26578183844652375</v>
      </c>
      <c r="AI20" s="11">
        <f>(Opti_Salidas__30_INS_1[[#This Row],[All: Robustness Index]]-AD$47) /ABS(AD$47)</f>
        <v>-0.62090001370613923</v>
      </c>
      <c r="AJ20" s="11">
        <f>SUM(Opti_Salidas__30_INS_1[[#This Row],[VAR TS Index]:[VAR Robustness Index]])</f>
        <v>-2.2066693229086867</v>
      </c>
      <c r="AK20" s="11">
        <f>Opti_Salidas__30_INS_1[[#This Row],[SUMA]]-Opti_Salidas__30_INS_1[[#This Row],[VAR Robustness Index]]</f>
        <v>-1.5857693092025476</v>
      </c>
      <c r="AL20" s="11"/>
    </row>
    <row r="21" spans="1:38" x14ac:dyDescent="0.25">
      <c r="A21" s="11"/>
      <c r="B21" s="96">
        <v>28</v>
      </c>
      <c r="C21" s="96">
        <v>29</v>
      </c>
      <c r="D21" s="96">
        <v>165060</v>
      </c>
      <c r="E21" s="10">
        <v>1620370</v>
      </c>
      <c r="F21" s="10">
        <v>-1455310</v>
      </c>
      <c r="G21" s="10">
        <v>3727</v>
      </c>
      <c r="H21" s="96">
        <v>35.283069492889723</v>
      </c>
      <c r="I21" s="11">
        <v>1315</v>
      </c>
      <c r="J21" s="96">
        <v>2394</v>
      </c>
      <c r="K21" s="96">
        <v>18780</v>
      </c>
      <c r="L21" s="12">
        <v>-5640</v>
      </c>
      <c r="M21" s="12">
        <v>1232.2205810546875</v>
      </c>
      <c r="N21" s="12">
        <v>-607.89892578125</v>
      </c>
      <c r="O21" s="12">
        <v>2.0270155593235861</v>
      </c>
      <c r="P21" s="11">
        <v>44.287630802253823</v>
      </c>
      <c r="Q21" s="13">
        <v>9</v>
      </c>
      <c r="R21" s="96">
        <v>12</v>
      </c>
      <c r="S21" s="96">
        <v>68</v>
      </c>
      <c r="T21" s="96">
        <v>24</v>
      </c>
      <c r="U21" s="96">
        <v>-46455</v>
      </c>
      <c r="V21" s="12">
        <v>1.113419134067656</v>
      </c>
      <c r="W21" s="11">
        <v>1</v>
      </c>
      <c r="X21" s="96">
        <v>46455</v>
      </c>
      <c r="Y21" s="12">
        <v>355.31159186309333</v>
      </c>
      <c r="Z21" s="11">
        <v>4672.347432999677</v>
      </c>
      <c r="AA21" s="86">
        <v>1.060312696297911</v>
      </c>
      <c r="AB21" s="11">
        <v>1.501196683963637</v>
      </c>
      <c r="AC21" s="11">
        <v>140380.37014094426</v>
      </c>
      <c r="AD21" s="81">
        <v>110.78752124862797</v>
      </c>
      <c r="AE21" s="11">
        <f>(Opti_Salidas__30_INS_1[[#This Row],[All: TS Index]]-Z$47) /ABS(Z$47)</f>
        <v>-0.37472012857309756</v>
      </c>
      <c r="AF21" s="11">
        <f>(Opti_Salidas__30_INS_1[[#This Row],[All: Expectancy Score]]-AA$47) /ABS(AA$47)</f>
        <v>-0.95540573134707918</v>
      </c>
      <c r="AG21" s="11"/>
      <c r="AH21" s="11">
        <f>(Opti_Salidas__30_INS_1[[#This Row],[All: Perfect Profit Correlation]]-AC$47) /ABS(AC$47)</f>
        <v>-0.2674885592199015</v>
      </c>
      <c r="AI21" s="11">
        <f>(Opti_Salidas__30_INS_1[[#This Row],[All: Robustness Index]]-AD$47) /ABS(AD$47)</f>
        <v>-0.58088237471789816</v>
      </c>
      <c r="AJ21" s="11">
        <f>SUM(Opti_Salidas__30_INS_1[[#This Row],[VAR TS Index]:[VAR Robustness Index]])</f>
        <v>-2.1784967938579762</v>
      </c>
      <c r="AK21" s="11">
        <f>Opti_Salidas__30_INS_1[[#This Row],[SUMA]]-Opti_Salidas__30_INS_1[[#This Row],[VAR Robustness Index]]</f>
        <v>-1.5976144191400781</v>
      </c>
      <c r="AL21" s="11"/>
    </row>
    <row r="22" spans="1:38" x14ac:dyDescent="0.25">
      <c r="A22" s="11"/>
      <c r="B22" s="96">
        <v>25</v>
      </c>
      <c r="C22" s="96">
        <v>26</v>
      </c>
      <c r="D22" s="96">
        <v>159150</v>
      </c>
      <c r="E22" s="10">
        <v>1605530</v>
      </c>
      <c r="F22" s="10">
        <v>-1446380</v>
      </c>
      <c r="G22" s="10">
        <v>3727</v>
      </c>
      <c r="H22" s="96">
        <v>34.96109471424738</v>
      </c>
      <c r="I22" s="11">
        <v>1303</v>
      </c>
      <c r="J22" s="96">
        <v>2406</v>
      </c>
      <c r="K22" s="96">
        <v>18780</v>
      </c>
      <c r="L22" s="12">
        <v>-3340</v>
      </c>
      <c r="M22" s="12">
        <v>1232.1795654296875</v>
      </c>
      <c r="N22" s="12">
        <v>-601.15545654296875</v>
      </c>
      <c r="O22" s="12">
        <v>2.0496854050290318</v>
      </c>
      <c r="P22" s="11">
        <v>42.701905017440303</v>
      </c>
      <c r="Q22" s="13">
        <v>9</v>
      </c>
      <c r="R22" s="96">
        <v>12</v>
      </c>
      <c r="S22" s="96">
        <v>68</v>
      </c>
      <c r="T22" s="96">
        <v>24</v>
      </c>
      <c r="U22" s="96">
        <v>-44665</v>
      </c>
      <c r="V22" s="12">
        <v>1.110033324575838</v>
      </c>
      <c r="W22" s="11">
        <v>1</v>
      </c>
      <c r="X22" s="96">
        <v>44665</v>
      </c>
      <c r="Y22" s="12">
        <v>356.31926564424043</v>
      </c>
      <c r="Z22" s="11">
        <v>4642.8400313444536</v>
      </c>
      <c r="AA22" s="86">
        <v>1.372831691983178</v>
      </c>
      <c r="AB22" s="11">
        <v>1.4415917304328181</v>
      </c>
      <c r="AC22" s="11">
        <v>137019.71003567916</v>
      </c>
      <c r="AD22" s="81">
        <v>85.344157589246223</v>
      </c>
      <c r="AE22" s="11">
        <f>(Opti_Salidas__30_INS_1[[#This Row],[All: TS Index]]-Z$47) /ABS(Z$47)</f>
        <v>-0.37866897539532002</v>
      </c>
      <c r="AF22" s="11">
        <f>(Opti_Salidas__30_INS_1[[#This Row],[All: Expectancy Score]]-AA$47) /ABS(AA$47)</f>
        <v>-0.9422619143378238</v>
      </c>
      <c r="AG22" s="11"/>
      <c r="AH22" s="11">
        <f>(Opti_Salidas__30_INS_1[[#This Row],[All: Perfect Profit Correlation]]-AC$47) /ABS(AC$47)</f>
        <v>-0.28502464331205996</v>
      </c>
      <c r="AI22" s="11">
        <f>(Opti_Salidas__30_INS_1[[#This Row],[All: Robustness Index]]-AD$47) /ABS(AD$47)</f>
        <v>-0.67713655601849365</v>
      </c>
      <c r="AJ22" s="11">
        <f>SUM(Opti_Salidas__30_INS_1[[#This Row],[VAR TS Index]:[VAR Robustness Index]])</f>
        <v>-2.2830920890636976</v>
      </c>
      <c r="AK22" s="11">
        <f>Opti_Salidas__30_INS_1[[#This Row],[SUMA]]-Opti_Salidas__30_INS_1[[#This Row],[VAR Robustness Index]]</f>
        <v>-1.605955533045204</v>
      </c>
      <c r="AL22" s="11"/>
    </row>
    <row r="23" spans="1:38" x14ac:dyDescent="0.25">
      <c r="A23" s="11"/>
      <c r="B23" s="96">
        <v>7</v>
      </c>
      <c r="C23" s="96">
        <v>8</v>
      </c>
      <c r="D23" s="96">
        <v>155150</v>
      </c>
      <c r="E23" s="4">
        <v>1605530</v>
      </c>
      <c r="F23" s="4">
        <v>-1450380</v>
      </c>
      <c r="G23" s="4">
        <v>3727</v>
      </c>
      <c r="H23" s="96">
        <v>34.96109471424738</v>
      </c>
      <c r="I23" s="5">
        <v>1303</v>
      </c>
      <c r="J23" s="96">
        <v>2406</v>
      </c>
      <c r="K23" s="96">
        <v>18780</v>
      </c>
      <c r="L23" s="6">
        <v>-5640</v>
      </c>
      <c r="M23" s="6">
        <v>1232.1795654296875</v>
      </c>
      <c r="N23" s="6">
        <v>-602.81793212890625</v>
      </c>
      <c r="O23" s="6">
        <v>2.0440327000196121</v>
      </c>
      <c r="P23" s="5">
        <v>41.628655755299171</v>
      </c>
      <c r="Q23" s="7">
        <v>9</v>
      </c>
      <c r="R23" s="96">
        <v>12</v>
      </c>
      <c r="S23" s="96">
        <v>68</v>
      </c>
      <c r="T23" s="96">
        <v>24</v>
      </c>
      <c r="U23" s="96">
        <v>-43815</v>
      </c>
      <c r="V23" s="6">
        <v>1.106971965967539</v>
      </c>
      <c r="W23" s="5">
        <v>1</v>
      </c>
      <c r="X23" s="96">
        <v>43815</v>
      </c>
      <c r="Y23" s="6">
        <v>354.10247632089465</v>
      </c>
      <c r="Z23" s="5">
        <v>4613.9552664612575</v>
      </c>
      <c r="AA23" s="88">
        <v>1.357649075026903</v>
      </c>
      <c r="AB23" s="5">
        <v>1.402407208302705</v>
      </c>
      <c r="AC23" s="5">
        <v>131770.51390896784</v>
      </c>
      <c r="AD23" s="80">
        <v>113.45737711796322</v>
      </c>
      <c r="AE23" s="5">
        <f>(Opti_Salidas__30_INS_1[[#This Row],[All: TS Index]]-Z$47) /ABS(Z$47)</f>
        <v>-0.38253449745491691</v>
      </c>
      <c r="AF23" s="11">
        <f>(Opti_Salidas__30_INS_1[[#This Row],[All: Expectancy Score]]-AA$47) /ABS(AA$47)</f>
        <v>-0.94290045964786906</v>
      </c>
      <c r="AG23" s="11"/>
      <c r="AH23" s="11">
        <f>(Opti_Salidas__30_INS_1[[#This Row],[All: Perfect Profit Correlation]]-AC$47) /ABS(AC$47)</f>
        <v>-0.31241519808730445</v>
      </c>
      <c r="AI23" s="11">
        <f>(Opti_Salidas__30_INS_1[[#This Row],[All: Robustness Index]]-AD$47) /ABS(AD$47)</f>
        <v>-0.57078210675278973</v>
      </c>
      <c r="AJ23" s="11">
        <f>SUM(Opti_Salidas__30_INS_1[[#This Row],[VAR TS Index]:[VAR Robustness Index]])</f>
        <v>-2.20863226194288</v>
      </c>
      <c r="AK23" s="11">
        <f>Opti_Salidas__30_INS_1[[#This Row],[SUMA]]-Opti_Salidas__30_INS_1[[#This Row],[VAR Robustness Index]]</f>
        <v>-1.6378501551900904</v>
      </c>
      <c r="AL23" s="11"/>
    </row>
    <row r="24" spans="1:38" x14ac:dyDescent="0.25">
      <c r="A24" s="11"/>
      <c r="B24" s="96">
        <v>12</v>
      </c>
      <c r="C24" s="96">
        <v>13</v>
      </c>
      <c r="D24" s="96">
        <v>123340</v>
      </c>
      <c r="E24" s="10">
        <v>1506560</v>
      </c>
      <c r="F24" s="10">
        <v>-1383220</v>
      </c>
      <c r="G24" s="10">
        <v>3727</v>
      </c>
      <c r="H24" s="96">
        <v>33.163402200160988</v>
      </c>
      <c r="I24" s="11">
        <v>1236</v>
      </c>
      <c r="J24" s="96">
        <v>2471</v>
      </c>
      <c r="K24" s="96">
        <v>18780</v>
      </c>
      <c r="L24" s="12">
        <v>-5050</v>
      </c>
      <c r="M24" s="12">
        <v>1218.899658203125</v>
      </c>
      <c r="N24" s="12">
        <v>-559.781494140625</v>
      </c>
      <c r="O24" s="12">
        <v>2.1774561520194169</v>
      </c>
      <c r="P24" s="11">
        <v>33.093640998121813</v>
      </c>
      <c r="Q24" s="13">
        <v>9</v>
      </c>
      <c r="R24" s="96">
        <v>14</v>
      </c>
      <c r="S24" s="96">
        <v>66</v>
      </c>
      <c r="T24" s="96">
        <v>22</v>
      </c>
      <c r="U24" s="96">
        <v>-47065</v>
      </c>
      <c r="V24" s="12">
        <v>1.0891687511747949</v>
      </c>
      <c r="W24" s="11">
        <v>1</v>
      </c>
      <c r="X24" s="96">
        <v>47065</v>
      </c>
      <c r="Y24" s="12">
        <v>262.06310421757144</v>
      </c>
      <c r="Z24" s="11">
        <v>3239.0999681291833</v>
      </c>
      <c r="AA24" s="86">
        <v>3.7493196210884938</v>
      </c>
      <c r="AB24" s="11">
        <v>1.0831366111836489</v>
      </c>
      <c r="AC24" s="11">
        <v>101254.6878832232</v>
      </c>
      <c r="AD24" s="81">
        <v>159.78277985250699</v>
      </c>
      <c r="AE24" s="11">
        <f>(Opti_Salidas__30_INS_1[[#This Row],[All: TS Index]]-Z$47) /ABS(Z$47)</f>
        <v>-0.56652538351361093</v>
      </c>
      <c r="AF24" s="11">
        <f>(Opti_Salidas__30_INS_1[[#This Row],[All: Expectancy Score]]-AA$47) /ABS(AA$47)</f>
        <v>-0.84231239800083368</v>
      </c>
      <c r="AG24" s="11"/>
      <c r="AH24" s="11">
        <f>(Opti_Salidas__30_INS_1[[#This Row],[All: Perfect Profit Correlation]]-AC$47) /ABS(AC$47)</f>
        <v>-0.4716482280776802</v>
      </c>
      <c r="AI24" s="11">
        <f>(Opti_Salidas__30_INS_1[[#This Row],[All: Robustness Index]]-AD$47) /ABS(AD$47)</f>
        <v>-0.39552958223095042</v>
      </c>
      <c r="AJ24" s="11">
        <f>SUM(Opti_Salidas__30_INS_1[[#This Row],[VAR TS Index]:[VAR Robustness Index]])</f>
        <v>-2.2760155918230751</v>
      </c>
      <c r="AK24" s="11">
        <f>Opti_Salidas__30_INS_1[[#This Row],[SUMA]]-Opti_Salidas__30_INS_1[[#This Row],[VAR Robustness Index]]</f>
        <v>-1.8804860095921248</v>
      </c>
      <c r="AL24" s="11"/>
    </row>
    <row r="25" spans="1:38" x14ac:dyDescent="0.25">
      <c r="A25" s="11"/>
      <c r="B25" s="96">
        <v>8</v>
      </c>
      <c r="C25" s="96">
        <v>9</v>
      </c>
      <c r="D25" s="96">
        <v>105420</v>
      </c>
      <c r="E25" s="10">
        <v>1403320</v>
      </c>
      <c r="F25" s="10">
        <v>-1297900</v>
      </c>
      <c r="G25" s="10">
        <v>3727</v>
      </c>
      <c r="H25" s="96">
        <v>34.746444861819157</v>
      </c>
      <c r="I25" s="11">
        <v>1295</v>
      </c>
      <c r="J25" s="96">
        <v>2417</v>
      </c>
      <c r="K25" s="96">
        <v>18780</v>
      </c>
      <c r="L25" s="12">
        <v>-4270</v>
      </c>
      <c r="M25" s="12">
        <v>1083.644775390625</v>
      </c>
      <c r="N25" s="12">
        <v>-536.98797607421875</v>
      </c>
      <c r="O25" s="12">
        <v>2.018005660597606</v>
      </c>
      <c r="P25" s="11">
        <v>28.28548430372954</v>
      </c>
      <c r="Q25" s="13">
        <v>7</v>
      </c>
      <c r="R25" s="96">
        <v>14</v>
      </c>
      <c r="S25" s="96">
        <v>56</v>
      </c>
      <c r="T25" s="96">
        <v>20</v>
      </c>
      <c r="U25" s="96">
        <v>-38015</v>
      </c>
      <c r="V25" s="12">
        <v>1.0812235149086991</v>
      </c>
      <c r="W25" s="11">
        <v>1</v>
      </c>
      <c r="X25" s="96">
        <v>38015</v>
      </c>
      <c r="Y25" s="12">
        <v>277.31158753123765</v>
      </c>
      <c r="Z25" s="11">
        <v>3591.1850585295279</v>
      </c>
      <c r="AA25" s="86">
        <v>0.58382439020298404</v>
      </c>
      <c r="AB25" s="11">
        <v>0.92823779189123301</v>
      </c>
      <c r="AC25" s="11">
        <v>91486.426168565347</v>
      </c>
      <c r="AD25" s="81">
        <v>132.82611018227226</v>
      </c>
      <c r="AE25" s="11">
        <f>(Opti_Salidas__30_INS_1[[#This Row],[All: TS Index]]-Z$47) /ABS(Z$47)</f>
        <v>-0.51940737201858</v>
      </c>
      <c r="AF25" s="11">
        <f>(Opti_Salidas__30_INS_1[[#This Row],[All: Expectancy Score]]-AA$47) /ABS(AA$47)</f>
        <v>-0.97544571352041543</v>
      </c>
      <c r="AG25" s="11"/>
      <c r="AH25" s="11">
        <f>(Opti_Salidas__30_INS_1[[#This Row],[All: Perfect Profit Correlation]]-AC$47) /ABS(AC$47)</f>
        <v>-0.52261948178884365</v>
      </c>
      <c r="AI25" s="11">
        <f>(Opti_Salidas__30_INS_1[[#This Row],[All: Robustness Index]]-AD$47) /ABS(AD$47)</f>
        <v>-0.49750871535324476</v>
      </c>
      <c r="AJ25" s="11">
        <f>SUM(Opti_Salidas__30_INS_1[[#This Row],[VAR TS Index]:[VAR Robustness Index]])</f>
        <v>-2.514981282681084</v>
      </c>
      <c r="AK25" s="11">
        <f>Opti_Salidas__30_INS_1[[#This Row],[SUMA]]-Opti_Salidas__30_INS_1[[#This Row],[VAR Robustness Index]]</f>
        <v>-2.0174725673278391</v>
      </c>
      <c r="AL25" s="11"/>
    </row>
    <row r="26" spans="1:38" x14ac:dyDescent="0.25">
      <c r="A26" s="11"/>
      <c r="B26" s="96">
        <v>18</v>
      </c>
      <c r="C26" s="96">
        <v>19</v>
      </c>
      <c r="D26" s="96">
        <v>66090</v>
      </c>
      <c r="E26" s="10">
        <v>1417260</v>
      </c>
      <c r="F26" s="10">
        <v>-1351170</v>
      </c>
      <c r="G26" s="10">
        <v>3727</v>
      </c>
      <c r="H26" s="96">
        <v>32.787764958411593</v>
      </c>
      <c r="I26" s="11">
        <v>1222</v>
      </c>
      <c r="J26" s="96">
        <v>2483</v>
      </c>
      <c r="K26" s="96">
        <v>3510</v>
      </c>
      <c r="L26" s="12">
        <v>-4630</v>
      </c>
      <c r="M26" s="12">
        <v>1159.7872314453125</v>
      </c>
      <c r="N26" s="12">
        <v>-544.1683349609375</v>
      </c>
      <c r="O26" s="12">
        <v>2.1313023138852181</v>
      </c>
      <c r="P26" s="11">
        <v>17.732760933726858</v>
      </c>
      <c r="Q26" s="13">
        <v>9</v>
      </c>
      <c r="R26" s="96">
        <v>17</v>
      </c>
      <c r="S26" s="96">
        <v>52</v>
      </c>
      <c r="T26" s="96">
        <v>21</v>
      </c>
      <c r="U26" s="96">
        <v>-39625</v>
      </c>
      <c r="V26" s="12">
        <v>1.0489131641466281</v>
      </c>
      <c r="W26" s="11">
        <v>1</v>
      </c>
      <c r="X26" s="96">
        <v>39625</v>
      </c>
      <c r="Y26" s="12">
        <v>166.78864353312304</v>
      </c>
      <c r="Z26" s="11">
        <v>2038.1572239747634</v>
      </c>
      <c r="AA26" s="86">
        <v>3.361121061510759</v>
      </c>
      <c r="AB26" s="11">
        <v>0.52662933261711198</v>
      </c>
      <c r="AC26" s="11">
        <v>35368.617533337121</v>
      </c>
      <c r="AD26" s="81">
        <v>264.33515215223537</v>
      </c>
      <c r="AE26" s="11">
        <f>(Opti_Salidas__30_INS_1[[#This Row],[All: TS Index]]-Z$47) /ABS(Z$47)</f>
        <v>-0.72724231123014604</v>
      </c>
      <c r="AF26" s="11">
        <f>(Opti_Salidas__30_INS_1[[#This Row],[All: Expectancy Score]]-AA$47) /ABS(AA$47)</f>
        <v>-0.85863912021865618</v>
      </c>
      <c r="AG26" s="11"/>
      <c r="AH26" s="11">
        <f>(Opti_Salidas__30_INS_1[[#This Row],[All: Perfect Profit Correlation]]-AC$47) /ABS(AC$47)</f>
        <v>-0.81544487336988036</v>
      </c>
      <c r="AI26" s="11">
        <f>(Opti_Salidas__30_INS_1[[#This Row],[All: Robustness Index]]-AD$47) /ABS(AD$47)</f>
        <v>0</v>
      </c>
      <c r="AJ26" s="11">
        <f>SUM(Opti_Salidas__30_INS_1[[#This Row],[VAR TS Index]:[VAR Robustness Index]])</f>
        <v>-2.4013263048186824</v>
      </c>
      <c r="AK26" s="11">
        <f>Opti_Salidas__30_INS_1[[#This Row],[SUMA]]-Opti_Salidas__30_INS_1[[#This Row],[VAR Robustness Index]]</f>
        <v>-2.4013263048186824</v>
      </c>
      <c r="AL26" s="11"/>
    </row>
    <row r="27" spans="1:38" x14ac:dyDescent="0.25">
      <c r="A27" s="11"/>
      <c r="B27" s="96">
        <v>11</v>
      </c>
      <c r="C27" s="96">
        <v>12</v>
      </c>
      <c r="D27" s="96">
        <v>83550</v>
      </c>
      <c r="E27" s="10">
        <v>1521500</v>
      </c>
      <c r="F27" s="10">
        <v>-1437950</v>
      </c>
      <c r="G27" s="10">
        <v>3727</v>
      </c>
      <c r="H27" s="96">
        <v>35.551381808425006</v>
      </c>
      <c r="I27" s="11">
        <v>1325</v>
      </c>
      <c r="J27" s="96">
        <v>2385</v>
      </c>
      <c r="K27" s="96">
        <v>5630</v>
      </c>
      <c r="L27" s="12">
        <v>-5370</v>
      </c>
      <c r="M27" s="12">
        <v>1148.3018798828125</v>
      </c>
      <c r="N27" s="12">
        <v>-602.9140625</v>
      </c>
      <c r="O27" s="12">
        <v>1.9045863271480961</v>
      </c>
      <c r="P27" s="11">
        <v>22.417493962972902</v>
      </c>
      <c r="Q27" s="13">
        <v>9</v>
      </c>
      <c r="R27" s="96">
        <v>12</v>
      </c>
      <c r="S27" s="96">
        <v>41</v>
      </c>
      <c r="T27" s="96">
        <v>23</v>
      </c>
      <c r="U27" s="96">
        <v>-51865</v>
      </c>
      <c r="V27" s="12">
        <v>1.058103550192983</v>
      </c>
      <c r="W27" s="11">
        <v>1</v>
      </c>
      <c r="X27" s="96">
        <v>51865</v>
      </c>
      <c r="Y27" s="12">
        <v>161.09129470741348</v>
      </c>
      <c r="Z27" s="11">
        <v>2134.4596548732284</v>
      </c>
      <c r="AA27" s="86">
        <v>1.5387166614389709</v>
      </c>
      <c r="AB27" s="11">
        <v>0.71195369165459599</v>
      </c>
      <c r="AC27" s="11">
        <v>44126.921379255044</v>
      </c>
      <c r="AD27" s="81">
        <v>228.36544165457684</v>
      </c>
      <c r="AE27" s="11">
        <f>(Opti_Salidas__30_INS_1[[#This Row],[All: TS Index]]-Z$47) /ABS(Z$47)</f>
        <v>-0.71435457707215089</v>
      </c>
      <c r="AF27" s="11">
        <f>(Opti_Salidas__30_INS_1[[#This Row],[All: Expectancy Score]]-AA$47) /ABS(AA$47)</f>
        <v>-0.93528518104091829</v>
      </c>
      <c r="AG27" s="11"/>
      <c r="AH27" s="11">
        <f>(Opti_Salidas__30_INS_1[[#This Row],[All: Perfect Profit Correlation]]-AC$47) /ABS(AC$47)</f>
        <v>-0.76974362780027628</v>
      </c>
      <c r="AI27" s="11">
        <f>(Opti_Salidas__30_INS_1[[#This Row],[All: Robustness Index]]-AD$47) /ABS(AD$47)</f>
        <v>-0.13607615258428785</v>
      </c>
      <c r="AJ27" s="11">
        <f>SUM(Opti_Salidas__30_INS_1[[#This Row],[VAR TS Index]:[VAR Robustness Index]])</f>
        <v>-2.5554595384976335</v>
      </c>
      <c r="AK27" s="11">
        <f>Opti_Salidas__30_INS_1[[#This Row],[SUMA]]-Opti_Salidas__30_INS_1[[#This Row],[VAR Robustness Index]]</f>
        <v>-2.4193833859133456</v>
      </c>
      <c r="AL27" s="11"/>
    </row>
    <row r="28" spans="1:38" x14ac:dyDescent="0.25">
      <c r="A28" s="11"/>
      <c r="B28" s="96">
        <v>31</v>
      </c>
      <c r="C28" s="96">
        <v>32</v>
      </c>
      <c r="D28" s="96">
        <v>71570</v>
      </c>
      <c r="E28" s="10">
        <v>1430900</v>
      </c>
      <c r="F28" s="10">
        <v>-1359330</v>
      </c>
      <c r="G28" s="10">
        <v>3727</v>
      </c>
      <c r="H28" s="96">
        <v>33.109739737053928</v>
      </c>
      <c r="I28" s="11">
        <v>1234</v>
      </c>
      <c r="J28" s="96">
        <v>2478</v>
      </c>
      <c r="K28" s="96">
        <v>5830</v>
      </c>
      <c r="L28" s="12">
        <v>-3490</v>
      </c>
      <c r="M28" s="12">
        <v>1159.5623779296875</v>
      </c>
      <c r="N28" s="12">
        <v>-548.559326171875</v>
      </c>
      <c r="O28" s="12">
        <v>2.1138322194277541</v>
      </c>
      <c r="P28" s="11">
        <v>19.203112422860208</v>
      </c>
      <c r="Q28" s="13">
        <v>7</v>
      </c>
      <c r="R28" s="96">
        <v>13</v>
      </c>
      <c r="S28" s="96">
        <v>42</v>
      </c>
      <c r="T28" s="96">
        <v>19</v>
      </c>
      <c r="U28" s="96">
        <v>-41855</v>
      </c>
      <c r="V28" s="12">
        <v>1.052650938329913</v>
      </c>
      <c r="W28" s="11">
        <v>1</v>
      </c>
      <c r="X28" s="96">
        <v>41855</v>
      </c>
      <c r="Y28" s="12">
        <v>170.99510213833472</v>
      </c>
      <c r="Z28" s="11">
        <v>2110.0795603870506</v>
      </c>
      <c r="AA28" s="86">
        <v>1.5476458397185899</v>
      </c>
      <c r="AB28" s="11">
        <v>0.58143518655920401</v>
      </c>
      <c r="AC28" s="11">
        <v>33113.029935381986</v>
      </c>
      <c r="AD28" s="81">
        <v>228.15277769208637</v>
      </c>
      <c r="AE28" s="11">
        <f>(Opti_Salidas__30_INS_1[[#This Row],[All: TS Index]]-Z$47) /ABS(Z$47)</f>
        <v>-0.71761725874646842</v>
      </c>
      <c r="AF28" s="11">
        <f>(Opti_Salidas__30_INS_1[[#This Row],[All: Expectancy Score]]-AA$47) /ABS(AA$47)</f>
        <v>-0.9349096407154639</v>
      </c>
      <c r="AG28" s="11"/>
      <c r="AH28" s="11">
        <f>(Opti_Salidas__30_INS_1[[#This Row],[All: Perfect Profit Correlation]]-AC$47) /ABS(AC$47)</f>
        <v>-0.82721463661758343</v>
      </c>
      <c r="AI28" s="11">
        <f>(Opti_Salidas__30_INS_1[[#This Row],[All: Robustness Index]]-AD$47) /ABS(AD$47)</f>
        <v>-0.13688067654093508</v>
      </c>
      <c r="AJ28" s="11">
        <f>SUM(Opti_Salidas__30_INS_1[[#This Row],[VAR TS Index]:[VAR Robustness Index]])</f>
        <v>-2.6166222126204506</v>
      </c>
      <c r="AK28" s="11">
        <f>Opti_Salidas__30_INS_1[[#This Row],[SUMA]]-Opti_Salidas__30_INS_1[[#This Row],[VAR Robustness Index]]</f>
        <v>-2.4797415360795156</v>
      </c>
      <c r="AL28" s="11"/>
    </row>
    <row r="29" spans="1:38" x14ac:dyDescent="0.25">
      <c r="A29" s="11"/>
      <c r="B29" s="96">
        <v>32</v>
      </c>
      <c r="C29" s="96">
        <v>33</v>
      </c>
      <c r="D29" s="96">
        <v>35770</v>
      </c>
      <c r="E29" s="10">
        <v>1092840</v>
      </c>
      <c r="F29" s="10">
        <v>-1057070</v>
      </c>
      <c r="G29" s="10">
        <v>3727</v>
      </c>
      <c r="H29" s="96">
        <v>27.904480815669441</v>
      </c>
      <c r="I29" s="11">
        <v>1040</v>
      </c>
      <c r="J29" s="96">
        <v>2666</v>
      </c>
      <c r="K29" s="96">
        <v>18440</v>
      </c>
      <c r="L29" s="12">
        <v>-3420</v>
      </c>
      <c r="M29" s="12">
        <v>1050.8077392578125</v>
      </c>
      <c r="N29" s="12">
        <v>-396.5003662109375</v>
      </c>
      <c r="O29" s="12">
        <v>2.6502062262882871</v>
      </c>
      <c r="P29" s="11">
        <v>9.5975315266970753</v>
      </c>
      <c r="Q29" s="13">
        <v>6</v>
      </c>
      <c r="R29" s="96">
        <v>18</v>
      </c>
      <c r="S29" s="96">
        <v>51</v>
      </c>
      <c r="T29" s="96">
        <v>13</v>
      </c>
      <c r="U29" s="96">
        <v>-50485</v>
      </c>
      <c r="V29" s="12">
        <v>1.033838818621283</v>
      </c>
      <c r="W29" s="11">
        <v>1</v>
      </c>
      <c r="X29" s="96">
        <v>50485</v>
      </c>
      <c r="Y29" s="12">
        <v>70.85272853322769</v>
      </c>
      <c r="Z29" s="11">
        <v>736.86837674556796</v>
      </c>
      <c r="AA29" s="86">
        <v>2.1767156755932389</v>
      </c>
      <c r="AB29" s="11">
        <v>0.223551019306933</v>
      </c>
      <c r="AC29" s="11">
        <v>23142.167167214124</v>
      </c>
      <c r="AD29" s="81">
        <v>98.501046994808789</v>
      </c>
      <c r="AE29" s="11">
        <f>(Opti_Salidas__30_INS_1[[#This Row],[All: TS Index]]-Z$47) /ABS(Z$47)</f>
        <v>-0.90138812010942104</v>
      </c>
      <c r="AF29" s="11">
        <f>(Opti_Salidas__30_INS_1[[#This Row],[All: Expectancy Score]]-AA$47) /ABS(AA$47)</f>
        <v>-0.90845243676007426</v>
      </c>
      <c r="AG29" s="11"/>
      <c r="AH29" s="11">
        <f>(Opti_Salidas__30_INS_1[[#This Row],[All: Perfect Profit Correlation]]-AC$47) /ABS(AC$47)</f>
        <v>-0.87924307225141296</v>
      </c>
      <c r="AI29" s="11">
        <f>(Opti_Salidas__30_INS_1[[#This Row],[All: Robustness Index]]-AD$47) /ABS(AD$47)</f>
        <v>-0.62736304198360926</v>
      </c>
      <c r="AJ29" s="11">
        <f>SUM(Opti_Salidas__30_INS_1[[#This Row],[VAR TS Index]:[VAR Robustness Index]])</f>
        <v>-3.3164466711045177</v>
      </c>
      <c r="AK29" s="11">
        <f>Opti_Salidas__30_INS_1[[#This Row],[SUMA]]-Opti_Salidas__30_INS_1[[#This Row],[VAR Robustness Index]]</f>
        <v>-2.6890836291209084</v>
      </c>
      <c r="AL29" s="11"/>
    </row>
    <row r="30" spans="1:38" x14ac:dyDescent="0.25">
      <c r="A30" s="11"/>
      <c r="B30" s="96">
        <v>10</v>
      </c>
      <c r="C30" s="96">
        <v>11</v>
      </c>
      <c r="D30" s="96">
        <v>36410</v>
      </c>
      <c r="E30" s="10">
        <v>1167590</v>
      </c>
      <c r="F30" s="10">
        <v>-1131180</v>
      </c>
      <c r="G30" s="10">
        <v>3727</v>
      </c>
      <c r="H30" s="96">
        <v>41.534746444861817</v>
      </c>
      <c r="I30" s="11">
        <v>1548</v>
      </c>
      <c r="J30" s="96">
        <v>2143</v>
      </c>
      <c r="K30" s="96">
        <v>10570</v>
      </c>
      <c r="L30" s="12">
        <v>-5640</v>
      </c>
      <c r="M30" s="12">
        <v>754.257080078125</v>
      </c>
      <c r="N30" s="12">
        <v>-527.84881591796875</v>
      </c>
      <c r="O30" s="12">
        <v>1.4289263465835671</v>
      </c>
      <c r="P30" s="11">
        <v>9.769251408639656</v>
      </c>
      <c r="Q30" s="13">
        <v>10</v>
      </c>
      <c r="R30" s="96">
        <v>12</v>
      </c>
      <c r="S30" s="96">
        <v>21</v>
      </c>
      <c r="T30" s="96">
        <v>14</v>
      </c>
      <c r="U30" s="96">
        <v>-57595</v>
      </c>
      <c r="V30" s="12">
        <v>1.032187627079687</v>
      </c>
      <c r="W30" s="11">
        <v>1</v>
      </c>
      <c r="X30" s="96">
        <v>57595</v>
      </c>
      <c r="Y30" s="12">
        <v>63.217293167809707</v>
      </c>
      <c r="Z30" s="11">
        <v>978.60369823769429</v>
      </c>
      <c r="AA30" s="86">
        <v>1.1985369894789279</v>
      </c>
      <c r="AB30" s="11">
        <v>0.31169498753004898</v>
      </c>
      <c r="AC30" s="11">
        <v>12264.185028069609</v>
      </c>
      <c r="AD30" s="81">
        <v>-183.86230862148284</v>
      </c>
      <c r="AE30" s="11">
        <f>(Opti_Salidas__30_INS_1[[#This Row],[All: TS Index]]-Z$47) /ABS(Z$47)</f>
        <v>-0.86903773672945539</v>
      </c>
      <c r="AF30" s="11">
        <f>(Opti_Salidas__30_INS_1[[#This Row],[All: Expectancy Score]]-AA$47) /ABS(AA$47)</f>
        <v>-0.9495923413103512</v>
      </c>
      <c r="AG30" s="11"/>
      <c r="AH30" s="11">
        <f>(Opti_Salidas__30_INS_1[[#This Row],[All: Perfect Profit Correlation]]-AC$47) /ABS(AC$47)</f>
        <v>-0.93600489985967961</v>
      </c>
      <c r="AI30" s="11">
        <f>(Opti_Salidas__30_INS_1[[#This Row],[All: Robustness Index]]-AD$47) /ABS(AD$47)</f>
        <v>-1.6955651078733305</v>
      </c>
      <c r="AJ30" s="11">
        <f>SUM(Opti_Salidas__30_INS_1[[#This Row],[VAR TS Index]:[VAR Robustness Index]])</f>
        <v>-4.450200085772817</v>
      </c>
      <c r="AK30" s="11">
        <f>Opti_Salidas__30_INS_1[[#This Row],[SUMA]]-Opti_Salidas__30_INS_1[[#This Row],[VAR Robustness Index]]</f>
        <v>-2.7546349778994865</v>
      </c>
      <c r="AL30" s="11"/>
    </row>
    <row r="31" spans="1:38" x14ac:dyDescent="0.25">
      <c r="A31" s="11"/>
      <c r="B31" s="96">
        <v>23</v>
      </c>
      <c r="C31" s="96">
        <v>24</v>
      </c>
      <c r="D31" s="96">
        <v>-270</v>
      </c>
      <c r="E31" s="10">
        <v>801090</v>
      </c>
      <c r="F31" s="10">
        <v>-801360</v>
      </c>
      <c r="G31" s="10">
        <v>3726</v>
      </c>
      <c r="H31" s="96">
        <v>32.850241545893716</v>
      </c>
      <c r="I31" s="11">
        <v>1224</v>
      </c>
      <c r="J31" s="96">
        <v>2469</v>
      </c>
      <c r="K31" s="96">
        <v>9760</v>
      </c>
      <c r="L31" s="12">
        <v>-4170</v>
      </c>
      <c r="M31" s="12">
        <v>654.48529052734375</v>
      </c>
      <c r="N31" s="12">
        <v>-324.56866455078125</v>
      </c>
      <c r="O31" s="12">
        <v>2.016477134147201</v>
      </c>
      <c r="P31" s="11">
        <v>-7.2463768115942004E-2</v>
      </c>
      <c r="Q31" s="13">
        <v>9</v>
      </c>
      <c r="R31" s="96">
        <v>17</v>
      </c>
      <c r="S31" s="96">
        <v>17</v>
      </c>
      <c r="T31" s="96">
        <v>8</v>
      </c>
      <c r="U31" s="96">
        <v>-41655</v>
      </c>
      <c r="V31" s="12">
        <v>0.99966307277627997</v>
      </c>
      <c r="W31" s="11">
        <v>1</v>
      </c>
      <c r="X31" s="96">
        <v>41655</v>
      </c>
      <c r="Y31" s="12">
        <v>-0.64818149081742904</v>
      </c>
      <c r="Z31" s="11">
        <v>-7.9337414476053292</v>
      </c>
      <c r="AA31" s="86">
        <v>-0.60414916247007899</v>
      </c>
      <c r="AB31" s="11">
        <v>-7.0401311728440996E-2</v>
      </c>
      <c r="AC31" s="11">
        <v>-14.54840332106356</v>
      </c>
      <c r="AD31" s="81">
        <v>-49795.75590553553</v>
      </c>
      <c r="AE31" s="11">
        <f>(Opti_Salidas__30_INS_1[[#This Row],[All: TS Index]]-Z$47) /ABS(Z$47)</f>
        <v>-1.0010617380028839</v>
      </c>
      <c r="AF31" s="11">
        <f>(Opti_Salidas__30_INS_1[[#This Row],[All: Expectancy Score]]-AA$47) /ABS(AA$47)</f>
        <v>-1.0254090987985853</v>
      </c>
      <c r="AG31" s="11"/>
      <c r="AH31" s="11">
        <f>(Opti_Salidas__30_INS_1[[#This Row],[All: Perfect Profit Correlation]]-AC$47) /ABS(AC$47)</f>
        <v>-1.0000759142597149</v>
      </c>
      <c r="AI31" s="11">
        <f>(Opti_Salidas__30_INS_1[[#This Row],[All: Robustness Index]]-AD$47) /ABS(AD$47)</f>
        <v>-189.38113470756721</v>
      </c>
      <c r="AJ31" s="11">
        <f>SUM(Opti_Salidas__30_INS_1[[#This Row],[VAR TS Index]:[VAR Robustness Index]])</f>
        <v>-192.40768145862839</v>
      </c>
      <c r="AK31" s="11">
        <f>Opti_Salidas__30_INS_1[[#This Row],[SUMA]]-Opti_Salidas__30_INS_1[[#This Row],[VAR Robustness Index]]</f>
        <v>-3.0265467510611757</v>
      </c>
      <c r="AL31" s="11"/>
    </row>
    <row r="32" spans="1:38" x14ac:dyDescent="0.25">
      <c r="A32" s="11"/>
      <c r="B32" s="96">
        <v>22</v>
      </c>
      <c r="C32" s="96">
        <v>23</v>
      </c>
      <c r="D32" s="96">
        <v>-19560</v>
      </c>
      <c r="E32" s="10">
        <v>549710</v>
      </c>
      <c r="F32" s="10">
        <v>-569270</v>
      </c>
      <c r="G32" s="10">
        <v>3727</v>
      </c>
      <c r="H32" s="96">
        <v>55.030855916286555</v>
      </c>
      <c r="I32" s="11">
        <v>2051</v>
      </c>
      <c r="J32" s="96">
        <v>1628</v>
      </c>
      <c r="K32" s="96">
        <v>2990</v>
      </c>
      <c r="L32" s="12">
        <v>-4440</v>
      </c>
      <c r="M32" s="12">
        <v>268.02047729492188</v>
      </c>
      <c r="N32" s="12">
        <v>-349.6744384765625</v>
      </c>
      <c r="O32" s="12">
        <v>0.76648575876067804</v>
      </c>
      <c r="P32" s="11">
        <v>-5.2481888918701367</v>
      </c>
      <c r="Q32" s="13">
        <v>15</v>
      </c>
      <c r="R32" s="96">
        <v>8</v>
      </c>
      <c r="S32" s="96">
        <v>7</v>
      </c>
      <c r="T32" s="96">
        <v>8</v>
      </c>
      <c r="U32" s="96">
        <v>-55685</v>
      </c>
      <c r="V32" s="12">
        <v>0.96564020587770305</v>
      </c>
      <c r="W32" s="11">
        <v>1</v>
      </c>
      <c r="X32" s="96">
        <v>55685</v>
      </c>
      <c r="Y32" s="12">
        <v>-35.126156056388616</v>
      </c>
      <c r="Z32" s="11">
        <v>-720.4374607165305</v>
      </c>
      <c r="AA32" s="86">
        <v>-25.086136432696705</v>
      </c>
      <c r="AB32" s="11">
        <v>-0.175892695488608</v>
      </c>
      <c r="AC32" s="11">
        <v>-13799.174646789092</v>
      </c>
      <c r="AD32" s="81">
        <v>-311.8312046115625</v>
      </c>
      <c r="AE32" s="11">
        <f>(Opti_Salidas__30_INS_1[[#This Row],[All: TS Index]]-Z$47) /ABS(Z$47)</f>
        <v>-1.0964130020867795</v>
      </c>
      <c r="AF32" s="11">
        <f>(Opti_Salidas__30_INS_1[[#This Row],[All: Expectancy Score]]-AA$47) /ABS(AA$47)</f>
        <v>-2.0550641442373041</v>
      </c>
      <c r="AG32" s="11"/>
      <c r="AH32" s="11">
        <f>(Opti_Salidas__30_INS_1[[#This Row],[All: Perfect Profit Correlation]]-AC$47) /ABS(AC$47)</f>
        <v>-1.0720047488972071</v>
      </c>
      <c r="AI32" s="11">
        <f>(Opti_Salidas__30_INS_1[[#This Row],[All: Robustness Index]]-AD$47) /ABS(AD$47)</f>
        <v>-2.1796811815326529</v>
      </c>
      <c r="AJ32" s="11">
        <f>SUM(Opti_Salidas__30_INS_1[[#This Row],[VAR TS Index]:[VAR Robustness Index]])</f>
        <v>-6.4031630767539429</v>
      </c>
      <c r="AK32" s="11">
        <f>Opti_Salidas__30_INS_1[[#This Row],[SUMA]]-Opti_Salidas__30_INS_1[[#This Row],[VAR Robustness Index]]</f>
        <v>-4.2234818952212905</v>
      </c>
      <c r="AL32" s="11"/>
    </row>
    <row r="33" spans="1:38" x14ac:dyDescent="0.25">
      <c r="A33" s="11"/>
      <c r="B33" s="96">
        <v>13</v>
      </c>
      <c r="C33" s="96">
        <v>14</v>
      </c>
      <c r="D33" s="96">
        <v>-25170</v>
      </c>
      <c r="E33" s="10">
        <v>550030</v>
      </c>
      <c r="F33" s="10">
        <v>-575200</v>
      </c>
      <c r="G33" s="10">
        <v>3727</v>
      </c>
      <c r="H33" s="96">
        <v>55.057687147840085</v>
      </c>
      <c r="I33" s="11">
        <v>2052</v>
      </c>
      <c r="J33" s="96">
        <v>1627</v>
      </c>
      <c r="K33" s="96">
        <v>2990</v>
      </c>
      <c r="L33" s="12">
        <v>-5640</v>
      </c>
      <c r="M33" s="12">
        <v>268.04580688476563</v>
      </c>
      <c r="N33" s="12">
        <v>-353.53411865234375</v>
      </c>
      <c r="O33" s="12">
        <v>0.75818935922378405</v>
      </c>
      <c r="P33" s="11">
        <v>-6.7534209820230746</v>
      </c>
      <c r="Q33" s="13">
        <v>15</v>
      </c>
      <c r="R33" s="96">
        <v>8</v>
      </c>
      <c r="S33" s="96">
        <v>7</v>
      </c>
      <c r="T33" s="96">
        <v>8</v>
      </c>
      <c r="U33" s="96">
        <v>-56955</v>
      </c>
      <c r="V33" s="12">
        <v>0.95624130737134905</v>
      </c>
      <c r="W33" s="11">
        <v>1</v>
      </c>
      <c r="X33" s="96">
        <v>56955</v>
      </c>
      <c r="Y33" s="12">
        <v>-44.192783776665792</v>
      </c>
      <c r="Z33" s="11">
        <v>-906.83592309718199</v>
      </c>
      <c r="AA33" s="86">
        <v>-30.807737086481886</v>
      </c>
      <c r="AB33" s="11">
        <v>-0.23052025804245699</v>
      </c>
      <c r="AC33" s="11">
        <v>-19253.143981934078</v>
      </c>
      <c r="AD33" s="81">
        <v>-244.83191261283883</v>
      </c>
      <c r="AE33" s="11">
        <f>(Opti_Salidas__30_INS_1[[#This Row],[All: TS Index]]-Z$47) /ABS(Z$47)</f>
        <v>-1.1213578950475154</v>
      </c>
      <c r="AF33" s="11">
        <f>(Opti_Salidas__30_INS_1[[#This Row],[All: Expectancy Score]]-AA$47) /ABS(AA$47)</f>
        <v>-2.2957012672015815</v>
      </c>
      <c r="AG33" s="11"/>
      <c r="AH33" s="11">
        <f>(Opti_Salidas__30_INS_1[[#This Row],[All: Perfect Profit Correlation]]-AC$47) /ABS(AC$47)</f>
        <v>-1.100463820002707</v>
      </c>
      <c r="AI33" s="11">
        <f>(Opti_Salidas__30_INS_1[[#This Row],[All: Robustness Index]]-AD$47) /ABS(AD$47)</f>
        <v>-1.9262177603674737</v>
      </c>
      <c r="AJ33" s="11">
        <f>SUM(Opti_Salidas__30_INS_1[[#This Row],[VAR TS Index]:[VAR Robustness Index]])</f>
        <v>-6.4437407426192781</v>
      </c>
      <c r="AK33" s="11">
        <f>Opti_Salidas__30_INS_1[[#This Row],[SUMA]]-Opti_Salidas__30_INS_1[[#This Row],[VAR Robustness Index]]</f>
        <v>-4.5175229822518048</v>
      </c>
      <c r="AL33" s="11"/>
    </row>
    <row r="34" spans="1:38" x14ac:dyDescent="0.25">
      <c r="A34" s="11"/>
      <c r="B34" s="96">
        <v>21</v>
      </c>
      <c r="C34" s="96">
        <v>22</v>
      </c>
      <c r="D34" s="96">
        <v>-48880</v>
      </c>
      <c r="E34" s="10">
        <v>449800</v>
      </c>
      <c r="F34" s="10">
        <v>-498680</v>
      </c>
      <c r="G34" s="10">
        <v>3727</v>
      </c>
      <c r="H34" s="96">
        <v>49.691440837134422</v>
      </c>
      <c r="I34" s="11">
        <v>1852</v>
      </c>
      <c r="J34" s="96">
        <v>1821</v>
      </c>
      <c r="K34" s="96">
        <v>2990</v>
      </c>
      <c r="L34" s="12">
        <v>-5640</v>
      </c>
      <c r="M34" s="12">
        <v>242.87257385253906</v>
      </c>
      <c r="N34" s="12">
        <v>-273.84954833984375</v>
      </c>
      <c r="O34" s="12">
        <v>0.88688323689012405</v>
      </c>
      <c r="P34" s="11">
        <v>-13.115105983364636</v>
      </c>
      <c r="Q34" s="13">
        <v>15</v>
      </c>
      <c r="R34" s="96">
        <v>9</v>
      </c>
      <c r="S34" s="96">
        <v>5</v>
      </c>
      <c r="T34" s="96">
        <v>6</v>
      </c>
      <c r="U34" s="96">
        <v>-62305</v>
      </c>
      <c r="V34" s="12">
        <v>0.90198123044838396</v>
      </c>
      <c r="W34" s="11">
        <v>1</v>
      </c>
      <c r="X34" s="96">
        <v>62305</v>
      </c>
      <c r="Y34" s="12">
        <v>-78.452772650670084</v>
      </c>
      <c r="Z34" s="11">
        <v>-1452.9453494904101</v>
      </c>
      <c r="AA34" s="86">
        <v>-76.898949397280447</v>
      </c>
      <c r="AB34" s="11">
        <v>-0.476459598940975</v>
      </c>
      <c r="AC34" s="11">
        <v>-44204.6293059288</v>
      </c>
      <c r="AD34" s="81">
        <v>-217.63123901389335</v>
      </c>
      <c r="AE34" s="11">
        <f>(Opti_Salidas__30_INS_1[[#This Row],[All: TS Index]]-Z$47) /ABS(Z$47)</f>
        <v>-1.1944413368969904</v>
      </c>
      <c r="AF34" s="11">
        <f>(Opti_Salidas__30_INS_1[[#This Row],[All: Expectancy Score]]-AA$47) /ABS(AA$47)</f>
        <v>-4.2341897069826233</v>
      </c>
      <c r="AG34" s="11"/>
      <c r="AH34" s="11">
        <f>(Opti_Salidas__30_INS_1[[#This Row],[All: Perfect Profit Correlation]]-AC$47) /ABS(AC$47)</f>
        <v>-1.2306618558529629</v>
      </c>
      <c r="AI34" s="11">
        <f>(Opti_Salidas__30_INS_1[[#This Row],[All: Robustness Index]]-AD$47) /ABS(AD$47)</f>
        <v>-1.8233155418109339</v>
      </c>
      <c r="AJ34" s="11">
        <f>SUM(Opti_Salidas__30_INS_1[[#This Row],[VAR TS Index]:[VAR Robustness Index]])</f>
        <v>-8.4826084415435119</v>
      </c>
      <c r="AK34" s="11">
        <f>Opti_Salidas__30_INS_1[[#This Row],[SUMA]]-Opti_Salidas__30_INS_1[[#This Row],[VAR Robustness Index]]</f>
        <v>-6.659292899732578</v>
      </c>
      <c r="AL34" s="11"/>
    </row>
    <row r="35" spans="1:38" x14ac:dyDescent="0.25">
      <c r="A35" s="11"/>
      <c r="B35" s="96"/>
      <c r="C35" s="96"/>
      <c r="D35" s="96"/>
      <c r="E35" s="10"/>
      <c r="F35" s="10"/>
      <c r="G35" s="10"/>
      <c r="H35" s="96"/>
      <c r="I35" s="11"/>
      <c r="J35" s="96"/>
      <c r="K35" s="96"/>
      <c r="L35" s="12"/>
      <c r="M35" s="12"/>
      <c r="N35" s="12"/>
      <c r="O35" s="12"/>
      <c r="P35" s="11"/>
      <c r="Q35" s="13"/>
      <c r="R35" s="96"/>
      <c r="S35" s="96"/>
      <c r="T35" s="96"/>
      <c r="U35" s="96"/>
      <c r="V35" s="12"/>
      <c r="W35" s="11"/>
      <c r="X35" s="96"/>
      <c r="Y35" s="12"/>
      <c r="Z35" s="11"/>
      <c r="AA35" s="14"/>
      <c r="AB35" s="11"/>
      <c r="AC35" s="11"/>
      <c r="AD35" s="15"/>
      <c r="AE35" s="11"/>
      <c r="AF35" s="11"/>
      <c r="AG35" s="11"/>
      <c r="AH35" s="11"/>
      <c r="AI35" s="11"/>
      <c r="AJ35" s="11"/>
      <c r="AK35" s="11"/>
      <c r="AL35" s="11"/>
    </row>
    <row r="36" spans="1:38" x14ac:dyDescent="0.25">
      <c r="A36" s="11"/>
      <c r="B36" s="96"/>
      <c r="C36" s="96"/>
      <c r="D36" s="96"/>
      <c r="E36" s="10"/>
      <c r="F36" s="10"/>
      <c r="G36" s="10"/>
      <c r="H36" s="96"/>
      <c r="I36" s="11"/>
      <c r="J36" s="96"/>
      <c r="K36" s="96"/>
      <c r="L36" s="12"/>
      <c r="M36" s="12"/>
      <c r="N36" s="12"/>
      <c r="O36" s="12"/>
      <c r="P36" s="11"/>
      <c r="Q36" s="13"/>
      <c r="R36" s="96"/>
      <c r="S36" s="96"/>
      <c r="T36" s="96"/>
      <c r="U36" s="96"/>
      <c r="V36" s="12"/>
      <c r="W36" s="11"/>
      <c r="X36" s="96"/>
      <c r="Y36" s="12"/>
      <c r="Z36" s="11"/>
      <c r="AA36" s="14"/>
      <c r="AB36" s="11"/>
      <c r="AC36" s="11"/>
      <c r="AD36" s="15"/>
      <c r="AE36" s="11"/>
      <c r="AF36" s="11"/>
      <c r="AG36" s="11"/>
      <c r="AH36" s="11"/>
      <c r="AI36" s="11"/>
      <c r="AJ36" s="11"/>
      <c r="AK36" s="11"/>
      <c r="AL36" s="11"/>
    </row>
    <row r="37" spans="1:38" customFormat="1" ht="30" customHeight="1" x14ac:dyDescent="0.25">
      <c r="A37" s="39" t="s">
        <v>36</v>
      </c>
      <c r="B37" s="40">
        <v>16</v>
      </c>
      <c r="C37" s="47"/>
      <c r="D37" s="48">
        <v>127900.60606060606</v>
      </c>
      <c r="E37" s="48">
        <v>1432726.6666666667</v>
      </c>
      <c r="F37" s="48">
        <v>-1304826.0606060605</v>
      </c>
      <c r="G37" s="40">
        <v>3726.969696969697</v>
      </c>
      <c r="H37" s="40">
        <v>36.460658505431667</v>
      </c>
      <c r="I37" s="40">
        <v>1358.878787878788</v>
      </c>
      <c r="J37" s="40">
        <v>2346.5151515151515</v>
      </c>
      <c r="K37" s="49">
        <v>11928.484848484848</v>
      </c>
      <c r="L37" s="49">
        <v>-4992.727272727273</v>
      </c>
      <c r="M37" s="49">
        <v>1092.6635025486801</v>
      </c>
      <c r="N37" s="49">
        <v>-551.04303810813212</v>
      </c>
      <c r="O37" s="50">
        <v>1.944374578694654</v>
      </c>
      <c r="P37" s="49">
        <v>34.317307181307832</v>
      </c>
      <c r="Q37" s="40">
        <v>9.1818181818181817</v>
      </c>
      <c r="R37" s="40">
        <v>12.575757575757576</v>
      </c>
      <c r="S37" s="40">
        <v>53.242424242424242</v>
      </c>
      <c r="T37" s="40">
        <v>20.575757575757574</v>
      </c>
      <c r="U37" s="49">
        <v>-43951.36363636364</v>
      </c>
      <c r="V37" s="50">
        <v>1.0864234092608833</v>
      </c>
      <c r="W37" s="47"/>
      <c r="X37" s="47"/>
      <c r="Y37" s="40">
        <v>313.12939581636795</v>
      </c>
      <c r="Z37" s="47">
        <v>4058.5947038341301</v>
      </c>
      <c r="AA37" s="50">
        <v>-1.849979255947803</v>
      </c>
      <c r="AB37" s="50">
        <v>1.1516577200726723</v>
      </c>
      <c r="AC37" s="50">
        <v>108837.62135937891</v>
      </c>
      <c r="AD37" s="50">
        <v>-1433.7356324554817</v>
      </c>
      <c r="AE37" s="11"/>
      <c r="AF37" s="11"/>
      <c r="AG37" s="11"/>
      <c r="AH37" s="11"/>
      <c r="AI37" s="11"/>
      <c r="AJ37" s="11"/>
      <c r="AK37" s="11"/>
      <c r="AL37" s="11"/>
    </row>
    <row r="38" spans="1:38" customFormat="1" ht="30" customHeight="1" x14ac:dyDescent="0.25">
      <c r="A38" s="41" t="s">
        <v>37</v>
      </c>
      <c r="B38" s="42">
        <v>1.6832508230603462</v>
      </c>
      <c r="C38" s="51"/>
      <c r="D38" s="52">
        <v>12890.291698184303</v>
      </c>
      <c r="E38" s="52">
        <v>61215.320577627615</v>
      </c>
      <c r="F38" s="52">
        <v>49312.545177878783</v>
      </c>
      <c r="G38" s="42">
        <v>3.0303030303030307E-2</v>
      </c>
      <c r="H38" s="42">
        <v>1.0132528133887488</v>
      </c>
      <c r="I38" s="42">
        <v>37.765042095826416</v>
      </c>
      <c r="J38" s="42">
        <v>39.286224386394132</v>
      </c>
      <c r="K38" s="53">
        <v>1146.368369950736</v>
      </c>
      <c r="L38" s="53">
        <v>152.37592613340775</v>
      </c>
      <c r="M38" s="53">
        <v>51.994674361292439</v>
      </c>
      <c r="N38" s="53">
        <v>17.13920057191504</v>
      </c>
      <c r="O38" s="54">
        <v>7.0805421979471705E-2</v>
      </c>
      <c r="P38" s="53">
        <v>3.4586241965376914</v>
      </c>
      <c r="Q38" s="42">
        <v>0.36787304673269661</v>
      </c>
      <c r="R38" s="42">
        <v>0.44173877991252275</v>
      </c>
      <c r="S38" s="42">
        <v>3.4383174793890898</v>
      </c>
      <c r="T38" s="42">
        <v>0.99623372484928907</v>
      </c>
      <c r="U38" s="53">
        <v>1244.9077958267389</v>
      </c>
      <c r="V38" s="54">
        <v>1.0249718733756788E-2</v>
      </c>
      <c r="W38" s="51"/>
      <c r="X38" s="51"/>
      <c r="Y38" s="42">
        <v>32.339642598994061</v>
      </c>
      <c r="Z38" s="51">
        <v>440.04601439905633</v>
      </c>
      <c r="AA38" s="54">
        <v>2.7597326827985755</v>
      </c>
      <c r="AB38" s="54">
        <v>0.12102669385625364</v>
      </c>
      <c r="AC38" s="55">
        <v>11959.555647535804</v>
      </c>
      <c r="AD38" s="54">
        <v>1511.4773874402963</v>
      </c>
      <c r="AE38" s="11"/>
      <c r="AF38" s="11"/>
      <c r="AG38" s="11"/>
      <c r="AH38" s="11"/>
      <c r="AI38" s="11"/>
      <c r="AJ38" s="11"/>
      <c r="AK38" s="11"/>
      <c r="AL38" s="11"/>
    </row>
    <row r="39" spans="1:38" customFormat="1" ht="30" customHeight="1" x14ac:dyDescent="0.25">
      <c r="A39" s="43" t="s">
        <v>38</v>
      </c>
      <c r="B39" s="44">
        <v>16</v>
      </c>
      <c r="C39" s="56"/>
      <c r="D39" s="57">
        <v>164610</v>
      </c>
      <c r="E39" s="57">
        <v>1611860</v>
      </c>
      <c r="F39" s="57">
        <v>-1446380</v>
      </c>
      <c r="G39" s="44">
        <v>3727</v>
      </c>
      <c r="H39" s="44">
        <v>35.363563187550305</v>
      </c>
      <c r="I39" s="44">
        <v>1318</v>
      </c>
      <c r="J39" s="44">
        <v>2391</v>
      </c>
      <c r="K39" s="58">
        <v>10570</v>
      </c>
      <c r="L39" s="58">
        <v>-5640</v>
      </c>
      <c r="M39" s="58">
        <v>1231.1153564453125</v>
      </c>
      <c r="N39" s="58">
        <v>-602.81793212890625</v>
      </c>
      <c r="O39" s="59">
        <v>2.0352863351632968</v>
      </c>
      <c r="P39" s="58">
        <v>44.166890260262946</v>
      </c>
      <c r="Q39" s="44">
        <v>9</v>
      </c>
      <c r="R39" s="44">
        <v>12</v>
      </c>
      <c r="S39" s="44">
        <v>60</v>
      </c>
      <c r="T39" s="44">
        <v>24</v>
      </c>
      <c r="U39" s="58">
        <v>-43675</v>
      </c>
      <c r="V39" s="59">
        <v>1.1132414701764981</v>
      </c>
      <c r="W39" s="56"/>
      <c r="X39" s="56"/>
      <c r="Y39" s="44">
        <v>358.37201770484722</v>
      </c>
      <c r="Z39" s="60">
        <v>4723.3431933498869</v>
      </c>
      <c r="AA39" s="61">
        <v>1.539936432186038</v>
      </c>
      <c r="AB39" s="59">
        <v>1.4947180714366859</v>
      </c>
      <c r="AC39" s="62">
        <v>140380.37014094426</v>
      </c>
      <c r="AD39" s="63">
        <v>102.70486878900853</v>
      </c>
      <c r="AE39" s="11"/>
      <c r="AF39" s="11"/>
      <c r="AG39" s="11"/>
      <c r="AH39" s="11"/>
      <c r="AI39" s="11"/>
      <c r="AJ39" s="11"/>
      <c r="AK39" s="11"/>
      <c r="AL39" s="11"/>
    </row>
    <row r="40" spans="1:38" customFormat="1" ht="30" customHeight="1" x14ac:dyDescent="0.25">
      <c r="A40" s="41" t="s">
        <v>39</v>
      </c>
      <c r="B40" s="42" t="e">
        <v>#N/A</v>
      </c>
      <c r="C40" s="51"/>
      <c r="D40" s="52" t="e">
        <v>#N/A</v>
      </c>
      <c r="E40" s="52">
        <v>1622610</v>
      </c>
      <c r="F40" s="52" t="e">
        <v>#N/A</v>
      </c>
      <c r="G40" s="42">
        <v>3727</v>
      </c>
      <c r="H40" s="42">
        <v>35.363563187550305</v>
      </c>
      <c r="I40" s="42">
        <v>1318</v>
      </c>
      <c r="J40" s="42">
        <v>2391</v>
      </c>
      <c r="K40" s="53">
        <v>18780</v>
      </c>
      <c r="L40" s="53">
        <v>-5640</v>
      </c>
      <c r="M40" s="53">
        <v>1231.1153564453125</v>
      </c>
      <c r="N40" s="53" t="e">
        <v>#N/A</v>
      </c>
      <c r="O40" s="54" t="e">
        <v>#N/A</v>
      </c>
      <c r="P40" s="53" t="e">
        <v>#N/A</v>
      </c>
      <c r="Q40" s="42">
        <v>9</v>
      </c>
      <c r="R40" s="42">
        <v>12</v>
      </c>
      <c r="S40" s="42">
        <v>68</v>
      </c>
      <c r="T40" s="42">
        <v>24</v>
      </c>
      <c r="U40" s="53">
        <v>-46315</v>
      </c>
      <c r="V40" s="54" t="e">
        <v>#N/A</v>
      </c>
      <c r="W40" s="51"/>
      <c r="X40" s="51"/>
      <c r="Y40" s="42" t="e">
        <v>#N/A</v>
      </c>
      <c r="Z40" s="51" t="e">
        <v>#N/A</v>
      </c>
      <c r="AA40" s="54" t="e">
        <v>#N/A</v>
      </c>
      <c r="AB40" s="54" t="e">
        <v>#N/A</v>
      </c>
      <c r="AC40" s="55" t="e">
        <v>#N/A</v>
      </c>
      <c r="AD40" s="54" t="e">
        <v>#N/A</v>
      </c>
      <c r="AE40" s="11"/>
      <c r="AF40" s="11"/>
      <c r="AG40" s="11"/>
      <c r="AH40" s="11"/>
      <c r="AI40" s="11"/>
      <c r="AJ40" s="11"/>
      <c r="AK40" s="11"/>
      <c r="AL40" s="11"/>
    </row>
    <row r="41" spans="1:38" customFormat="1" ht="30" customHeight="1" x14ac:dyDescent="0.25">
      <c r="A41" s="43" t="s">
        <v>40</v>
      </c>
      <c r="B41" s="44">
        <v>9.6695398029068578</v>
      </c>
      <c r="C41" s="59"/>
      <c r="D41" s="57">
        <v>74049.088192368799</v>
      </c>
      <c r="E41" s="57">
        <v>351655.24398609035</v>
      </c>
      <c r="F41" s="57">
        <v>283279.00503456144</v>
      </c>
      <c r="G41" s="44">
        <v>0.17407765595569785</v>
      </c>
      <c r="H41" s="44">
        <v>5.8206942632925749</v>
      </c>
      <c r="I41" s="44">
        <v>216.94365016862065</v>
      </c>
      <c r="J41" s="44">
        <v>225.6821771335911</v>
      </c>
      <c r="K41" s="58">
        <v>6585.3849171916863</v>
      </c>
      <c r="L41" s="58">
        <v>875.3330534976119</v>
      </c>
      <c r="M41" s="58">
        <v>298.68666415478907</v>
      </c>
      <c r="N41" s="58">
        <v>98.457211396946349</v>
      </c>
      <c r="O41" s="59">
        <v>0.40674618227563591</v>
      </c>
      <c r="P41" s="58">
        <v>19.868283367843024</v>
      </c>
      <c r="Q41" s="44">
        <v>2.1132697629287875</v>
      </c>
      <c r="R41" s="44">
        <v>2.5375960946127614</v>
      </c>
      <c r="S41" s="44">
        <v>19.751630159037354</v>
      </c>
      <c r="T41" s="44">
        <v>5.72292704299067</v>
      </c>
      <c r="U41" s="58">
        <v>7151.450822290275</v>
      </c>
      <c r="V41" s="59">
        <v>5.8880151375460307E-2</v>
      </c>
      <c r="W41" s="59"/>
      <c r="X41" s="59"/>
      <c r="Y41" s="44">
        <v>185.77710287657129</v>
      </c>
      <c r="Z41" s="59">
        <v>2527.8718970747545</v>
      </c>
      <c r="AA41" s="59">
        <v>15.85345728403488</v>
      </c>
      <c r="AB41" s="59">
        <v>0.69524542476062823</v>
      </c>
      <c r="AC41" s="50">
        <v>68702.416642027107</v>
      </c>
      <c r="AD41" s="59">
        <v>8682.7765409764143</v>
      </c>
      <c r="AE41" s="11"/>
      <c r="AF41" s="11"/>
      <c r="AG41" s="11"/>
      <c r="AH41" s="11"/>
      <c r="AI41" s="11"/>
      <c r="AJ41" s="11"/>
      <c r="AK41" s="11"/>
      <c r="AL41" s="11"/>
    </row>
    <row r="42" spans="1:38" customFormat="1" ht="30" customHeight="1" x14ac:dyDescent="0.25">
      <c r="A42" s="41" t="s">
        <v>41</v>
      </c>
      <c r="B42" s="42">
        <v>93.5</v>
      </c>
      <c r="C42" s="54"/>
      <c r="D42" s="52">
        <v>5483267462.121212</v>
      </c>
      <c r="E42" s="52">
        <v>123661410622.91675</v>
      </c>
      <c r="F42" s="52">
        <v>80246994693.371094</v>
      </c>
      <c r="G42" s="42">
        <v>3.0303030303030307E-2</v>
      </c>
      <c r="H42" s="42">
        <v>33.880481706727096</v>
      </c>
      <c r="I42" s="42">
        <v>47064.547348484863</v>
      </c>
      <c r="J42" s="42">
        <v>50932.445075757583</v>
      </c>
      <c r="K42" s="52">
        <v>43367294.50757575</v>
      </c>
      <c r="L42" s="52">
        <v>766207.95454545319</v>
      </c>
      <c r="M42" s="52">
        <v>89213.723343915772</v>
      </c>
      <c r="N42" s="52">
        <v>9693.8224760629819</v>
      </c>
      <c r="O42" s="54">
        <v>0.16544245679580483</v>
      </c>
      <c r="P42" s="52">
        <v>394.74868398490776</v>
      </c>
      <c r="Q42" s="42">
        <v>4.4659090909090935</v>
      </c>
      <c r="R42" s="42">
        <v>6.4393939393939377</v>
      </c>
      <c r="S42" s="42">
        <v>390.12689393939399</v>
      </c>
      <c r="T42" s="42">
        <v>32.751893939393938</v>
      </c>
      <c r="U42" s="52">
        <v>51143248.863636255</v>
      </c>
      <c r="V42" s="54">
        <v>3.4668722259971205E-3</v>
      </c>
      <c r="W42" s="51"/>
      <c r="X42" s="51"/>
      <c r="Y42" s="42">
        <v>34513.131953212156</v>
      </c>
      <c r="Z42" s="51">
        <v>6390136.3280203193</v>
      </c>
      <c r="AA42" s="54">
        <v>251.33210785671858</v>
      </c>
      <c r="AB42" s="54">
        <v>0.48336620065058633</v>
      </c>
      <c r="AC42" s="64">
        <v>4720022052.4546833</v>
      </c>
      <c r="AD42" s="54">
        <v>75390608.460530341</v>
      </c>
      <c r="AE42" s="11"/>
      <c r="AF42" s="11"/>
      <c r="AG42" s="11"/>
      <c r="AH42" s="11"/>
      <c r="AI42" s="11"/>
      <c r="AJ42" s="11"/>
      <c r="AK42" s="11"/>
      <c r="AL42" s="11"/>
    </row>
    <row r="43" spans="1:38" customFormat="1" ht="30" customHeight="1" x14ac:dyDescent="0.25">
      <c r="A43" s="43" t="s">
        <v>42</v>
      </c>
      <c r="B43" s="44">
        <v>-1.1999999999999997</v>
      </c>
      <c r="C43" s="59"/>
      <c r="D43" s="57">
        <v>1.6864719483015378E-2</v>
      </c>
      <c r="E43" s="57">
        <v>2.5116544557117702</v>
      </c>
      <c r="F43" s="57">
        <v>3.0076311824816444</v>
      </c>
      <c r="G43" s="44">
        <v>33.000000000004107</v>
      </c>
      <c r="H43" s="44">
        <v>5.8045356614026336</v>
      </c>
      <c r="I43" s="44">
        <v>5.804018412967956</v>
      </c>
      <c r="J43" s="44">
        <v>5.813381821178961</v>
      </c>
      <c r="K43" s="58">
        <v>-1.6508038809247743</v>
      </c>
      <c r="L43" s="58">
        <v>-0.96506760136129577</v>
      </c>
      <c r="M43" s="58">
        <v>3.83107472068169</v>
      </c>
      <c r="N43" s="58">
        <v>1.7559213956584609</v>
      </c>
      <c r="O43" s="59">
        <v>4.3537529849253698</v>
      </c>
      <c r="P43" s="58">
        <v>1.6864635674964212E-2</v>
      </c>
      <c r="Q43" s="44">
        <v>3.8630558286387013</v>
      </c>
      <c r="R43" s="44">
        <v>3.7154468311195399</v>
      </c>
      <c r="S43" s="44">
        <v>1.1657322436935327</v>
      </c>
      <c r="T43" s="44">
        <v>1.2094759115115328</v>
      </c>
      <c r="U43" s="58">
        <v>0.28080555939782359</v>
      </c>
      <c r="V43" s="59">
        <v>2.3095298725075799</v>
      </c>
      <c r="W43" s="59"/>
      <c r="X43" s="59"/>
      <c r="Y43" s="44">
        <v>-0.45399610286407643</v>
      </c>
      <c r="Z43" s="59">
        <v>-0.39787235297264756</v>
      </c>
      <c r="AA43" s="59">
        <v>16.485377052607245</v>
      </c>
      <c r="AB43" s="59">
        <v>-0.19072881126509822</v>
      </c>
      <c r="AC43" s="50">
        <v>-0.5751722811243476</v>
      </c>
      <c r="AD43" s="59">
        <v>32.984265254628426</v>
      </c>
      <c r="AE43" s="11"/>
      <c r="AF43" s="11"/>
      <c r="AG43" s="11"/>
      <c r="AH43" s="11"/>
      <c r="AI43" s="11"/>
      <c r="AJ43" s="11"/>
      <c r="AK43" s="11"/>
      <c r="AL43" s="11"/>
    </row>
    <row r="44" spans="1:38" customFormat="1" ht="30" customHeight="1" x14ac:dyDescent="0.25">
      <c r="A44" s="41" t="s">
        <v>43</v>
      </c>
      <c r="B44" s="42">
        <v>1.1079846717529283E-17</v>
      </c>
      <c r="C44" s="54"/>
      <c r="D44" s="52">
        <v>-1.0871006774264795</v>
      </c>
      <c r="E44" s="52">
        <v>-1.9018148783022242</v>
      </c>
      <c r="F44" s="52">
        <v>2.0407962960004844</v>
      </c>
      <c r="G44" s="42">
        <v>-5.7445626465385313</v>
      </c>
      <c r="H44" s="42">
        <v>2.3969177922135754</v>
      </c>
      <c r="I44" s="42">
        <v>2.3967947542443131</v>
      </c>
      <c r="J44" s="42">
        <v>-2.430876403321319</v>
      </c>
      <c r="K44" s="53">
        <v>-2.0631074063016726E-2</v>
      </c>
      <c r="L44" s="53">
        <v>0.5870516810440769</v>
      </c>
      <c r="M44" s="53">
        <v>-2.2363714804479042</v>
      </c>
      <c r="N44" s="53">
        <v>1.7467933951931658</v>
      </c>
      <c r="O44" s="54">
        <v>-2.015249389438162</v>
      </c>
      <c r="P44" s="53">
        <v>-1.0871007026881474</v>
      </c>
      <c r="Q44" s="42">
        <v>1.6702422740236005</v>
      </c>
      <c r="R44" s="42">
        <v>1.4144293814146263</v>
      </c>
      <c r="S44" s="42">
        <v>-1.5113426900946088</v>
      </c>
      <c r="T44" s="42">
        <v>-1.6149877132680899</v>
      </c>
      <c r="U44" s="53">
        <v>-0.73707258326372949</v>
      </c>
      <c r="V44" s="54">
        <v>-1.6452864003218786</v>
      </c>
      <c r="W44" s="54"/>
      <c r="X44" s="54"/>
      <c r="Y44" s="42">
        <v>-0.71713083059743932</v>
      </c>
      <c r="Z44" s="54">
        <v>-0.73909974882944707</v>
      </c>
      <c r="AA44" s="54">
        <v>-3.6839813834661927</v>
      </c>
      <c r="AB44" s="54">
        <v>-1.0158978744399847</v>
      </c>
      <c r="AC44" s="55">
        <v>-0.85570228195121389</v>
      </c>
      <c r="AD44" s="54">
        <v>-5.7425753930310837</v>
      </c>
      <c r="AE44" s="11"/>
      <c r="AF44" s="11"/>
      <c r="AG44" s="11"/>
      <c r="AH44" s="11"/>
      <c r="AI44" s="11"/>
      <c r="AJ44" s="11"/>
      <c r="AK44" s="11"/>
      <c r="AL44" s="11"/>
    </row>
    <row r="45" spans="1:38" customFormat="1" ht="30" customHeight="1" x14ac:dyDescent="0.25">
      <c r="A45" s="43" t="s">
        <v>44</v>
      </c>
      <c r="B45" s="44">
        <v>32</v>
      </c>
      <c r="C45" s="56"/>
      <c r="D45" s="57">
        <v>256200</v>
      </c>
      <c r="E45" s="57">
        <v>1213010</v>
      </c>
      <c r="F45" s="57">
        <v>958790</v>
      </c>
      <c r="G45" s="44">
        <v>1</v>
      </c>
      <c r="H45" s="44">
        <v>27.153206332170644</v>
      </c>
      <c r="I45" s="44">
        <v>1012</v>
      </c>
      <c r="J45" s="44">
        <v>1039</v>
      </c>
      <c r="K45" s="58">
        <v>19950</v>
      </c>
      <c r="L45" s="58">
        <v>3200</v>
      </c>
      <c r="M45" s="58">
        <v>1020.5220794677734</v>
      </c>
      <c r="N45" s="58">
        <v>335.71551513671875</v>
      </c>
      <c r="O45" s="59">
        <v>1.892016867064503</v>
      </c>
      <c r="P45" s="58">
        <v>68.741615240139524</v>
      </c>
      <c r="Q45" s="44">
        <v>9</v>
      </c>
      <c r="R45" s="44">
        <v>13</v>
      </c>
      <c r="S45" s="44">
        <v>63</v>
      </c>
      <c r="T45" s="44">
        <v>18</v>
      </c>
      <c r="U45" s="58">
        <v>29240</v>
      </c>
      <c r="V45" s="59">
        <v>0.24045877257465309</v>
      </c>
      <c r="W45" s="56"/>
      <c r="X45" s="56"/>
      <c r="Y45" s="44">
        <v>643.68800641880728</v>
      </c>
      <c r="Z45" s="56">
        <v>8925.355139905183</v>
      </c>
      <c r="AA45" s="59">
        <v>100.67583212968647</v>
      </c>
      <c r="AB45" s="59">
        <v>2.3900056728115429</v>
      </c>
      <c r="AC45" s="50">
        <v>235847.19258308961</v>
      </c>
      <c r="AD45" s="59">
        <v>50060.091057687765</v>
      </c>
      <c r="AE45" s="11"/>
      <c r="AF45" s="11"/>
      <c r="AG45" s="11"/>
      <c r="AH45" s="11"/>
      <c r="AI45" s="11"/>
      <c r="AJ45" s="11"/>
      <c r="AK45" s="11"/>
      <c r="AL45" s="11"/>
    </row>
    <row r="46" spans="1:38" customFormat="1" ht="30" customHeight="1" x14ac:dyDescent="0.25">
      <c r="A46" s="41" t="s">
        <v>45</v>
      </c>
      <c r="B46" s="42">
        <v>0</v>
      </c>
      <c r="C46" s="51"/>
      <c r="D46" s="52">
        <v>-48880</v>
      </c>
      <c r="E46" s="52">
        <v>449800</v>
      </c>
      <c r="F46" s="52">
        <v>-1457470</v>
      </c>
      <c r="G46" s="42">
        <v>3726</v>
      </c>
      <c r="H46" s="42">
        <v>27.904480815669441</v>
      </c>
      <c r="I46" s="42">
        <v>1040</v>
      </c>
      <c r="J46" s="42">
        <v>1627</v>
      </c>
      <c r="K46" s="53">
        <v>2990</v>
      </c>
      <c r="L46" s="53">
        <v>-6540</v>
      </c>
      <c r="M46" s="53">
        <v>242.87257385253906</v>
      </c>
      <c r="N46" s="53">
        <v>-609.5650634765625</v>
      </c>
      <c r="O46" s="54">
        <v>0.75818935922378405</v>
      </c>
      <c r="P46" s="53">
        <v>-13.115105983364636</v>
      </c>
      <c r="Q46" s="42">
        <v>6</v>
      </c>
      <c r="R46" s="42">
        <v>8</v>
      </c>
      <c r="S46" s="42">
        <v>5</v>
      </c>
      <c r="T46" s="42">
        <v>6</v>
      </c>
      <c r="U46" s="53">
        <v>-62305</v>
      </c>
      <c r="V46" s="54">
        <v>0.90198123044838396</v>
      </c>
      <c r="W46" s="51"/>
      <c r="X46" s="51"/>
      <c r="Y46" s="51">
        <v>-78.452772650670084</v>
      </c>
      <c r="Z46" s="60">
        <v>-1452.9453494904101</v>
      </c>
      <c r="AA46" s="61">
        <v>-76.898949397280447</v>
      </c>
      <c r="AB46" s="54">
        <v>-0.476459598940975</v>
      </c>
      <c r="AC46" s="62">
        <v>-44204.6293059288</v>
      </c>
      <c r="AD46" s="63">
        <v>-49795.75590553553</v>
      </c>
      <c r="AE46" s="5"/>
      <c r="AF46" s="11"/>
      <c r="AG46" s="11"/>
      <c r="AH46" s="11"/>
      <c r="AI46" s="11"/>
      <c r="AJ46" s="11"/>
      <c r="AK46" s="11"/>
      <c r="AL46" s="11"/>
    </row>
    <row r="47" spans="1:38" customFormat="1" ht="30" customHeight="1" x14ac:dyDescent="0.25">
      <c r="A47" s="43" t="s">
        <v>46</v>
      </c>
      <c r="B47" s="44">
        <v>32</v>
      </c>
      <c r="C47" s="56"/>
      <c r="D47" s="57">
        <v>207320</v>
      </c>
      <c r="E47" s="57">
        <v>1662810</v>
      </c>
      <c r="F47" s="57">
        <v>-498680</v>
      </c>
      <c r="G47" s="44">
        <v>3727</v>
      </c>
      <c r="H47" s="44">
        <v>55.057687147840085</v>
      </c>
      <c r="I47" s="44">
        <v>2052</v>
      </c>
      <c r="J47" s="44">
        <v>2666</v>
      </c>
      <c r="K47" s="58">
        <v>22940</v>
      </c>
      <c r="L47" s="58">
        <v>-3340</v>
      </c>
      <c r="M47" s="58">
        <v>1263.3946533203125</v>
      </c>
      <c r="N47" s="58">
        <v>-273.84954833984375</v>
      </c>
      <c r="O47" s="59">
        <v>2.6502062262882871</v>
      </c>
      <c r="P47" s="58">
        <v>55.626509256774888</v>
      </c>
      <c r="Q47" s="44">
        <v>15</v>
      </c>
      <c r="R47" s="44">
        <v>21</v>
      </c>
      <c r="S47" s="44">
        <v>68</v>
      </c>
      <c r="T47" s="44">
        <v>24</v>
      </c>
      <c r="U47" s="58">
        <v>-33065</v>
      </c>
      <c r="V47" s="59">
        <v>1.1424400030230371</v>
      </c>
      <c r="W47" s="56"/>
      <c r="X47" s="56"/>
      <c r="Y47" s="44">
        <v>565.23523376813716</v>
      </c>
      <c r="Z47" s="60">
        <v>7472.4097904147739</v>
      </c>
      <c r="AA47" s="61">
        <v>23.776882732406026</v>
      </c>
      <c r="AB47" s="59">
        <v>1.9135460738705681</v>
      </c>
      <c r="AC47" s="62">
        <v>191642.56327716081</v>
      </c>
      <c r="AD47" s="65">
        <v>264.33515215223537</v>
      </c>
      <c r="AE47" s="11"/>
      <c r="AF47" s="11"/>
      <c r="AG47" s="11"/>
      <c r="AH47" s="11"/>
      <c r="AI47" s="11"/>
      <c r="AJ47" s="11"/>
      <c r="AK47" s="11"/>
      <c r="AL47" s="11"/>
    </row>
    <row r="48" spans="1:38" customFormat="1" ht="30" customHeight="1" x14ac:dyDescent="0.25">
      <c r="A48" s="45" t="s">
        <v>47</v>
      </c>
      <c r="B48" s="46">
        <v>3.4286697268982782</v>
      </c>
      <c r="C48" s="66"/>
      <c r="D48" s="67">
        <v>26256.664966958535</v>
      </c>
      <c r="E48" s="67">
        <v>124691.52761516895</v>
      </c>
      <c r="F48" s="67">
        <v>100446.36752370391</v>
      </c>
      <c r="G48" s="46">
        <v>6.1725252832124287E-2</v>
      </c>
      <c r="H48" s="46">
        <v>2.0639284409462979</v>
      </c>
      <c r="I48" s="46">
        <v>76.924873462163163</v>
      </c>
      <c r="J48" s="46">
        <v>80.023420391301556</v>
      </c>
      <c r="K48" s="68">
        <v>2335.0759566406587</v>
      </c>
      <c r="L48" s="68">
        <v>310.37960468175163</v>
      </c>
      <c r="M48" s="68">
        <v>105.9096858888666</v>
      </c>
      <c r="N48" s="68">
        <v>34.911409125184178</v>
      </c>
      <c r="O48" s="66">
        <v>0.14422592492774863</v>
      </c>
      <c r="P48" s="68">
        <v>7.0449869484255254</v>
      </c>
      <c r="Q48" s="46">
        <v>0.74933287505008572</v>
      </c>
      <c r="R48" s="46">
        <v>0.89979244990320073</v>
      </c>
      <c r="S48" s="46">
        <v>7.0036235191693264</v>
      </c>
      <c r="T48" s="46">
        <v>2.0292616920249729</v>
      </c>
      <c r="U48" s="68">
        <v>2535.7941988529042</v>
      </c>
      <c r="V48" s="66">
        <v>2.0877993849876847E-2</v>
      </c>
      <c r="W48" s="66"/>
      <c r="X48" s="66"/>
      <c r="Y48" s="46">
        <v>65.873696325473688</v>
      </c>
      <c r="Z48" s="66">
        <v>896.34439938616163</v>
      </c>
      <c r="AA48" s="66">
        <v>5.6213915206290173</v>
      </c>
      <c r="AB48" s="66">
        <v>0.24652330816454082</v>
      </c>
      <c r="AC48" s="69">
        <v>24360.81767143224</v>
      </c>
      <c r="AD48" s="66">
        <v>3078.7786883631015</v>
      </c>
      <c r="AE48" s="11"/>
      <c r="AF48" s="11"/>
      <c r="AG48" s="11"/>
      <c r="AH48" s="11"/>
      <c r="AI48" s="11"/>
      <c r="AJ48" s="11"/>
      <c r="AK48" s="11"/>
      <c r="AL48" s="11"/>
    </row>
    <row r="49" spans="1:38" x14ac:dyDescent="0.25">
      <c r="A49" s="11"/>
      <c r="B49" s="96"/>
      <c r="C49" s="96"/>
      <c r="D49" s="96"/>
      <c r="E49" s="10"/>
      <c r="F49" s="10"/>
      <c r="G49" s="10"/>
      <c r="H49" s="96"/>
      <c r="I49" s="11"/>
      <c r="J49" s="96"/>
      <c r="K49" s="96"/>
      <c r="L49" s="12"/>
      <c r="M49" s="12"/>
      <c r="N49" s="12"/>
      <c r="O49" s="12"/>
      <c r="P49" s="11"/>
      <c r="Q49" s="13"/>
      <c r="R49" s="96"/>
      <c r="S49" s="96"/>
      <c r="T49" s="96"/>
      <c r="U49" s="96"/>
      <c r="V49" s="12"/>
      <c r="W49" s="11"/>
      <c r="X49" s="96"/>
      <c r="Y49" s="12"/>
      <c r="Z49" s="11"/>
      <c r="AA49" s="14"/>
      <c r="AB49" s="11"/>
      <c r="AC49" s="11"/>
      <c r="AD49" s="15"/>
      <c r="AE49" s="11"/>
      <c r="AF49" s="11"/>
      <c r="AG49" s="11"/>
      <c r="AH49" s="11"/>
      <c r="AI49" s="11"/>
      <c r="AJ49" s="11"/>
      <c r="AK49" s="11"/>
      <c r="AL49" s="11"/>
    </row>
    <row r="50" spans="1:38" x14ac:dyDescent="0.25">
      <c r="A50" s="11"/>
      <c r="B50" s="96"/>
      <c r="C50" s="96"/>
      <c r="D50" s="96"/>
      <c r="E50" s="10"/>
      <c r="F50" s="10"/>
      <c r="G50" s="10"/>
      <c r="H50" s="96"/>
      <c r="I50" s="11"/>
      <c r="J50" s="96"/>
      <c r="K50" s="96"/>
      <c r="L50" s="12"/>
      <c r="M50" s="12"/>
      <c r="N50" s="12"/>
      <c r="O50" s="12"/>
      <c r="P50" s="11"/>
      <c r="Q50" s="13"/>
      <c r="R50" s="96"/>
      <c r="S50" s="96"/>
      <c r="T50" s="96"/>
      <c r="U50" s="96"/>
      <c r="V50" s="12"/>
      <c r="W50" s="11"/>
      <c r="X50" s="96"/>
      <c r="Y50" s="12"/>
      <c r="Z50" s="11"/>
      <c r="AA50" s="14"/>
      <c r="AB50" s="11"/>
      <c r="AC50" s="11"/>
      <c r="AD50" s="15"/>
      <c r="AE50" s="11"/>
      <c r="AF50" s="11"/>
      <c r="AG50" s="11"/>
      <c r="AH50" s="11"/>
      <c r="AI50" s="11"/>
      <c r="AJ50" s="11"/>
      <c r="AK50" s="11"/>
      <c r="AL50" s="11"/>
    </row>
    <row r="51" spans="1:38" x14ac:dyDescent="0.25">
      <c r="A51" s="11"/>
      <c r="B51" s="96"/>
      <c r="C51" s="96"/>
      <c r="D51" s="96"/>
      <c r="E51" s="10"/>
      <c r="F51" s="10"/>
      <c r="G51" s="10"/>
      <c r="H51" s="96"/>
      <c r="I51" s="11"/>
      <c r="J51" s="96"/>
      <c r="K51" s="96"/>
      <c r="L51" s="12"/>
      <c r="M51" s="12"/>
      <c r="N51" s="12"/>
      <c r="O51" s="12"/>
      <c r="P51" s="11"/>
      <c r="Q51" s="13"/>
      <c r="R51" s="96"/>
      <c r="S51" s="96"/>
      <c r="T51" s="96"/>
      <c r="U51" s="96"/>
      <c r="V51" s="12"/>
      <c r="W51" s="11"/>
      <c r="X51" s="96"/>
      <c r="Y51" s="12"/>
      <c r="Z51" s="11"/>
      <c r="AA51" s="14"/>
      <c r="AB51" s="11"/>
      <c r="AC51" s="11"/>
      <c r="AD51" s="15"/>
      <c r="AE51" s="11"/>
      <c r="AF51" s="11"/>
      <c r="AG51" s="11"/>
      <c r="AH51" s="11"/>
      <c r="AI51" s="11"/>
      <c r="AJ51" s="11"/>
      <c r="AK51" s="11"/>
      <c r="AL51" s="11"/>
    </row>
    <row r="52" spans="1:38" x14ac:dyDescent="0.25">
      <c r="A52" s="11"/>
      <c r="B52" s="96"/>
      <c r="C52" s="96"/>
      <c r="D52" s="96"/>
      <c r="E52" s="4"/>
      <c r="F52" s="4"/>
      <c r="G52" s="4"/>
      <c r="H52" s="96"/>
      <c r="I52" s="5"/>
      <c r="J52" s="96"/>
      <c r="K52" s="96"/>
      <c r="L52" s="6"/>
      <c r="M52" s="6"/>
      <c r="N52" s="6"/>
      <c r="O52" s="6"/>
      <c r="P52" s="5"/>
      <c r="Q52" s="7"/>
      <c r="R52" s="96"/>
      <c r="S52" s="96"/>
      <c r="T52" s="96"/>
      <c r="U52" s="96"/>
      <c r="V52" s="6"/>
      <c r="W52" s="5"/>
      <c r="X52" s="96"/>
      <c r="Y52" s="6"/>
      <c r="Z52" s="5"/>
      <c r="AA52" s="8"/>
      <c r="AB52" s="5"/>
      <c r="AC52" s="5"/>
      <c r="AD52" s="9"/>
      <c r="AE52" s="5"/>
      <c r="AF52" s="11"/>
      <c r="AG52" s="11"/>
      <c r="AH52" s="11"/>
      <c r="AI52" s="11"/>
      <c r="AJ52" s="11"/>
      <c r="AK52" s="11"/>
      <c r="AL52" s="11"/>
    </row>
    <row r="53" spans="1:38" x14ac:dyDescent="0.25">
      <c r="A53" s="11"/>
      <c r="B53" s="96"/>
      <c r="C53" s="96"/>
      <c r="D53" s="96"/>
      <c r="E53" s="10"/>
      <c r="F53" s="10"/>
      <c r="G53" s="10"/>
      <c r="H53" s="96"/>
      <c r="I53" s="11"/>
      <c r="J53" s="96"/>
      <c r="K53" s="96"/>
      <c r="L53" s="12"/>
      <c r="M53" s="12"/>
      <c r="N53" s="12"/>
      <c r="O53" s="12"/>
      <c r="P53" s="11"/>
      <c r="Q53" s="13"/>
      <c r="R53" s="96"/>
      <c r="S53" s="96"/>
      <c r="T53" s="96"/>
      <c r="U53" s="96"/>
      <c r="V53" s="12"/>
      <c r="W53" s="11"/>
      <c r="X53" s="96"/>
      <c r="Y53" s="12"/>
      <c r="Z53" s="11"/>
      <c r="AA53" s="14"/>
      <c r="AB53" s="11"/>
      <c r="AC53" s="11"/>
      <c r="AD53" s="15"/>
      <c r="AE53" s="11"/>
      <c r="AF53" s="11"/>
      <c r="AG53" s="11"/>
      <c r="AH53" s="11"/>
      <c r="AI53" s="11"/>
      <c r="AJ53" s="11"/>
      <c r="AK53" s="11"/>
      <c r="AL53" s="11"/>
    </row>
    <row r="54" spans="1:38" x14ac:dyDescent="0.25">
      <c r="A54" s="11"/>
      <c r="B54" s="96"/>
      <c r="C54" s="96"/>
      <c r="D54" s="96"/>
      <c r="E54" s="10"/>
      <c r="F54" s="10"/>
      <c r="G54" s="10"/>
      <c r="H54" s="96"/>
      <c r="I54" s="11"/>
      <c r="J54" s="96"/>
      <c r="K54" s="96"/>
      <c r="L54" s="12"/>
      <c r="M54" s="12"/>
      <c r="N54" s="12"/>
      <c r="O54" s="12"/>
      <c r="P54" s="11"/>
      <c r="Q54" s="13"/>
      <c r="R54" s="96"/>
      <c r="S54" s="96"/>
      <c r="T54" s="96"/>
      <c r="U54" s="96"/>
      <c r="V54" s="12"/>
      <c r="W54" s="11"/>
      <c r="X54" s="96"/>
      <c r="Y54" s="12"/>
      <c r="Z54" s="11"/>
      <c r="AA54" s="14"/>
      <c r="AB54" s="11"/>
      <c r="AC54" s="11"/>
      <c r="AD54" s="15"/>
      <c r="AE54" s="11"/>
      <c r="AF54" s="11"/>
      <c r="AG54" s="11"/>
      <c r="AH54" s="11"/>
      <c r="AI54" s="11"/>
      <c r="AJ54" s="11"/>
      <c r="AK54" s="11"/>
      <c r="AL54" s="11"/>
    </row>
    <row r="55" spans="1:38" x14ac:dyDescent="0.25">
      <c r="A55" s="11"/>
      <c r="B55" s="96"/>
      <c r="C55" s="96"/>
      <c r="D55" s="96"/>
      <c r="E55" s="10"/>
      <c r="F55" s="10"/>
      <c r="G55" s="10"/>
      <c r="H55" s="96"/>
      <c r="I55" s="11"/>
      <c r="J55" s="96"/>
      <c r="K55" s="96"/>
      <c r="L55" s="12"/>
      <c r="M55" s="12"/>
      <c r="N55" s="12"/>
      <c r="O55" s="12"/>
      <c r="P55" s="11"/>
      <c r="Q55" s="13"/>
      <c r="R55" s="96"/>
      <c r="S55" s="96"/>
      <c r="T55" s="96"/>
      <c r="U55" s="96"/>
      <c r="V55" s="12"/>
      <c r="W55" s="11"/>
      <c r="X55" s="96"/>
      <c r="Y55" s="12"/>
      <c r="Z55" s="11"/>
      <c r="AA55" s="14"/>
      <c r="AB55" s="11"/>
      <c r="AC55" s="11"/>
      <c r="AD55" s="15"/>
      <c r="AE55" s="11"/>
      <c r="AF55" s="11"/>
      <c r="AG55" s="11"/>
      <c r="AH55" s="11"/>
      <c r="AI55" s="11"/>
      <c r="AJ55" s="11"/>
      <c r="AK55" s="11"/>
      <c r="AL55" s="11"/>
    </row>
    <row r="56" spans="1:38" x14ac:dyDescent="0.25">
      <c r="A56" s="11"/>
      <c r="B56" s="96"/>
      <c r="C56" s="96"/>
      <c r="D56" s="96"/>
      <c r="E56" s="10"/>
      <c r="F56" s="10"/>
      <c r="G56" s="10"/>
      <c r="H56" s="96"/>
      <c r="I56" s="11"/>
      <c r="J56" s="96"/>
      <c r="K56" s="96"/>
      <c r="L56" s="12"/>
      <c r="M56" s="12"/>
      <c r="N56" s="12"/>
      <c r="O56" s="12"/>
      <c r="P56" s="11"/>
      <c r="Q56" s="13"/>
      <c r="R56" s="96"/>
      <c r="S56" s="96"/>
      <c r="T56" s="96"/>
      <c r="U56" s="96"/>
      <c r="V56" s="12"/>
      <c r="W56" s="11"/>
      <c r="X56" s="96"/>
      <c r="Y56" s="12"/>
      <c r="Z56" s="11"/>
      <c r="AA56" s="14"/>
      <c r="AB56" s="11"/>
      <c r="AC56" s="11"/>
      <c r="AD56" s="15"/>
      <c r="AE56" s="11"/>
      <c r="AF56" s="11"/>
      <c r="AG56" s="11"/>
      <c r="AH56" s="11"/>
      <c r="AI56" s="11"/>
      <c r="AJ56" s="11"/>
      <c r="AK56" s="11"/>
      <c r="AL56" s="11"/>
    </row>
    <row r="57" spans="1:38" x14ac:dyDescent="0.25">
      <c r="A57" s="11"/>
      <c r="B57" s="96"/>
      <c r="C57" s="96"/>
      <c r="D57" s="96"/>
      <c r="E57" s="10"/>
      <c r="F57" s="10"/>
      <c r="G57" s="10"/>
      <c r="H57" s="96"/>
      <c r="I57" s="11"/>
      <c r="J57" s="96"/>
      <c r="K57" s="96"/>
      <c r="L57" s="12"/>
      <c r="M57" s="12"/>
      <c r="N57" s="12"/>
      <c r="O57" s="12"/>
      <c r="P57" s="11"/>
      <c r="Q57" s="13"/>
      <c r="R57" s="96"/>
      <c r="S57" s="96"/>
      <c r="T57" s="96"/>
      <c r="U57" s="96"/>
      <c r="V57" s="12"/>
      <c r="W57" s="11"/>
      <c r="X57" s="96"/>
      <c r="Y57" s="12"/>
      <c r="Z57" s="11"/>
      <c r="AA57" s="14"/>
      <c r="AB57" s="11"/>
      <c r="AC57" s="11"/>
      <c r="AD57" s="15"/>
      <c r="AE57" s="11"/>
      <c r="AF57" s="11"/>
      <c r="AG57" s="11"/>
      <c r="AH57" s="11"/>
      <c r="AI57" s="11"/>
      <c r="AJ57" s="11"/>
      <c r="AK57" s="11"/>
      <c r="AL57" s="11"/>
    </row>
    <row r="58" spans="1:38" x14ac:dyDescent="0.25">
      <c r="A58" s="11"/>
      <c r="B58" s="96"/>
      <c r="C58" s="96"/>
      <c r="D58" s="96"/>
      <c r="E58" s="10"/>
      <c r="F58" s="10"/>
      <c r="G58" s="10"/>
      <c r="H58" s="96"/>
      <c r="I58" s="11"/>
      <c r="J58" s="96"/>
      <c r="K58" s="96"/>
      <c r="L58" s="12"/>
      <c r="M58" s="12"/>
      <c r="N58" s="12"/>
      <c r="O58" s="12"/>
      <c r="P58" s="11"/>
      <c r="Q58" s="13"/>
      <c r="R58" s="96"/>
      <c r="S58" s="96"/>
      <c r="T58" s="96"/>
      <c r="U58" s="96"/>
      <c r="V58" s="12"/>
      <c r="W58" s="11"/>
      <c r="X58" s="96"/>
      <c r="Y58" s="12"/>
      <c r="Z58" s="11"/>
      <c r="AA58" s="14"/>
      <c r="AB58" s="11"/>
      <c r="AC58" s="11"/>
      <c r="AD58" s="15"/>
      <c r="AE58" s="11"/>
      <c r="AF58" s="11"/>
      <c r="AG58" s="11"/>
      <c r="AH58" s="11"/>
      <c r="AI58" s="11"/>
      <c r="AJ58" s="11"/>
      <c r="AK58" s="11"/>
      <c r="AL58" s="11"/>
    </row>
    <row r="59" spans="1:38" x14ac:dyDescent="0.25">
      <c r="A59" s="11"/>
      <c r="B59" s="96"/>
      <c r="C59" s="96"/>
      <c r="D59" s="96"/>
      <c r="E59" s="10"/>
      <c r="F59" s="10"/>
      <c r="G59" s="10"/>
      <c r="H59" s="96"/>
      <c r="I59" s="11"/>
      <c r="J59" s="96"/>
      <c r="K59" s="96"/>
      <c r="L59" s="12"/>
      <c r="M59" s="12"/>
      <c r="N59" s="12"/>
      <c r="O59" s="12"/>
      <c r="P59" s="11"/>
      <c r="Q59" s="13"/>
      <c r="R59" s="96"/>
      <c r="S59" s="96"/>
      <c r="T59" s="96"/>
      <c r="U59" s="96"/>
      <c r="V59" s="12"/>
      <c r="W59" s="11"/>
      <c r="X59" s="96"/>
      <c r="Y59" s="12"/>
      <c r="Z59" s="11"/>
      <c r="AA59" s="14"/>
      <c r="AB59" s="11"/>
      <c r="AC59" s="11"/>
      <c r="AD59" s="15"/>
      <c r="AE59" s="11"/>
      <c r="AF59" s="11"/>
      <c r="AG59" s="11"/>
      <c r="AH59" s="11"/>
      <c r="AI59" s="11"/>
      <c r="AJ59" s="11"/>
      <c r="AK59" s="11"/>
      <c r="AL59" s="11"/>
    </row>
    <row r="60" spans="1:38" x14ac:dyDescent="0.25">
      <c r="A60" s="11"/>
      <c r="B60" s="96"/>
      <c r="C60" s="96"/>
      <c r="D60" s="96"/>
      <c r="E60" s="10"/>
      <c r="F60" s="10"/>
      <c r="G60" s="10"/>
      <c r="H60" s="96"/>
      <c r="I60" s="11"/>
      <c r="J60" s="96"/>
      <c r="K60" s="96"/>
      <c r="L60" s="12"/>
      <c r="M60" s="12"/>
      <c r="N60" s="12"/>
      <c r="O60" s="12"/>
      <c r="P60" s="11"/>
      <c r="Q60" s="13"/>
      <c r="R60" s="96"/>
      <c r="S60" s="96"/>
      <c r="T60" s="96"/>
      <c r="U60" s="96"/>
      <c r="V60" s="12"/>
      <c r="W60" s="11"/>
      <c r="X60" s="96"/>
      <c r="Y60" s="12"/>
      <c r="Z60" s="11"/>
      <c r="AA60" s="14"/>
      <c r="AB60" s="11"/>
      <c r="AC60" s="11"/>
      <c r="AD60" s="15"/>
      <c r="AE60" s="11"/>
      <c r="AF60" s="11"/>
      <c r="AG60" s="11"/>
      <c r="AH60" s="11"/>
      <c r="AI60" s="11"/>
      <c r="AJ60" s="11"/>
      <c r="AK60" s="11"/>
      <c r="AL60" s="11"/>
    </row>
    <row r="61" spans="1:38" x14ac:dyDescent="0.25">
      <c r="A61" s="11"/>
      <c r="B61" s="96"/>
      <c r="C61" s="96"/>
      <c r="D61" s="96"/>
      <c r="E61" s="10"/>
      <c r="F61" s="10"/>
      <c r="G61" s="10"/>
      <c r="H61" s="96"/>
      <c r="I61" s="11"/>
      <c r="J61" s="96"/>
      <c r="K61" s="96"/>
      <c r="L61" s="12"/>
      <c r="M61" s="12"/>
      <c r="N61" s="12"/>
      <c r="O61" s="12"/>
      <c r="P61" s="11"/>
      <c r="Q61" s="13"/>
      <c r="R61" s="96"/>
      <c r="S61" s="96"/>
      <c r="T61" s="96"/>
      <c r="U61" s="96"/>
      <c r="V61" s="12"/>
      <c r="W61" s="11"/>
      <c r="X61" s="96"/>
      <c r="Y61" s="12"/>
      <c r="Z61" s="11"/>
      <c r="AA61" s="14"/>
      <c r="AB61" s="11"/>
      <c r="AC61" s="11"/>
      <c r="AD61" s="15"/>
      <c r="AE61" s="11"/>
      <c r="AF61" s="11"/>
      <c r="AG61" s="11"/>
      <c r="AH61" s="11"/>
      <c r="AI61" s="11"/>
      <c r="AJ61" s="11"/>
      <c r="AK61" s="11"/>
      <c r="AL61" s="11"/>
    </row>
    <row r="62" spans="1:38" x14ac:dyDescent="0.25">
      <c r="A62" s="11"/>
      <c r="B62" s="96"/>
      <c r="C62" s="96"/>
      <c r="D62" s="96"/>
      <c r="E62" s="10"/>
      <c r="F62" s="10"/>
      <c r="G62" s="10"/>
      <c r="H62" s="96"/>
      <c r="I62" s="11"/>
      <c r="J62" s="96"/>
      <c r="K62" s="96"/>
      <c r="L62" s="12"/>
      <c r="M62" s="12"/>
      <c r="N62" s="12"/>
      <c r="O62" s="12"/>
      <c r="P62" s="11"/>
      <c r="Q62" s="13"/>
      <c r="R62" s="96"/>
      <c r="S62" s="96"/>
      <c r="T62" s="96"/>
      <c r="U62" s="96"/>
      <c r="V62" s="12"/>
      <c r="W62" s="11"/>
      <c r="X62" s="96"/>
      <c r="Y62" s="12"/>
      <c r="Z62" s="11"/>
      <c r="AA62" s="14"/>
      <c r="AB62" s="11"/>
      <c r="AC62" s="11"/>
      <c r="AD62" s="15"/>
      <c r="AE62" s="11"/>
      <c r="AF62" s="11"/>
      <c r="AG62" s="11"/>
      <c r="AH62" s="11"/>
      <c r="AI62" s="11"/>
      <c r="AJ62" s="11"/>
      <c r="AK62" s="11"/>
      <c r="AL62" s="11"/>
    </row>
    <row r="63" spans="1:38" x14ac:dyDescent="0.25">
      <c r="A63" s="11"/>
      <c r="B63" s="96"/>
      <c r="C63" s="96"/>
      <c r="D63" s="96"/>
      <c r="E63" s="10"/>
      <c r="F63" s="10"/>
      <c r="G63" s="10"/>
      <c r="H63" s="96"/>
      <c r="I63" s="11"/>
      <c r="J63" s="96"/>
      <c r="K63" s="96"/>
      <c r="L63" s="12"/>
      <c r="M63" s="12"/>
      <c r="N63" s="12"/>
      <c r="O63" s="12"/>
      <c r="P63" s="11"/>
      <c r="Q63" s="13"/>
      <c r="R63" s="96"/>
      <c r="S63" s="96"/>
      <c r="T63" s="96"/>
      <c r="U63" s="96"/>
      <c r="V63" s="12"/>
      <c r="W63" s="11"/>
      <c r="X63" s="96"/>
      <c r="Y63" s="12"/>
      <c r="Z63" s="11"/>
      <c r="AA63" s="14"/>
      <c r="AB63" s="11"/>
      <c r="AC63" s="11"/>
      <c r="AD63" s="15"/>
      <c r="AE63" s="11"/>
      <c r="AF63" s="11"/>
      <c r="AG63" s="11"/>
      <c r="AH63" s="11"/>
      <c r="AI63" s="11"/>
      <c r="AJ63" s="11"/>
      <c r="AK63" s="11"/>
      <c r="AL63" s="11"/>
    </row>
    <row r="64" spans="1:38" x14ac:dyDescent="0.25">
      <c r="A64" s="11"/>
      <c r="B64" s="96"/>
      <c r="C64" s="96"/>
      <c r="D64" s="96"/>
      <c r="E64" s="10"/>
      <c r="F64" s="10"/>
      <c r="G64" s="10"/>
      <c r="H64" s="96"/>
      <c r="I64" s="11"/>
      <c r="J64" s="96"/>
      <c r="K64" s="96"/>
      <c r="L64" s="12"/>
      <c r="M64" s="12"/>
      <c r="N64" s="12"/>
      <c r="O64" s="12"/>
      <c r="P64" s="11"/>
      <c r="Q64" s="13"/>
      <c r="R64" s="96"/>
      <c r="S64" s="96"/>
      <c r="T64" s="96"/>
      <c r="U64" s="96"/>
      <c r="V64" s="12"/>
      <c r="W64" s="11"/>
      <c r="X64" s="96"/>
      <c r="Y64" s="12"/>
      <c r="Z64" s="11"/>
      <c r="AA64" s="14"/>
      <c r="AB64" s="11"/>
      <c r="AC64" s="11"/>
      <c r="AD64" s="15"/>
      <c r="AE64" s="11"/>
      <c r="AF64" s="11"/>
      <c r="AG64" s="11"/>
      <c r="AH64" s="11"/>
      <c r="AI64" s="11"/>
      <c r="AJ64" s="11"/>
      <c r="AK64" s="11"/>
      <c r="AL64" s="11"/>
    </row>
    <row r="65" spans="1:38" x14ac:dyDescent="0.25">
      <c r="A65" s="11"/>
      <c r="B65" s="96"/>
      <c r="C65" s="96"/>
      <c r="D65" s="96"/>
      <c r="E65" s="10"/>
      <c r="F65" s="10"/>
      <c r="G65" s="10"/>
      <c r="H65" s="96"/>
      <c r="I65" s="11"/>
      <c r="J65" s="96"/>
      <c r="K65" s="96"/>
      <c r="L65" s="12"/>
      <c r="M65" s="12"/>
      <c r="N65" s="12"/>
      <c r="O65" s="12"/>
      <c r="P65" s="11"/>
      <c r="Q65" s="13"/>
      <c r="R65" s="96"/>
      <c r="S65" s="96"/>
      <c r="T65" s="96"/>
      <c r="U65" s="96"/>
      <c r="V65" s="12"/>
      <c r="W65" s="11"/>
      <c r="X65" s="96"/>
      <c r="Y65" s="12"/>
      <c r="Z65" s="11"/>
      <c r="AA65" s="14"/>
      <c r="AB65" s="11"/>
      <c r="AC65" s="11"/>
      <c r="AD65" s="15"/>
      <c r="AE65" s="11"/>
      <c r="AF65" s="11"/>
      <c r="AG65" s="11"/>
      <c r="AH65" s="11"/>
      <c r="AI65" s="11"/>
      <c r="AJ65" s="11"/>
      <c r="AK65" s="11"/>
      <c r="AL65" s="11"/>
    </row>
    <row r="66" spans="1:38" x14ac:dyDescent="0.25">
      <c r="A66" s="11"/>
      <c r="B66" s="96"/>
      <c r="C66" s="96"/>
      <c r="D66" s="96"/>
      <c r="E66" s="10"/>
      <c r="F66" s="10"/>
      <c r="G66" s="10"/>
      <c r="H66" s="96"/>
      <c r="I66" s="11"/>
      <c r="J66" s="96"/>
      <c r="K66" s="96"/>
      <c r="L66" s="12"/>
      <c r="M66" s="12"/>
      <c r="N66" s="12"/>
      <c r="O66" s="12"/>
      <c r="P66" s="11"/>
      <c r="Q66" s="13"/>
      <c r="R66" s="96"/>
      <c r="S66" s="96"/>
      <c r="T66" s="96"/>
      <c r="U66" s="96"/>
      <c r="V66" s="12"/>
      <c r="W66" s="11"/>
      <c r="X66" s="96"/>
      <c r="Y66" s="12"/>
      <c r="Z66" s="11"/>
      <c r="AA66" s="14"/>
      <c r="AB66" s="11"/>
      <c r="AC66" s="11"/>
      <c r="AD66" s="15"/>
      <c r="AE66" s="11"/>
      <c r="AF66" s="11"/>
      <c r="AG66" s="11"/>
      <c r="AH66" s="11"/>
      <c r="AI66" s="11"/>
      <c r="AJ66" s="11"/>
      <c r="AK66" s="11"/>
      <c r="AL66" s="11"/>
    </row>
    <row r="67" spans="1:38" x14ac:dyDescent="0.25">
      <c r="A67" s="11"/>
      <c r="B67" s="96"/>
      <c r="C67" s="96"/>
      <c r="D67" s="96"/>
      <c r="E67" s="10"/>
      <c r="F67" s="10"/>
      <c r="G67" s="10"/>
      <c r="H67" s="96"/>
      <c r="I67" s="11"/>
      <c r="J67" s="96"/>
      <c r="K67" s="96"/>
      <c r="L67" s="12"/>
      <c r="M67" s="12"/>
      <c r="N67" s="12"/>
      <c r="O67" s="12"/>
      <c r="P67" s="11"/>
      <c r="Q67" s="13"/>
      <c r="R67" s="96"/>
      <c r="S67" s="96"/>
      <c r="T67" s="96"/>
      <c r="U67" s="96"/>
      <c r="V67" s="12"/>
      <c r="W67" s="11"/>
      <c r="X67" s="96"/>
      <c r="Y67" s="12"/>
      <c r="Z67" s="11"/>
      <c r="AA67" s="14"/>
      <c r="AB67" s="11"/>
      <c r="AC67" s="11"/>
      <c r="AD67" s="15"/>
      <c r="AE67" s="11"/>
      <c r="AF67" s="11"/>
      <c r="AG67" s="11"/>
      <c r="AH67" s="11"/>
      <c r="AI67" s="11"/>
      <c r="AJ67" s="11"/>
      <c r="AK67" s="11"/>
      <c r="AL67" s="11"/>
    </row>
    <row r="68" spans="1:38" x14ac:dyDescent="0.25">
      <c r="A68" s="11"/>
      <c r="B68" s="96"/>
      <c r="C68" s="96"/>
      <c r="D68" s="96"/>
      <c r="E68" s="10"/>
      <c r="F68" s="10"/>
      <c r="G68" s="10"/>
      <c r="H68" s="96"/>
      <c r="I68" s="11"/>
      <c r="J68" s="96"/>
      <c r="K68" s="96"/>
      <c r="L68" s="12"/>
      <c r="M68" s="12"/>
      <c r="N68" s="12"/>
      <c r="O68" s="12"/>
      <c r="P68" s="11"/>
      <c r="Q68" s="13"/>
      <c r="R68" s="96"/>
      <c r="S68" s="96"/>
      <c r="T68" s="96"/>
      <c r="U68" s="96"/>
      <c r="V68" s="12"/>
      <c r="W68" s="11"/>
      <c r="X68" s="96"/>
      <c r="Y68" s="12"/>
      <c r="Z68" s="11"/>
      <c r="AA68" s="14"/>
      <c r="AB68" s="11"/>
      <c r="AC68" s="11"/>
      <c r="AD68" s="15"/>
      <c r="AE68" s="11"/>
      <c r="AF68" s="11"/>
      <c r="AG68" s="11"/>
      <c r="AH68" s="11"/>
      <c r="AI68" s="11"/>
      <c r="AJ68" s="11"/>
      <c r="AK68" s="11"/>
      <c r="AL68" s="11"/>
    </row>
    <row r="69" spans="1:38" x14ac:dyDescent="0.25">
      <c r="A69" s="11"/>
      <c r="B69" s="96"/>
      <c r="C69" s="96"/>
      <c r="D69" s="96"/>
      <c r="E69" s="10"/>
      <c r="F69" s="10"/>
      <c r="G69" s="10"/>
      <c r="H69" s="96"/>
      <c r="I69" s="11"/>
      <c r="J69" s="96"/>
      <c r="K69" s="96"/>
      <c r="L69" s="12"/>
      <c r="M69" s="12"/>
      <c r="N69" s="12"/>
      <c r="O69" s="12"/>
      <c r="P69" s="11"/>
      <c r="Q69" s="13"/>
      <c r="R69" s="96"/>
      <c r="S69" s="96"/>
      <c r="T69" s="96"/>
      <c r="U69" s="96"/>
      <c r="V69" s="12"/>
      <c r="W69" s="11"/>
      <c r="X69" s="96"/>
      <c r="Y69" s="12"/>
      <c r="Z69" s="11"/>
      <c r="AA69" s="14"/>
      <c r="AB69" s="11"/>
      <c r="AC69" s="11"/>
      <c r="AD69" s="15"/>
      <c r="AE69" s="11"/>
      <c r="AF69" s="11"/>
      <c r="AG69" s="11"/>
      <c r="AH69" s="11"/>
      <c r="AI69" s="11"/>
      <c r="AJ69" s="11"/>
      <c r="AK69" s="11"/>
      <c r="AL69" s="11"/>
    </row>
    <row r="70" spans="1:38" x14ac:dyDescent="0.25">
      <c r="A70" s="11"/>
      <c r="B70" s="96"/>
      <c r="C70" s="96"/>
      <c r="D70" s="96"/>
      <c r="E70" s="10"/>
      <c r="F70" s="10"/>
      <c r="G70" s="10"/>
      <c r="H70" s="96"/>
      <c r="I70" s="11"/>
      <c r="J70" s="96"/>
      <c r="K70" s="96"/>
      <c r="L70" s="12"/>
      <c r="M70" s="12"/>
      <c r="N70" s="12"/>
      <c r="O70" s="12"/>
      <c r="P70" s="11"/>
      <c r="Q70" s="13"/>
      <c r="R70" s="96"/>
      <c r="S70" s="96"/>
      <c r="T70" s="96"/>
      <c r="U70" s="96"/>
      <c r="V70" s="12"/>
      <c r="W70" s="11"/>
      <c r="X70" s="96"/>
      <c r="Y70" s="12"/>
      <c r="Z70" s="11"/>
      <c r="AA70" s="14"/>
      <c r="AB70" s="11"/>
      <c r="AC70" s="11"/>
      <c r="AD70" s="15"/>
      <c r="AE70" s="11"/>
      <c r="AF70" s="11"/>
      <c r="AG70" s="11"/>
      <c r="AH70" s="11"/>
      <c r="AI70" s="11"/>
      <c r="AJ70" s="11"/>
      <c r="AK70" s="11"/>
      <c r="AL70" s="11"/>
    </row>
    <row r="71" spans="1:38" x14ac:dyDescent="0.25">
      <c r="A71" s="11"/>
      <c r="B71" s="96"/>
      <c r="C71" s="96"/>
      <c r="D71" s="96"/>
      <c r="E71" s="10"/>
      <c r="F71" s="10"/>
      <c r="G71" s="10"/>
      <c r="H71" s="96"/>
      <c r="I71" s="11"/>
      <c r="J71" s="96"/>
      <c r="K71" s="96"/>
      <c r="L71" s="12"/>
      <c r="M71" s="12"/>
      <c r="N71" s="12"/>
      <c r="O71" s="12"/>
      <c r="P71" s="11"/>
      <c r="Q71" s="13"/>
      <c r="R71" s="96"/>
      <c r="S71" s="96"/>
      <c r="T71" s="96"/>
      <c r="U71" s="96"/>
      <c r="V71" s="12"/>
      <c r="W71" s="11"/>
      <c r="X71" s="96"/>
      <c r="Y71" s="12"/>
      <c r="Z71" s="11"/>
      <c r="AA71" s="14"/>
      <c r="AB71" s="11"/>
      <c r="AC71" s="11"/>
      <c r="AD71" s="15"/>
      <c r="AE71" s="11"/>
      <c r="AF71" s="11"/>
      <c r="AG71" s="11"/>
      <c r="AH71" s="11"/>
      <c r="AI71" s="11"/>
      <c r="AJ71" s="11"/>
      <c r="AK71" s="11"/>
      <c r="AL71" s="11"/>
    </row>
    <row r="72" spans="1:38" x14ac:dyDescent="0.25">
      <c r="A72" s="11"/>
      <c r="B72" s="96"/>
      <c r="C72" s="96"/>
      <c r="D72" s="96"/>
      <c r="E72" s="10"/>
      <c r="F72" s="10"/>
      <c r="G72" s="10"/>
      <c r="H72" s="96"/>
      <c r="I72" s="11"/>
      <c r="J72" s="96"/>
      <c r="K72" s="96"/>
      <c r="L72" s="12"/>
      <c r="M72" s="12"/>
      <c r="N72" s="12"/>
      <c r="O72" s="12"/>
      <c r="P72" s="11"/>
      <c r="Q72" s="13"/>
      <c r="R72" s="96"/>
      <c r="S72" s="96"/>
      <c r="T72" s="96"/>
      <c r="U72" s="96"/>
      <c r="V72" s="12"/>
      <c r="W72" s="11"/>
      <c r="X72" s="96"/>
      <c r="Y72" s="12"/>
      <c r="Z72" s="11"/>
      <c r="AA72" s="14"/>
      <c r="AB72" s="11"/>
      <c r="AC72" s="11"/>
      <c r="AD72" s="15"/>
      <c r="AE72" s="11"/>
      <c r="AF72" s="11"/>
      <c r="AG72" s="11"/>
      <c r="AH72" s="11"/>
      <c r="AI72" s="11"/>
      <c r="AJ72" s="11"/>
      <c r="AK72" s="11"/>
      <c r="AL72" s="11"/>
    </row>
    <row r="73" spans="1:38" x14ac:dyDescent="0.25">
      <c r="A73" s="11"/>
      <c r="B73" s="96"/>
      <c r="C73" s="96"/>
      <c r="D73" s="96"/>
      <c r="E73" s="10"/>
      <c r="F73" s="10"/>
      <c r="G73" s="10"/>
      <c r="H73" s="96"/>
      <c r="I73" s="11"/>
      <c r="J73" s="96"/>
      <c r="K73" s="96"/>
      <c r="L73" s="12"/>
      <c r="M73" s="12"/>
      <c r="N73" s="12"/>
      <c r="O73" s="12"/>
      <c r="P73" s="11"/>
      <c r="Q73" s="13"/>
      <c r="R73" s="96"/>
      <c r="S73" s="96"/>
      <c r="T73" s="96"/>
      <c r="U73" s="96"/>
      <c r="V73" s="12"/>
      <c r="W73" s="11"/>
      <c r="X73" s="96"/>
      <c r="Y73" s="12"/>
      <c r="Z73" s="11"/>
      <c r="AA73" s="14"/>
      <c r="AB73" s="11"/>
      <c r="AC73" s="11"/>
      <c r="AD73" s="15"/>
      <c r="AE73" s="11"/>
      <c r="AF73" s="11"/>
      <c r="AG73" s="11"/>
      <c r="AH73" s="11"/>
      <c r="AI73" s="11"/>
      <c r="AJ73" s="11"/>
      <c r="AK73" s="11"/>
      <c r="AL73" s="11"/>
    </row>
    <row r="74" spans="1:38" x14ac:dyDescent="0.25">
      <c r="A74" s="11"/>
      <c r="B74" s="96"/>
      <c r="C74" s="96"/>
      <c r="D74" s="96"/>
      <c r="E74" s="10"/>
      <c r="F74" s="10"/>
      <c r="G74" s="10"/>
      <c r="H74" s="96"/>
      <c r="I74" s="11"/>
      <c r="J74" s="96"/>
      <c r="K74" s="96"/>
      <c r="L74" s="12"/>
      <c r="M74" s="12"/>
      <c r="N74" s="12"/>
      <c r="O74" s="12"/>
      <c r="P74" s="11"/>
      <c r="Q74" s="13"/>
      <c r="R74" s="96"/>
      <c r="S74" s="96"/>
      <c r="T74" s="96"/>
      <c r="U74" s="96"/>
      <c r="V74" s="12"/>
      <c r="W74" s="11"/>
      <c r="X74" s="96"/>
      <c r="Y74" s="12"/>
      <c r="Z74" s="11"/>
      <c r="AA74" s="14"/>
      <c r="AB74" s="11"/>
      <c r="AC74" s="11"/>
      <c r="AD74" s="15"/>
      <c r="AE74" s="11"/>
      <c r="AF74" s="11"/>
      <c r="AG74" s="11"/>
      <c r="AH74" s="11"/>
      <c r="AI74" s="11"/>
      <c r="AJ74" s="11"/>
      <c r="AK74" s="11"/>
      <c r="AL74" s="11"/>
    </row>
    <row r="75" spans="1:38" x14ac:dyDescent="0.25">
      <c r="A75" s="11"/>
      <c r="B75" s="96"/>
      <c r="C75" s="96"/>
      <c r="D75" s="96"/>
      <c r="E75" s="10"/>
      <c r="F75" s="10"/>
      <c r="G75" s="10"/>
      <c r="H75" s="96"/>
      <c r="I75" s="11"/>
      <c r="J75" s="96"/>
      <c r="K75" s="96"/>
      <c r="L75" s="12"/>
      <c r="M75" s="12"/>
      <c r="N75" s="12"/>
      <c r="O75" s="12"/>
      <c r="P75" s="11"/>
      <c r="Q75" s="13"/>
      <c r="R75" s="96"/>
      <c r="S75" s="96"/>
      <c r="T75" s="96"/>
      <c r="U75" s="96"/>
      <c r="V75" s="12"/>
      <c r="W75" s="11"/>
      <c r="X75" s="96"/>
      <c r="Y75" s="12"/>
      <c r="Z75" s="11"/>
      <c r="AA75" s="14"/>
      <c r="AB75" s="11"/>
      <c r="AC75" s="11"/>
      <c r="AD75" s="15"/>
      <c r="AE75" s="11"/>
      <c r="AF75" s="11"/>
      <c r="AG75" s="11"/>
      <c r="AH75" s="11"/>
      <c r="AI75" s="11"/>
      <c r="AJ75" s="11"/>
      <c r="AK75" s="11"/>
      <c r="AL75" s="11"/>
    </row>
    <row r="76" spans="1:38" x14ac:dyDescent="0.25">
      <c r="A76" s="11"/>
      <c r="B76" s="96"/>
      <c r="C76" s="96"/>
      <c r="D76" s="96"/>
      <c r="E76" s="10"/>
      <c r="F76" s="10"/>
      <c r="G76" s="10"/>
      <c r="H76" s="96"/>
      <c r="I76" s="11"/>
      <c r="J76" s="96"/>
      <c r="K76" s="96"/>
      <c r="L76" s="12"/>
      <c r="M76" s="12"/>
      <c r="N76" s="12"/>
      <c r="O76" s="12"/>
      <c r="P76" s="11"/>
      <c r="Q76" s="13"/>
      <c r="R76" s="96"/>
      <c r="S76" s="96"/>
      <c r="T76" s="96"/>
      <c r="U76" s="96"/>
      <c r="V76" s="12"/>
      <c r="W76" s="11"/>
      <c r="X76" s="96"/>
      <c r="Y76" s="12"/>
      <c r="Z76" s="11"/>
      <c r="AA76" s="14"/>
      <c r="AB76" s="11"/>
      <c r="AC76" s="11"/>
      <c r="AD76" s="15"/>
      <c r="AE76" s="11"/>
      <c r="AF76" s="11"/>
      <c r="AG76" s="11"/>
      <c r="AH76" s="11"/>
      <c r="AI76" s="11"/>
      <c r="AJ76" s="11"/>
      <c r="AK76" s="11"/>
      <c r="AL76" s="11"/>
    </row>
    <row r="77" spans="1:38" x14ac:dyDescent="0.25">
      <c r="A77" s="11"/>
      <c r="B77" s="96"/>
      <c r="C77" s="96"/>
      <c r="D77" s="96"/>
      <c r="E77" s="10"/>
      <c r="F77" s="10"/>
      <c r="G77" s="10"/>
      <c r="H77" s="96"/>
      <c r="I77" s="11"/>
      <c r="J77" s="96"/>
      <c r="K77" s="96"/>
      <c r="L77" s="12"/>
      <c r="M77" s="12"/>
      <c r="N77" s="12"/>
      <c r="O77" s="12"/>
      <c r="P77" s="11"/>
      <c r="Q77" s="13"/>
      <c r="R77" s="96"/>
      <c r="S77" s="96"/>
      <c r="T77" s="96"/>
      <c r="U77" s="96"/>
      <c r="V77" s="12"/>
      <c r="W77" s="11"/>
      <c r="X77" s="96"/>
      <c r="Y77" s="12"/>
      <c r="Z77" s="11"/>
      <c r="AA77" s="14"/>
      <c r="AB77" s="11"/>
      <c r="AC77" s="11"/>
      <c r="AD77" s="15"/>
      <c r="AE77" s="11"/>
      <c r="AF77" s="11"/>
      <c r="AG77" s="11"/>
      <c r="AH77" s="11"/>
      <c r="AI77" s="11"/>
      <c r="AJ77" s="11"/>
      <c r="AK77" s="11"/>
      <c r="AL77" s="11"/>
    </row>
    <row r="78" spans="1:38" x14ac:dyDescent="0.25">
      <c r="A78" s="11"/>
      <c r="B78" s="96"/>
      <c r="C78" s="96"/>
      <c r="D78" s="96"/>
      <c r="E78" s="10"/>
      <c r="F78" s="10"/>
      <c r="G78" s="10"/>
      <c r="H78" s="96"/>
      <c r="I78" s="11"/>
      <c r="J78" s="96"/>
      <c r="K78" s="96"/>
      <c r="L78" s="12"/>
      <c r="M78" s="12"/>
      <c r="N78" s="12"/>
      <c r="O78" s="12"/>
      <c r="P78" s="11"/>
      <c r="Q78" s="13"/>
      <c r="R78" s="96"/>
      <c r="S78" s="96"/>
      <c r="T78" s="96"/>
      <c r="U78" s="96"/>
      <c r="V78" s="12"/>
      <c r="W78" s="11"/>
      <c r="X78" s="96"/>
      <c r="Y78" s="12"/>
      <c r="Z78" s="11"/>
      <c r="AA78" s="14"/>
      <c r="AB78" s="11"/>
      <c r="AC78" s="11"/>
      <c r="AD78" s="15"/>
      <c r="AE78" s="11"/>
      <c r="AF78" s="11"/>
      <c r="AG78" s="11"/>
      <c r="AH78" s="11"/>
      <c r="AI78" s="11"/>
      <c r="AJ78" s="11"/>
      <c r="AK78" s="11"/>
      <c r="AL78" s="11"/>
    </row>
    <row r="79" spans="1:38" x14ac:dyDescent="0.25">
      <c r="A79" s="11"/>
      <c r="B79" s="96"/>
      <c r="C79" s="96"/>
      <c r="D79" s="96"/>
      <c r="E79" s="10"/>
      <c r="F79" s="10"/>
      <c r="G79" s="10"/>
      <c r="H79" s="96"/>
      <c r="I79" s="11"/>
      <c r="J79" s="96"/>
      <c r="K79" s="96"/>
      <c r="L79" s="12"/>
      <c r="M79" s="12"/>
      <c r="N79" s="12"/>
      <c r="O79" s="12"/>
      <c r="P79" s="11"/>
      <c r="Q79" s="13"/>
      <c r="R79" s="96"/>
      <c r="S79" s="96"/>
      <c r="T79" s="96"/>
      <c r="U79" s="96"/>
      <c r="V79" s="12"/>
      <c r="W79" s="11"/>
      <c r="X79" s="96"/>
      <c r="Y79" s="12"/>
      <c r="Z79" s="11"/>
      <c r="AA79" s="14"/>
      <c r="AB79" s="11"/>
      <c r="AC79" s="11"/>
      <c r="AD79" s="15"/>
      <c r="AE79" s="11"/>
      <c r="AF79" s="11"/>
      <c r="AG79" s="11"/>
      <c r="AH79" s="11"/>
      <c r="AI79" s="11"/>
      <c r="AJ79" s="11"/>
      <c r="AK79" s="11"/>
      <c r="AL79" s="11"/>
    </row>
    <row r="80" spans="1:38" x14ac:dyDescent="0.25">
      <c r="A80" s="11"/>
      <c r="B80" s="96"/>
      <c r="C80" s="96"/>
      <c r="D80" s="96"/>
      <c r="E80" s="10"/>
      <c r="F80" s="10"/>
      <c r="G80" s="10"/>
      <c r="H80" s="96"/>
      <c r="I80" s="11"/>
      <c r="J80" s="96"/>
      <c r="K80" s="96"/>
      <c r="L80" s="12"/>
      <c r="M80" s="12"/>
      <c r="N80" s="12"/>
      <c r="O80" s="12"/>
      <c r="P80" s="11"/>
      <c r="Q80" s="13"/>
      <c r="R80" s="96"/>
      <c r="S80" s="96"/>
      <c r="T80" s="96"/>
      <c r="U80" s="96"/>
      <c r="V80" s="12"/>
      <c r="W80" s="11"/>
      <c r="X80" s="96"/>
      <c r="Y80" s="12"/>
      <c r="Z80" s="11"/>
      <c r="AA80" s="14"/>
      <c r="AB80" s="11"/>
      <c r="AC80" s="11"/>
      <c r="AD80" s="15"/>
      <c r="AE80" s="11"/>
      <c r="AF80" s="11"/>
      <c r="AG80" s="11"/>
      <c r="AH80" s="11"/>
      <c r="AI80" s="11"/>
      <c r="AJ80" s="11"/>
      <c r="AK80" s="11"/>
      <c r="AL80" s="11"/>
    </row>
    <row r="81" spans="1:38" x14ac:dyDescent="0.25">
      <c r="A81" s="11"/>
      <c r="B81" s="96"/>
      <c r="C81" s="96"/>
      <c r="D81" s="96"/>
      <c r="E81" s="10"/>
      <c r="F81" s="10"/>
      <c r="G81" s="10"/>
      <c r="H81" s="96"/>
      <c r="I81" s="11"/>
      <c r="J81" s="96"/>
      <c r="K81" s="96"/>
      <c r="L81" s="12"/>
      <c r="M81" s="12"/>
      <c r="N81" s="12"/>
      <c r="O81" s="12"/>
      <c r="P81" s="11"/>
      <c r="Q81" s="13"/>
      <c r="R81" s="96"/>
      <c r="S81" s="96"/>
      <c r="T81" s="96"/>
      <c r="U81" s="96"/>
      <c r="V81" s="12"/>
      <c r="W81" s="11"/>
      <c r="X81" s="96"/>
      <c r="Y81" s="12"/>
      <c r="Z81" s="11"/>
      <c r="AA81" s="14"/>
      <c r="AB81" s="11"/>
      <c r="AC81" s="11"/>
      <c r="AD81" s="15"/>
      <c r="AE81" s="11"/>
      <c r="AF81" s="11"/>
      <c r="AG81" s="11"/>
      <c r="AH81" s="11"/>
      <c r="AI81" s="11"/>
      <c r="AJ81" s="11"/>
      <c r="AK81" s="11"/>
      <c r="AL81" s="11"/>
    </row>
    <row r="82" spans="1:38" x14ac:dyDescent="0.25">
      <c r="A82" s="11"/>
      <c r="B82" s="96"/>
      <c r="C82" s="96"/>
      <c r="D82" s="96"/>
      <c r="E82" s="10"/>
      <c r="F82" s="10"/>
      <c r="G82" s="10"/>
      <c r="H82" s="96"/>
      <c r="I82" s="11"/>
      <c r="J82" s="96"/>
      <c r="K82" s="96"/>
      <c r="L82" s="12"/>
      <c r="M82" s="12"/>
      <c r="N82" s="12"/>
      <c r="O82" s="12"/>
      <c r="P82" s="11"/>
      <c r="Q82" s="13"/>
      <c r="R82" s="96"/>
      <c r="S82" s="96"/>
      <c r="T82" s="96"/>
      <c r="U82" s="96"/>
      <c r="V82" s="12"/>
      <c r="W82" s="11"/>
      <c r="X82" s="96"/>
      <c r="Y82" s="12"/>
      <c r="Z82" s="11"/>
      <c r="AA82" s="14"/>
      <c r="AB82" s="11"/>
      <c r="AC82" s="11"/>
      <c r="AD82" s="15"/>
      <c r="AE82" s="11"/>
      <c r="AF82" s="11"/>
      <c r="AG82" s="11"/>
      <c r="AH82" s="11"/>
      <c r="AI82" s="11"/>
      <c r="AJ82" s="11"/>
      <c r="AK82" s="11"/>
      <c r="AL82" s="11"/>
    </row>
    <row r="83" spans="1:38" x14ac:dyDescent="0.25">
      <c r="A83" s="11"/>
      <c r="B83" s="96"/>
      <c r="C83" s="96"/>
      <c r="D83" s="96"/>
      <c r="E83" s="10"/>
      <c r="F83" s="10"/>
      <c r="G83" s="10"/>
      <c r="H83" s="96"/>
      <c r="I83" s="11"/>
      <c r="J83" s="96"/>
      <c r="K83" s="96"/>
      <c r="L83" s="12"/>
      <c r="M83" s="12"/>
      <c r="N83" s="12"/>
      <c r="O83" s="12"/>
      <c r="P83" s="11"/>
      <c r="Q83" s="13"/>
      <c r="R83" s="96"/>
      <c r="S83" s="96"/>
      <c r="T83" s="96"/>
      <c r="U83" s="96"/>
      <c r="V83" s="12"/>
      <c r="W83" s="11"/>
      <c r="X83" s="96"/>
      <c r="Y83" s="12"/>
      <c r="Z83" s="11"/>
      <c r="AA83" s="14"/>
      <c r="AB83" s="11"/>
      <c r="AC83" s="11"/>
      <c r="AD83" s="15"/>
      <c r="AE83" s="11"/>
      <c r="AF83" s="11"/>
      <c r="AG83" s="11"/>
      <c r="AH83" s="11"/>
      <c r="AI83" s="11"/>
      <c r="AJ83" s="11"/>
      <c r="AK83" s="11"/>
      <c r="AL83" s="11"/>
    </row>
    <row r="84" spans="1:38" x14ac:dyDescent="0.25">
      <c r="A84" s="11"/>
      <c r="B84" s="96"/>
      <c r="C84" s="96"/>
      <c r="D84" s="96"/>
      <c r="E84" s="10"/>
      <c r="F84" s="10"/>
      <c r="G84" s="10"/>
      <c r="H84" s="96"/>
      <c r="I84" s="11"/>
      <c r="J84" s="96"/>
      <c r="K84" s="96"/>
      <c r="L84" s="12"/>
      <c r="M84" s="12"/>
      <c r="N84" s="12"/>
      <c r="O84" s="12"/>
      <c r="P84" s="11"/>
      <c r="Q84" s="13"/>
      <c r="R84" s="96"/>
      <c r="S84" s="96"/>
      <c r="T84" s="96"/>
      <c r="U84" s="96"/>
      <c r="V84" s="12"/>
      <c r="W84" s="11"/>
      <c r="X84" s="96"/>
      <c r="Y84" s="12"/>
      <c r="Z84" s="11"/>
      <c r="AA84" s="14"/>
      <c r="AB84" s="11"/>
      <c r="AC84" s="11"/>
      <c r="AD84" s="15"/>
      <c r="AE84" s="11"/>
      <c r="AF84" s="11"/>
      <c r="AG84" s="11"/>
      <c r="AH84" s="11"/>
      <c r="AI84" s="11"/>
      <c r="AJ84" s="11"/>
      <c r="AK84" s="11"/>
      <c r="AL84" s="11"/>
    </row>
    <row r="85" spans="1:38" x14ac:dyDescent="0.25">
      <c r="A85" s="11"/>
      <c r="B85" s="96"/>
      <c r="C85" s="96"/>
      <c r="D85" s="96"/>
      <c r="E85" s="10"/>
      <c r="F85" s="10"/>
      <c r="G85" s="10"/>
      <c r="H85" s="96"/>
      <c r="I85" s="11"/>
      <c r="J85" s="96"/>
      <c r="K85" s="96"/>
      <c r="L85" s="12"/>
      <c r="M85" s="12"/>
      <c r="N85" s="12"/>
      <c r="O85" s="12"/>
      <c r="P85" s="11"/>
      <c r="Q85" s="13"/>
      <c r="R85" s="96"/>
      <c r="S85" s="96"/>
      <c r="T85" s="96"/>
      <c r="U85" s="96"/>
      <c r="V85" s="12"/>
      <c r="W85" s="11"/>
      <c r="X85" s="96"/>
      <c r="Y85" s="12"/>
      <c r="Z85" s="11"/>
      <c r="AA85" s="14"/>
      <c r="AB85" s="11"/>
      <c r="AC85" s="11"/>
      <c r="AD85" s="15"/>
      <c r="AE85" s="11"/>
      <c r="AF85" s="11"/>
      <c r="AG85" s="11"/>
      <c r="AH85" s="11"/>
      <c r="AI85" s="11"/>
      <c r="AJ85" s="11"/>
      <c r="AK85" s="11"/>
      <c r="AL85" s="11"/>
    </row>
    <row r="86" spans="1:38" x14ac:dyDescent="0.25">
      <c r="A86" s="11"/>
      <c r="B86" s="96"/>
      <c r="C86" s="96"/>
      <c r="D86" s="96"/>
      <c r="E86" s="10"/>
      <c r="F86" s="10"/>
      <c r="G86" s="10"/>
      <c r="H86" s="96"/>
      <c r="I86" s="11"/>
      <c r="J86" s="96"/>
      <c r="K86" s="96"/>
      <c r="L86" s="12"/>
      <c r="M86" s="12"/>
      <c r="N86" s="12"/>
      <c r="O86" s="12"/>
      <c r="P86" s="11"/>
      <c r="Q86" s="13"/>
      <c r="R86" s="96"/>
      <c r="S86" s="96"/>
      <c r="T86" s="96"/>
      <c r="U86" s="96"/>
      <c r="V86" s="12"/>
      <c r="W86" s="11"/>
      <c r="X86" s="96"/>
      <c r="Y86" s="12"/>
      <c r="Z86" s="11"/>
      <c r="AA86" s="14"/>
      <c r="AB86" s="11"/>
      <c r="AC86" s="11"/>
      <c r="AD86" s="15"/>
      <c r="AE86" s="11"/>
      <c r="AF86" s="11"/>
      <c r="AG86" s="11"/>
      <c r="AH86" s="11"/>
      <c r="AI86" s="11"/>
      <c r="AJ86" s="11"/>
      <c r="AK86" s="11"/>
      <c r="AL86" s="11"/>
    </row>
    <row r="87" spans="1:38" x14ac:dyDescent="0.25">
      <c r="A87" s="11"/>
      <c r="B87" s="96"/>
      <c r="C87" s="96"/>
      <c r="D87" s="96"/>
      <c r="E87" s="10"/>
      <c r="F87" s="10"/>
      <c r="G87" s="10"/>
      <c r="H87" s="96"/>
      <c r="I87" s="11"/>
      <c r="J87" s="96"/>
      <c r="K87" s="96"/>
      <c r="L87" s="12"/>
      <c r="M87" s="12"/>
      <c r="N87" s="12"/>
      <c r="O87" s="12"/>
      <c r="P87" s="11"/>
      <c r="Q87" s="13"/>
      <c r="R87" s="96"/>
      <c r="S87" s="96"/>
      <c r="T87" s="96"/>
      <c r="U87" s="96"/>
      <c r="V87" s="12"/>
      <c r="W87" s="11"/>
      <c r="X87" s="96"/>
      <c r="Y87" s="12"/>
      <c r="Z87" s="11"/>
      <c r="AA87" s="14"/>
      <c r="AB87" s="11"/>
      <c r="AC87" s="11"/>
      <c r="AD87" s="15"/>
      <c r="AE87" s="11"/>
      <c r="AF87" s="11"/>
      <c r="AG87" s="11"/>
      <c r="AH87" s="11"/>
      <c r="AI87" s="11"/>
      <c r="AJ87" s="11"/>
      <c r="AK87" s="11"/>
      <c r="AL87" s="11"/>
    </row>
    <row r="88" spans="1:38" x14ac:dyDescent="0.25">
      <c r="A88" s="11"/>
      <c r="B88" s="96"/>
      <c r="C88" s="96"/>
      <c r="D88" s="96"/>
      <c r="E88" s="10"/>
      <c r="F88" s="10"/>
      <c r="G88" s="10"/>
      <c r="H88" s="96"/>
      <c r="I88" s="11"/>
      <c r="J88" s="96"/>
      <c r="K88" s="96"/>
      <c r="L88" s="12"/>
      <c r="M88" s="12"/>
      <c r="N88" s="12"/>
      <c r="O88" s="12"/>
      <c r="P88" s="11"/>
      <c r="Q88" s="13"/>
      <c r="R88" s="96"/>
      <c r="S88" s="96"/>
      <c r="T88" s="96"/>
      <c r="U88" s="96"/>
      <c r="V88" s="12"/>
      <c r="W88" s="11"/>
      <c r="X88" s="96"/>
      <c r="Y88" s="12"/>
      <c r="Z88" s="11"/>
      <c r="AA88" s="14"/>
      <c r="AB88" s="11"/>
      <c r="AC88" s="11"/>
      <c r="AD88" s="15"/>
      <c r="AE88" s="11"/>
      <c r="AF88" s="11"/>
      <c r="AG88" s="11"/>
      <c r="AH88" s="11"/>
      <c r="AI88" s="11"/>
      <c r="AJ88" s="11"/>
      <c r="AK88" s="11"/>
      <c r="AL88" s="1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5214-6999-4888-989F-2D217E711C90}">
  <dimension ref="A1:AL88"/>
  <sheetViews>
    <sheetView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A5" sqref="A5:AD5"/>
    </sheetView>
  </sheetViews>
  <sheetFormatPr baseColWidth="10" defaultColWidth="1.375" defaultRowHeight="15" x14ac:dyDescent="0.25"/>
  <cols>
    <col min="1" max="1" width="11.125" style="95" customWidth="1"/>
    <col min="2" max="2" width="12.75" style="95" bestFit="1" customWidth="1"/>
    <col min="3" max="3" width="11.75" style="95" bestFit="1" customWidth="1"/>
    <col min="4" max="4" width="8.5" style="95" bestFit="1" customWidth="1"/>
    <col min="5" max="6" width="12.125" style="95" bestFit="1" customWidth="1"/>
    <col min="7" max="7" width="10.625" style="95" bestFit="1" customWidth="1"/>
    <col min="8" max="8" width="7.625" style="95" bestFit="1" customWidth="1"/>
    <col min="9" max="9" width="11.5" style="95" bestFit="1" customWidth="1"/>
    <col min="10" max="10" width="8.375" style="95" bestFit="1" customWidth="1"/>
    <col min="11" max="11" width="7.625" style="95" bestFit="1" customWidth="1"/>
    <col min="12" max="15" width="9.25" style="95" bestFit="1" customWidth="1"/>
    <col min="16" max="16" width="8.625" style="95" bestFit="1" customWidth="1"/>
    <col min="17" max="17" width="7.375" style="95" bestFit="1" customWidth="1"/>
    <col min="18" max="18" width="11" style="95" bestFit="1" customWidth="1"/>
    <col min="19" max="19" width="9.875" style="95" bestFit="1" customWidth="1"/>
    <col min="20" max="20" width="10" style="95" bestFit="1" customWidth="1"/>
    <col min="21" max="21" width="9.125" style="95" bestFit="1" customWidth="1"/>
    <col min="22" max="22" width="11" style="95" bestFit="1" customWidth="1"/>
    <col min="23" max="23" width="7.5" style="95" bestFit="1" customWidth="1"/>
    <col min="24" max="24" width="8.625" style="95" bestFit="1" customWidth="1"/>
    <col min="25" max="25" width="10.125" style="95" bestFit="1" customWidth="1"/>
    <col min="26" max="26" width="8.875" style="95" bestFit="1" customWidth="1"/>
    <col min="27" max="27" width="7.375" style="95" bestFit="1" customWidth="1"/>
    <col min="28" max="28" width="9.25" style="95" bestFit="1" customWidth="1"/>
    <col min="29" max="29" width="12.375" style="95" bestFit="1" customWidth="1"/>
    <col min="30" max="30" width="10.125" style="95" bestFit="1" customWidth="1"/>
    <col min="31" max="31" width="9.25" style="95" bestFit="1" customWidth="1"/>
    <col min="32" max="32" width="10.125" style="95" bestFit="1" customWidth="1"/>
    <col min="33" max="33" width="13.875" style="95" bestFit="1" customWidth="1"/>
    <col min="34" max="34" width="13" style="95" bestFit="1" customWidth="1"/>
    <col min="35" max="35" width="14" style="95" bestFit="1" customWidth="1"/>
    <col min="36" max="36" width="13.125" style="95" bestFit="1" customWidth="1"/>
    <col min="37" max="37" width="9.625" style="95" bestFit="1" customWidth="1"/>
    <col min="38" max="38" width="12.625" style="95" bestFit="1" customWidth="1"/>
    <col min="39" max="16384" width="1.375" style="95"/>
  </cols>
  <sheetData>
    <row r="1" spans="1:38" ht="83.25" customHeight="1" x14ac:dyDescent="0.25">
      <c r="A1" s="1" t="s">
        <v>28</v>
      </c>
      <c r="B1" s="94" t="s">
        <v>53</v>
      </c>
      <c r="C1" s="94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94" t="s">
        <v>6</v>
      </c>
      <c r="J1" s="94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94" t="s">
        <v>14</v>
      </c>
      <c r="R1" s="94" t="s">
        <v>15</v>
      </c>
      <c r="S1" s="94" t="s">
        <v>16</v>
      </c>
      <c r="T1" s="94" t="s">
        <v>17</v>
      </c>
      <c r="U1" s="2" t="s">
        <v>18</v>
      </c>
      <c r="V1" s="2" t="s">
        <v>19</v>
      </c>
      <c r="W1" s="94" t="s">
        <v>20</v>
      </c>
      <c r="X1" s="2" t="s">
        <v>21</v>
      </c>
      <c r="Y1" s="2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/>
    </row>
    <row r="2" spans="1:38" x14ac:dyDescent="0.25">
      <c r="A2" s="70" t="s">
        <v>57</v>
      </c>
      <c r="B2" s="26">
        <v>17</v>
      </c>
      <c r="C2" s="26">
        <v>18</v>
      </c>
      <c r="D2" s="26">
        <v>119250</v>
      </c>
      <c r="E2" s="36">
        <v>734400</v>
      </c>
      <c r="F2" s="36">
        <v>-615150</v>
      </c>
      <c r="G2" s="36">
        <v>1556</v>
      </c>
      <c r="H2" s="26">
        <v>36.568123393316192</v>
      </c>
      <c r="I2" s="37">
        <v>569</v>
      </c>
      <c r="J2" s="26">
        <v>980</v>
      </c>
      <c r="K2" s="26">
        <v>11980</v>
      </c>
      <c r="L2" s="38">
        <v>-4300</v>
      </c>
      <c r="M2" s="38">
        <v>1290.6854248046875</v>
      </c>
      <c r="N2" s="38">
        <v>-627.7041015625</v>
      </c>
      <c r="O2" s="38">
        <v>2.0562004001437528</v>
      </c>
      <c r="P2" s="37">
        <v>76.638817480719794</v>
      </c>
      <c r="Q2" s="25">
        <v>9</v>
      </c>
      <c r="R2" s="21">
        <v>17</v>
      </c>
      <c r="S2" s="21">
        <v>62</v>
      </c>
      <c r="T2" s="21">
        <v>23</v>
      </c>
      <c r="U2" s="21">
        <v>-29985</v>
      </c>
      <c r="V2" s="24">
        <v>1.1938551572787131</v>
      </c>
      <c r="W2" s="23">
        <v>1</v>
      </c>
      <c r="X2" s="21">
        <v>29985</v>
      </c>
      <c r="Y2" s="24">
        <v>397.69884942471236</v>
      </c>
      <c r="Z2" s="23">
        <v>2262.9064532266134</v>
      </c>
      <c r="AA2" s="87">
        <v>7.1625567038825999E-2</v>
      </c>
      <c r="AB2" s="23">
        <v>1.081125963574264</v>
      </c>
      <c r="AC2" s="23">
        <v>111525.56284691028</v>
      </c>
      <c r="AD2" s="82">
        <v>136.51941860213759</v>
      </c>
      <c r="AE2" s="5">
        <f>(Opti_Salidas__30_OOS_1[[#This Row],[All: TS Index]]-Z$47) /ABS(Z$47)</f>
        <v>0</v>
      </c>
      <c r="AF2" s="5">
        <f>(Opti_Salidas__30_OOS_1[[#This Row],[All: Expectancy Score]]-AA$47) /ABS(AA$47)</f>
        <v>-0.94077114826224861</v>
      </c>
      <c r="AG2" s="5"/>
      <c r="AH2" s="5">
        <f>(Opti_Salidas__30_OOS_1[[#This Row],[All: Perfect Profit Correlation]]-AC$47) /ABS(AC$47)</f>
        <v>0</v>
      </c>
      <c r="AI2" s="5">
        <f>(Opti_Salidas__30_OOS_1[[#This Row],[All: Robustness Index]]-AD$47) /ABS(AD$47)</f>
        <v>-0.48353664849117911</v>
      </c>
      <c r="AJ2" s="11">
        <f>SUM(Opti_Salidas__30_OOS_1[[#This Row],[VAR TS Index]:[VAR Robustness Index]])</f>
        <v>-1.4243077967534277</v>
      </c>
      <c r="AK2" s="11">
        <f>Opti_Salidas__30_OOS_1[[#This Row],[SUMA]]-Opti_Salidas__30_OOS_1[[#This Row],[VAR Robustness Index]]</f>
        <v>-0.9407711482622485</v>
      </c>
      <c r="AL2" s="11"/>
    </row>
    <row r="3" spans="1:38" x14ac:dyDescent="0.25">
      <c r="A3" s="70" t="s">
        <v>58</v>
      </c>
      <c r="B3" s="31">
        <v>20</v>
      </c>
      <c r="C3" s="31">
        <v>21</v>
      </c>
      <c r="D3" s="31">
        <v>57030</v>
      </c>
      <c r="E3" s="32">
        <v>557830</v>
      </c>
      <c r="F3" s="32">
        <v>-500800</v>
      </c>
      <c r="G3" s="32">
        <v>1556</v>
      </c>
      <c r="H3" s="31">
        <v>31.169665809768638</v>
      </c>
      <c r="I3" s="33">
        <v>485</v>
      </c>
      <c r="J3" s="31">
        <v>1062</v>
      </c>
      <c r="K3" s="31">
        <v>11500</v>
      </c>
      <c r="L3" s="34">
        <v>-3940</v>
      </c>
      <c r="M3" s="34">
        <v>1150.1649169921875</v>
      </c>
      <c r="N3" s="34">
        <v>-471.56307983398438</v>
      </c>
      <c r="O3" s="34">
        <v>2.4390478520861039</v>
      </c>
      <c r="P3" s="33">
        <v>36.65167095115681</v>
      </c>
      <c r="Q3" s="35">
        <v>5</v>
      </c>
      <c r="R3" s="31">
        <v>17</v>
      </c>
      <c r="S3" s="31">
        <v>49</v>
      </c>
      <c r="T3" s="31">
        <v>16</v>
      </c>
      <c r="U3" s="31">
        <v>-21245</v>
      </c>
      <c r="V3" s="34">
        <v>1.113877795527157</v>
      </c>
      <c r="W3" s="33">
        <v>1</v>
      </c>
      <c r="X3" s="31">
        <v>21245</v>
      </c>
      <c r="Y3" s="34">
        <v>268.43963285478935</v>
      </c>
      <c r="Z3" s="33">
        <v>1301.9322193457283</v>
      </c>
      <c r="AA3" s="89">
        <v>1.209301969181569</v>
      </c>
      <c r="AB3" s="33">
        <v>0.47067703464532301</v>
      </c>
      <c r="AC3" s="33">
        <v>52033.652974872944</v>
      </c>
      <c r="AD3" s="84">
        <v>144.51765322177073</v>
      </c>
      <c r="AE3" s="11">
        <f>(Opti_Salidas__30_OOS_1[[#This Row],[All: TS Index]]-Z$47) /ABS(Z$47)</f>
        <v>-0.42466370296070327</v>
      </c>
      <c r="AF3" s="11">
        <f>(Opti_Salidas__30_OOS_1[[#This Row],[All: Expectancy Score]]-AA$47) /ABS(AA$47)</f>
        <v>0</v>
      </c>
      <c r="AG3" s="11"/>
      <c r="AH3" s="11">
        <f>(Opti_Salidas__30_OOS_1[[#This Row],[All: Perfect Profit Correlation]]-AC$47) /ABS(AC$47)</f>
        <v>-0.53343743222081852</v>
      </c>
      <c r="AI3" s="11">
        <f>(Opti_Salidas__30_OOS_1[[#This Row],[All: Robustness Index]]-AD$47) /ABS(AD$47)</f>
        <v>-0.45327871815345838</v>
      </c>
      <c r="AJ3" s="11">
        <f>SUM(Opti_Salidas__30_OOS_1[[#This Row],[VAR TS Index]:[VAR Robustness Index]])</f>
        <v>-1.4113798533349802</v>
      </c>
      <c r="AK3" s="11">
        <f>Opti_Salidas__30_OOS_1[[#This Row],[SUMA]]-Opti_Salidas__30_OOS_1[[#This Row],[VAR Robustness Index]]</f>
        <v>-0.95810113518152185</v>
      </c>
      <c r="AL3" s="11"/>
    </row>
    <row r="4" spans="1:38" x14ac:dyDescent="0.25">
      <c r="A4" s="70" t="s">
        <v>59</v>
      </c>
      <c r="B4" s="72">
        <v>6</v>
      </c>
      <c r="C4" s="72">
        <v>7</v>
      </c>
      <c r="D4" s="72">
        <v>108980</v>
      </c>
      <c r="E4" s="73">
        <v>735960</v>
      </c>
      <c r="F4" s="73">
        <v>-626980</v>
      </c>
      <c r="G4" s="73">
        <v>1556</v>
      </c>
      <c r="H4" s="72">
        <v>36.889460154241647</v>
      </c>
      <c r="I4" s="71">
        <v>574</v>
      </c>
      <c r="J4" s="72">
        <v>974</v>
      </c>
      <c r="K4" s="72">
        <v>11410</v>
      </c>
      <c r="L4" s="74">
        <v>-4300</v>
      </c>
      <c r="M4" s="74">
        <v>1282.1602783203125</v>
      </c>
      <c r="N4" s="74">
        <v>-643.71661376953125</v>
      </c>
      <c r="O4" s="74">
        <v>1.991808586098357</v>
      </c>
      <c r="P4" s="71">
        <v>70.038560411311053</v>
      </c>
      <c r="Q4" s="75">
        <v>9</v>
      </c>
      <c r="R4" s="72">
        <v>17</v>
      </c>
      <c r="S4" s="72">
        <v>61</v>
      </c>
      <c r="T4" s="72">
        <v>23</v>
      </c>
      <c r="U4" s="72">
        <v>-34795</v>
      </c>
      <c r="V4" s="74">
        <v>1.1738173466458259</v>
      </c>
      <c r="W4" s="71">
        <v>1</v>
      </c>
      <c r="X4" s="72">
        <v>34795</v>
      </c>
      <c r="Y4" s="74">
        <v>313.20592039086074</v>
      </c>
      <c r="Z4" s="71">
        <v>1797.8019830435408</v>
      </c>
      <c r="AA4" s="90">
        <v>7.5709354816331995E-2</v>
      </c>
      <c r="AB4" s="71">
        <v>0.98351358155945101</v>
      </c>
      <c r="AC4" s="71">
        <v>100904.08363015085</v>
      </c>
      <c r="AD4" s="91">
        <v>122.65589986317012</v>
      </c>
      <c r="AE4" s="11">
        <f>(Opti_Salidas__30_OOS_1[[#This Row],[All: TS Index]]-Z$47) /ABS(Z$47)</f>
        <v>-0.20553411278663045</v>
      </c>
      <c r="AF4" s="11">
        <f>(Opti_Salidas__30_OOS_1[[#This Row],[All: Expectancy Score]]-AA$47) /ABS(AA$47)</f>
        <v>-0.93739416891252525</v>
      </c>
      <c r="AG4" s="11"/>
      <c r="AH4" s="11">
        <f>(Opti_Salidas__30_OOS_1[[#This Row],[All: Perfect Profit Correlation]]-AC$47) /ABS(AC$47)</f>
        <v>-9.5238068704834936E-2</v>
      </c>
      <c r="AI4" s="11">
        <f>(Opti_Salidas__30_OOS_1[[#This Row],[All: Robustness Index]]-AD$47) /ABS(AD$47)</f>
        <v>-0.53598339507819071</v>
      </c>
      <c r="AJ4" s="11">
        <f>SUM(Opti_Salidas__30_OOS_1[[#This Row],[VAR TS Index]:[VAR Robustness Index]])</f>
        <v>-1.7741497454821813</v>
      </c>
      <c r="AK4" s="11">
        <f>Opti_Salidas__30_OOS_1[[#This Row],[SUMA]]-Opti_Salidas__30_OOS_1[[#This Row],[VAR Robustness Index]]</f>
        <v>-1.2381663504039906</v>
      </c>
      <c r="AL4" s="11"/>
    </row>
    <row r="5" spans="1:38" x14ac:dyDescent="0.25">
      <c r="A5" s="70" t="s">
        <v>60</v>
      </c>
      <c r="B5" s="76">
        <v>12</v>
      </c>
      <c r="C5" s="76">
        <v>13</v>
      </c>
      <c r="D5" s="76">
        <v>84460</v>
      </c>
      <c r="E5" s="77">
        <v>676490</v>
      </c>
      <c r="F5" s="77">
        <v>-592030</v>
      </c>
      <c r="G5" s="77">
        <v>1556</v>
      </c>
      <c r="H5" s="76">
        <v>35.218508997429304</v>
      </c>
      <c r="I5" s="70">
        <v>548</v>
      </c>
      <c r="J5" s="76">
        <v>1000</v>
      </c>
      <c r="K5" s="76">
        <v>17530</v>
      </c>
      <c r="L5" s="78">
        <v>-4300</v>
      </c>
      <c r="M5" s="78">
        <v>1234.4708251953125</v>
      </c>
      <c r="N5" s="78">
        <v>-592.030029296875</v>
      </c>
      <c r="O5" s="78">
        <v>2.0851490027650001</v>
      </c>
      <c r="P5" s="70">
        <v>54.280205655526991</v>
      </c>
      <c r="Q5" s="79">
        <v>9</v>
      </c>
      <c r="R5" s="76">
        <v>17</v>
      </c>
      <c r="S5" s="76">
        <v>68</v>
      </c>
      <c r="T5" s="76">
        <v>21</v>
      </c>
      <c r="U5" s="76">
        <v>-36635</v>
      </c>
      <c r="V5" s="78">
        <v>1.142661689441413</v>
      </c>
      <c r="W5" s="70">
        <v>1</v>
      </c>
      <c r="X5" s="76">
        <v>36635</v>
      </c>
      <c r="Y5" s="78">
        <v>230.54456121195577</v>
      </c>
      <c r="Z5" s="70">
        <v>1263.3841954415177</v>
      </c>
      <c r="AA5" s="92">
        <v>0.390954409806337</v>
      </c>
      <c r="AB5" s="70">
        <v>0.74283411838054203</v>
      </c>
      <c r="AC5" s="70">
        <v>73140.301355354401</v>
      </c>
      <c r="AD5" s="93">
        <v>159.78277985250699</v>
      </c>
      <c r="AE5" s="11">
        <f>(Opti_Salidas__30_OOS_1[[#This Row],[All: TS Index]]-Z$47) /ABS(Z$47)</f>
        <v>-0.44169844332712277</v>
      </c>
      <c r="AF5" s="11">
        <f>(Opti_Salidas__30_OOS_1[[#This Row],[All: Expectancy Score]]-AA$47) /ABS(AA$47)</f>
        <v>-0.6767106812280087</v>
      </c>
      <c r="AG5" s="11"/>
      <c r="AH5" s="11">
        <f>(Opti_Salidas__30_OOS_1[[#This Row],[All: Perfect Profit Correlation]]-AC$47) /ABS(AC$47)</f>
        <v>-0.34418352628488269</v>
      </c>
      <c r="AI5" s="11">
        <f>(Opti_Salidas__30_OOS_1[[#This Row],[All: Robustness Index]]-AD$47) /ABS(AD$47)</f>
        <v>-0.39552958223095042</v>
      </c>
      <c r="AJ5" s="11">
        <f>SUM(Opti_Salidas__30_OOS_1[[#This Row],[VAR TS Index]:[VAR Robustness Index]])</f>
        <v>-1.8581222330709646</v>
      </c>
      <c r="AK5" s="11">
        <f>Opti_Salidas__30_OOS_1[[#This Row],[SUMA]]-Opti_Salidas__30_OOS_1[[#This Row],[VAR Robustness Index]]</f>
        <v>-1.4625926508400142</v>
      </c>
      <c r="AL5" s="11"/>
    </row>
    <row r="6" spans="1:38" x14ac:dyDescent="0.25">
      <c r="A6" s="70" t="s">
        <v>61</v>
      </c>
      <c r="B6" s="72">
        <v>18</v>
      </c>
      <c r="C6" s="72">
        <v>19</v>
      </c>
      <c r="D6" s="72">
        <v>74870</v>
      </c>
      <c r="E6" s="73">
        <v>650950</v>
      </c>
      <c r="F6" s="73">
        <v>-576080</v>
      </c>
      <c r="G6" s="73">
        <v>1556</v>
      </c>
      <c r="H6" s="72">
        <v>35.089974293059129</v>
      </c>
      <c r="I6" s="71">
        <v>546</v>
      </c>
      <c r="J6" s="72">
        <v>1002</v>
      </c>
      <c r="K6" s="72">
        <v>3420</v>
      </c>
      <c r="L6" s="74">
        <v>-4610</v>
      </c>
      <c r="M6" s="74">
        <v>1192.216064453125</v>
      </c>
      <c r="N6" s="74">
        <v>-574.93011474609375</v>
      </c>
      <c r="O6" s="74">
        <v>2.073671275646507</v>
      </c>
      <c r="P6" s="71">
        <v>48.116966580976865</v>
      </c>
      <c r="Q6" s="75">
        <v>9</v>
      </c>
      <c r="R6" s="72">
        <v>17</v>
      </c>
      <c r="S6" s="72">
        <v>49</v>
      </c>
      <c r="T6" s="72">
        <v>21</v>
      </c>
      <c r="U6" s="72">
        <v>-30785</v>
      </c>
      <c r="V6" s="74">
        <v>1.129964588251632</v>
      </c>
      <c r="W6" s="71">
        <v>1</v>
      </c>
      <c r="X6" s="72">
        <v>30785</v>
      </c>
      <c r="Y6" s="74">
        <v>243.20285853500081</v>
      </c>
      <c r="Z6" s="71">
        <v>1327.8876076011045</v>
      </c>
      <c r="AA6" s="90">
        <v>0.44254983956190103</v>
      </c>
      <c r="AB6" s="71">
        <v>0.65210970915965705</v>
      </c>
      <c r="AC6" s="71">
        <v>60387.532198167326</v>
      </c>
      <c r="AD6" s="91">
        <v>264.33515215223537</v>
      </c>
      <c r="AE6" s="11">
        <f>(Opti_Salidas__30_OOS_1[[#This Row],[All: TS Index]]-Z$47) /ABS(Z$47)</f>
        <v>-0.41319376870055424</v>
      </c>
      <c r="AF6" s="11">
        <f>(Opti_Salidas__30_OOS_1[[#This Row],[All: Expectancy Score]]-AA$47) /ABS(AA$47)</f>
        <v>-0.63404521712520678</v>
      </c>
      <c r="AG6" s="11"/>
      <c r="AH6" s="11">
        <f>(Opti_Salidas__30_OOS_1[[#This Row],[All: Perfect Profit Correlation]]-AC$47) /ABS(AC$47)</f>
        <v>-0.45853192168094664</v>
      </c>
      <c r="AI6" s="11">
        <f>(Opti_Salidas__30_OOS_1[[#This Row],[All: Robustness Index]]-AD$47) /ABS(AD$47)</f>
        <v>0</v>
      </c>
      <c r="AJ6" s="11">
        <f>SUM(Opti_Salidas__30_OOS_1[[#This Row],[VAR TS Index]:[VAR Robustness Index]])</f>
        <v>-1.5057709075067078</v>
      </c>
      <c r="AK6" s="11">
        <f>Opti_Salidas__30_OOS_1[[#This Row],[SUMA]]-Opti_Salidas__30_OOS_1[[#This Row],[VAR Robustness Index]]</f>
        <v>-1.5057709075067078</v>
      </c>
      <c r="AL6" s="11"/>
    </row>
    <row r="7" spans="1:38" x14ac:dyDescent="0.25">
      <c r="A7" s="71" t="s">
        <v>48</v>
      </c>
      <c r="B7" s="72">
        <v>11</v>
      </c>
      <c r="C7" s="72">
        <v>12</v>
      </c>
      <c r="D7" s="72">
        <v>81770</v>
      </c>
      <c r="E7" s="73">
        <v>700090</v>
      </c>
      <c r="F7" s="73">
        <v>-618320</v>
      </c>
      <c r="G7" s="73">
        <v>1556</v>
      </c>
      <c r="H7" s="72">
        <v>36.953727506426738</v>
      </c>
      <c r="I7" s="71">
        <v>575</v>
      </c>
      <c r="J7" s="72">
        <v>973</v>
      </c>
      <c r="K7" s="72">
        <v>7410</v>
      </c>
      <c r="L7" s="74">
        <v>-4300</v>
      </c>
      <c r="M7" s="74">
        <v>1217.5478515625</v>
      </c>
      <c r="N7" s="74">
        <v>-635.4779052734375</v>
      </c>
      <c r="O7" s="74">
        <v>1.9159562298843511</v>
      </c>
      <c r="P7" s="71">
        <v>52.551413881748068</v>
      </c>
      <c r="Q7" s="75">
        <v>9</v>
      </c>
      <c r="R7" s="72">
        <v>17</v>
      </c>
      <c r="S7" s="72">
        <v>42</v>
      </c>
      <c r="T7" s="72">
        <v>23</v>
      </c>
      <c r="U7" s="72">
        <v>-29425</v>
      </c>
      <c r="V7" s="74">
        <v>1.132245439254755</v>
      </c>
      <c r="W7" s="71">
        <v>1</v>
      </c>
      <c r="X7" s="72">
        <v>29425</v>
      </c>
      <c r="Y7" s="74">
        <v>277.892948173322</v>
      </c>
      <c r="Z7" s="71">
        <v>1597.8844519966015</v>
      </c>
      <c r="AA7" s="90">
        <v>0.14166285527199399</v>
      </c>
      <c r="AB7" s="71">
        <v>0.72396657917973595</v>
      </c>
      <c r="AC7" s="71">
        <v>70956.318689943466</v>
      </c>
      <c r="AD7" s="91">
        <v>228.36544165457684</v>
      </c>
      <c r="AE7" s="11">
        <f>(Opti_Salidas__30_OOS_1[[#This Row],[All: TS Index]]-Z$47) /ABS(Z$47)</f>
        <v>-0.29387958140371917</v>
      </c>
      <c r="AF7" s="11">
        <f>(Opti_Salidas__30_OOS_1[[#This Row],[All: Expectancy Score]]-AA$47) /ABS(AA$47)</f>
        <v>-0.88285568130855796</v>
      </c>
      <c r="AG7" s="11"/>
      <c r="AH7" s="11">
        <f>(Opti_Salidas__30_OOS_1[[#This Row],[All: Perfect Profit Correlation]]-AC$47) /ABS(AC$47)</f>
        <v>-0.36376632514875268</v>
      </c>
      <c r="AI7" s="11">
        <f>(Opti_Salidas__30_OOS_1[[#This Row],[All: Robustness Index]]-AD$47) /ABS(AD$47)</f>
        <v>-0.13607615258428785</v>
      </c>
      <c r="AJ7" s="11">
        <f>SUM(Opti_Salidas__30_OOS_1[[#This Row],[VAR TS Index]:[VAR Robustness Index]])</f>
        <v>-1.6765777404453175</v>
      </c>
      <c r="AK7" s="11">
        <f>Opti_Salidas__30_OOS_1[[#This Row],[SUMA]]-Opti_Salidas__30_OOS_1[[#This Row],[VAR Robustness Index]]</f>
        <v>-1.5405015878610295</v>
      </c>
      <c r="AL7" s="11"/>
    </row>
    <row r="8" spans="1:38" x14ac:dyDescent="0.25">
      <c r="A8" s="11"/>
      <c r="B8" s="96">
        <v>9</v>
      </c>
      <c r="C8" s="96">
        <v>10</v>
      </c>
      <c r="D8" s="96">
        <v>95500</v>
      </c>
      <c r="E8" s="10">
        <v>715610</v>
      </c>
      <c r="F8" s="10">
        <v>-620110</v>
      </c>
      <c r="G8" s="10">
        <v>1556</v>
      </c>
      <c r="H8" s="96">
        <v>37.082262210796912</v>
      </c>
      <c r="I8" s="11">
        <v>577</v>
      </c>
      <c r="J8" s="96">
        <v>971</v>
      </c>
      <c r="K8" s="96">
        <v>13990</v>
      </c>
      <c r="L8" s="12">
        <v>-4300</v>
      </c>
      <c r="M8" s="12">
        <v>1240.225341796875</v>
      </c>
      <c r="N8" s="12">
        <v>-638.6302490234375</v>
      </c>
      <c r="O8" s="12">
        <v>1.9420084527680419</v>
      </c>
      <c r="P8" s="11">
        <v>61.375321336760926</v>
      </c>
      <c r="Q8" s="13">
        <v>9</v>
      </c>
      <c r="R8" s="96">
        <v>17</v>
      </c>
      <c r="S8" s="96">
        <v>62</v>
      </c>
      <c r="T8" s="96">
        <v>23</v>
      </c>
      <c r="U8" s="96">
        <v>-44765</v>
      </c>
      <c r="V8" s="12">
        <v>1.1540049346083761</v>
      </c>
      <c r="W8" s="11">
        <v>1</v>
      </c>
      <c r="X8" s="96">
        <v>44765</v>
      </c>
      <c r="Y8" s="12">
        <v>213.33631185077627</v>
      </c>
      <c r="Z8" s="11">
        <v>1230.9505193789792</v>
      </c>
      <c r="AA8" s="86">
        <v>0.156677408089645</v>
      </c>
      <c r="AB8" s="11">
        <v>0.85609042824482895</v>
      </c>
      <c r="AC8" s="11">
        <v>83974.056522692525</v>
      </c>
      <c r="AD8" s="81">
        <v>116.90700371547173</v>
      </c>
      <c r="AE8" s="11">
        <f>(Opti_Salidas__30_OOS_1[[#This Row],[All: TS Index]]-Z$47) /ABS(Z$47)</f>
        <v>-0.45603119491581184</v>
      </c>
      <c r="AF8" s="11">
        <f>(Opti_Salidas__30_OOS_1[[#This Row],[All: Expectancy Score]]-AA$47) /ABS(AA$47)</f>
        <v>-0.87043979743481192</v>
      </c>
      <c r="AG8" s="11"/>
      <c r="AH8" s="11">
        <f>(Opti_Salidas__30_OOS_1[[#This Row],[All: Perfect Profit Correlation]]-AC$47) /ABS(AC$47)</f>
        <v>-0.24704207377135015</v>
      </c>
      <c r="AI8" s="11">
        <f>(Opti_Salidas__30_OOS_1[[#This Row],[All: Robustness Index]]-AD$47) /ABS(AD$47)</f>
        <v>-0.55773190677211604</v>
      </c>
      <c r="AJ8" s="11">
        <f>SUM(Opti_Salidas__30_OOS_1[[#This Row],[VAR TS Index]:[VAR Robustness Index]])</f>
        <v>-2.1312449728940899</v>
      </c>
      <c r="AK8" s="11">
        <f>Opti_Salidas__30_OOS_1[[#This Row],[SUMA]]-Opti_Salidas__30_OOS_1[[#This Row],[VAR Robustness Index]]</f>
        <v>-1.5735130661219738</v>
      </c>
      <c r="AL8" s="11"/>
    </row>
    <row r="9" spans="1:38" x14ac:dyDescent="0.25">
      <c r="A9" s="11"/>
      <c r="B9" s="96">
        <v>26</v>
      </c>
      <c r="C9" s="96">
        <v>27</v>
      </c>
      <c r="D9" s="96">
        <v>91870</v>
      </c>
      <c r="E9" s="10">
        <v>713530</v>
      </c>
      <c r="F9" s="10">
        <v>-621660</v>
      </c>
      <c r="G9" s="10">
        <v>1556</v>
      </c>
      <c r="H9" s="96">
        <v>37.017994858611829</v>
      </c>
      <c r="I9" s="11">
        <v>576</v>
      </c>
      <c r="J9" s="96">
        <v>972</v>
      </c>
      <c r="K9" s="96">
        <v>3990</v>
      </c>
      <c r="L9" s="12">
        <v>-4300</v>
      </c>
      <c r="M9" s="12">
        <v>1238.767333984375</v>
      </c>
      <c r="N9" s="12">
        <v>-639.56787109375</v>
      </c>
      <c r="O9" s="12">
        <v>1.9368817446472271</v>
      </c>
      <c r="P9" s="11">
        <v>59.042416452442161</v>
      </c>
      <c r="Q9" s="13">
        <v>9</v>
      </c>
      <c r="R9" s="96">
        <v>17</v>
      </c>
      <c r="S9" s="96">
        <v>55</v>
      </c>
      <c r="T9" s="96">
        <v>23</v>
      </c>
      <c r="U9" s="96">
        <v>-37555</v>
      </c>
      <c r="V9" s="12">
        <v>1.1477817456487469</v>
      </c>
      <c r="W9" s="11">
        <v>1</v>
      </c>
      <c r="X9" s="96">
        <v>37555</v>
      </c>
      <c r="Y9" s="12">
        <v>244.62787911063774</v>
      </c>
      <c r="Z9" s="11">
        <v>1409.0565836772732</v>
      </c>
      <c r="AA9" s="86">
        <v>3.2147097027313998E-2</v>
      </c>
      <c r="AB9" s="11">
        <v>0.820793371302458</v>
      </c>
      <c r="AC9" s="11">
        <v>80548.340873011941</v>
      </c>
      <c r="AD9" s="81">
        <v>111.16855349503747</v>
      </c>
      <c r="AE9" s="11">
        <f>(Opti_Salidas__30_OOS_1[[#This Row],[All: TS Index]]-Z$47) /ABS(Z$47)</f>
        <v>-0.37732442202012378</v>
      </c>
      <c r="AF9" s="11">
        <f>(Opti_Salidas__30_OOS_1[[#This Row],[All: Expectancy Score]]-AA$47) /ABS(AA$47)</f>
        <v>-0.97341681577755912</v>
      </c>
      <c r="AG9" s="11"/>
      <c r="AH9" s="11">
        <f>(Opti_Salidas__30_OOS_1[[#This Row],[All: Perfect Profit Correlation]]-AC$47) /ABS(AC$47)</f>
        <v>-0.27775893869659618</v>
      </c>
      <c r="AI9" s="11">
        <f>(Opti_Salidas__30_OOS_1[[#This Row],[All: Robustness Index]]-AD$47) /ABS(AD$47)</f>
        <v>-0.57944090072812748</v>
      </c>
      <c r="AJ9" s="11">
        <f>SUM(Opti_Salidas__30_OOS_1[[#This Row],[VAR TS Index]:[VAR Robustness Index]])</f>
        <v>-2.2079410772224066</v>
      </c>
      <c r="AK9" s="11">
        <f>Opti_Salidas__30_OOS_1[[#This Row],[SUMA]]-Opti_Salidas__30_OOS_1[[#This Row],[VAR Robustness Index]]</f>
        <v>-1.628500176494279</v>
      </c>
      <c r="AL9" s="11"/>
    </row>
    <row r="10" spans="1:38" x14ac:dyDescent="0.25">
      <c r="A10" s="11"/>
      <c r="B10" s="96">
        <v>19</v>
      </c>
      <c r="C10" s="96">
        <v>20</v>
      </c>
      <c r="D10" s="96">
        <v>92680</v>
      </c>
      <c r="E10" s="10">
        <v>709880</v>
      </c>
      <c r="F10" s="10">
        <v>-617200</v>
      </c>
      <c r="G10" s="10">
        <v>1556</v>
      </c>
      <c r="H10" s="96">
        <v>37.532133676092542</v>
      </c>
      <c r="I10" s="11">
        <v>584</v>
      </c>
      <c r="J10" s="96">
        <v>964</v>
      </c>
      <c r="K10" s="96">
        <v>11440</v>
      </c>
      <c r="L10" s="12">
        <v>-4300</v>
      </c>
      <c r="M10" s="12">
        <v>1215.5479736328125</v>
      </c>
      <c r="N10" s="12">
        <v>-640.24896240234375</v>
      </c>
      <c r="O10" s="12">
        <v>1.8985551637160489</v>
      </c>
      <c r="P10" s="11">
        <v>59.562982005141386</v>
      </c>
      <c r="Q10" s="13">
        <v>9</v>
      </c>
      <c r="R10" s="96">
        <v>17</v>
      </c>
      <c r="S10" s="96">
        <v>54</v>
      </c>
      <c r="T10" s="96">
        <v>22</v>
      </c>
      <c r="U10" s="96">
        <v>-43465</v>
      </c>
      <c r="V10" s="12">
        <v>1.1501620220349971</v>
      </c>
      <c r="W10" s="11">
        <v>1</v>
      </c>
      <c r="X10" s="96">
        <v>43465</v>
      </c>
      <c r="Y10" s="12">
        <v>213.22903485563097</v>
      </c>
      <c r="Z10" s="11">
        <v>1245.2575635568849</v>
      </c>
      <c r="AA10" s="86">
        <v>8.4786466338250002E-2</v>
      </c>
      <c r="AB10" s="11">
        <v>0.83183630080677196</v>
      </c>
      <c r="AC10" s="11">
        <v>81871.858349318689</v>
      </c>
      <c r="AD10" s="81">
        <v>120.14241558465027</v>
      </c>
      <c r="AE10" s="11">
        <f>(Opti_Salidas__30_OOS_1[[#This Row],[All: TS Index]]-Z$47) /ABS(Z$47)</f>
        <v>-0.44970877528706155</v>
      </c>
      <c r="AF10" s="11">
        <f>(Opti_Salidas__30_OOS_1[[#This Row],[All: Expectancy Score]]-AA$47) /ABS(AA$47)</f>
        <v>-0.92988809371109205</v>
      </c>
      <c r="AG10" s="11"/>
      <c r="AH10" s="11">
        <f>(Opti_Salidas__30_OOS_1[[#This Row],[All: Perfect Profit Correlation]]-AC$47) /ABS(AC$47)</f>
        <v>-0.26589154755754835</v>
      </c>
      <c r="AI10" s="11">
        <f>(Opti_Salidas__30_OOS_1[[#This Row],[All: Robustness Index]]-AD$47) /ABS(AD$47)</f>
        <v>-0.54549209741329407</v>
      </c>
      <c r="AJ10" s="11">
        <f>SUM(Opti_Salidas__30_OOS_1[[#This Row],[VAR TS Index]:[VAR Robustness Index]])</f>
        <v>-2.190980513968996</v>
      </c>
      <c r="AK10" s="11">
        <f>Opti_Salidas__30_OOS_1[[#This Row],[SUMA]]-Opti_Salidas__30_OOS_1[[#This Row],[VAR Robustness Index]]</f>
        <v>-1.6454884165557018</v>
      </c>
      <c r="AL10" s="11"/>
    </row>
    <row r="11" spans="1:38" x14ac:dyDescent="0.25">
      <c r="A11" s="11"/>
      <c r="B11" s="96">
        <v>31</v>
      </c>
      <c r="C11" s="96">
        <v>32</v>
      </c>
      <c r="D11" s="96">
        <v>69980</v>
      </c>
      <c r="E11" s="10">
        <v>644300</v>
      </c>
      <c r="F11" s="10">
        <v>-574320</v>
      </c>
      <c r="G11" s="10">
        <v>1556</v>
      </c>
      <c r="H11" s="96">
        <v>34.383033419023135</v>
      </c>
      <c r="I11" s="11">
        <v>535</v>
      </c>
      <c r="J11" s="96">
        <v>1014</v>
      </c>
      <c r="K11" s="96">
        <v>7660</v>
      </c>
      <c r="L11" s="12">
        <v>-3030</v>
      </c>
      <c r="M11" s="12">
        <v>1204.299072265625</v>
      </c>
      <c r="N11" s="12">
        <v>-566.3905029296875</v>
      </c>
      <c r="O11" s="12">
        <v>2.1262698898309891</v>
      </c>
      <c r="P11" s="11">
        <v>44.974293059125962</v>
      </c>
      <c r="Q11" s="13">
        <v>9</v>
      </c>
      <c r="R11" s="96">
        <v>17</v>
      </c>
      <c r="S11" s="96">
        <v>43</v>
      </c>
      <c r="T11" s="96">
        <v>18</v>
      </c>
      <c r="U11" s="96">
        <v>-23535</v>
      </c>
      <c r="V11" s="12">
        <v>1.1218484468588941</v>
      </c>
      <c r="W11" s="11">
        <v>1</v>
      </c>
      <c r="X11" s="96">
        <v>23535</v>
      </c>
      <c r="Y11" s="12">
        <v>297.34438070958146</v>
      </c>
      <c r="Z11" s="11">
        <v>1590.792436796261</v>
      </c>
      <c r="AA11" s="86">
        <v>0.132332345251368</v>
      </c>
      <c r="AB11" s="11">
        <v>0.60160263312203099</v>
      </c>
      <c r="AC11" s="11">
        <v>54634.704475403378</v>
      </c>
      <c r="AD11" s="81">
        <v>228.15277769208637</v>
      </c>
      <c r="AE11" s="11">
        <f>(Opti_Salidas__30_OOS_1[[#This Row],[All: TS Index]]-Z$47) /ABS(Z$47)</f>
        <v>-0.29701361073587657</v>
      </c>
      <c r="AF11" s="11">
        <f>(Opti_Salidas__30_OOS_1[[#This Row],[All: Expectancy Score]]-AA$47) /ABS(AA$47)</f>
        <v>-0.89057129763798537</v>
      </c>
      <c r="AG11" s="11"/>
      <c r="AH11" s="11">
        <f>(Opti_Salidas__30_OOS_1[[#This Row],[All: Perfect Profit Correlation]]-AC$47) /ABS(AC$47)</f>
        <v>-0.51011496305649906</v>
      </c>
      <c r="AI11" s="11">
        <f>(Opti_Salidas__30_OOS_1[[#This Row],[All: Robustness Index]]-AD$47) /ABS(AD$47)</f>
        <v>-0.13688067654093508</v>
      </c>
      <c r="AJ11" s="11">
        <f>SUM(Opti_Salidas__30_OOS_1[[#This Row],[VAR TS Index]:[VAR Robustness Index]])</f>
        <v>-1.834580547971296</v>
      </c>
      <c r="AK11" s="11">
        <f>Opti_Salidas__30_OOS_1[[#This Row],[SUMA]]-Opti_Salidas__30_OOS_1[[#This Row],[VAR Robustness Index]]</f>
        <v>-1.6976998714303608</v>
      </c>
      <c r="AL11" s="11"/>
    </row>
    <row r="12" spans="1:38" x14ac:dyDescent="0.25">
      <c r="A12" s="11"/>
      <c r="B12" s="96">
        <v>24</v>
      </c>
      <c r="C12" s="96">
        <v>25</v>
      </c>
      <c r="D12" s="96">
        <v>87600</v>
      </c>
      <c r="E12" s="10">
        <v>712260</v>
      </c>
      <c r="F12" s="10">
        <v>-624660</v>
      </c>
      <c r="G12" s="10">
        <v>1556</v>
      </c>
      <c r="H12" s="96">
        <v>36.696658097686374</v>
      </c>
      <c r="I12" s="11">
        <v>571</v>
      </c>
      <c r="J12" s="96">
        <v>977</v>
      </c>
      <c r="K12" s="96">
        <v>6290</v>
      </c>
      <c r="L12" s="12">
        <v>-4300</v>
      </c>
      <c r="M12" s="12">
        <v>1247.3905029296875</v>
      </c>
      <c r="N12" s="12">
        <v>-639.36541748046875</v>
      </c>
      <c r="O12" s="12">
        <v>1.950982128256558</v>
      </c>
      <c r="P12" s="11">
        <v>56.29820051413882</v>
      </c>
      <c r="Q12" s="13">
        <v>9</v>
      </c>
      <c r="R12" s="96">
        <v>17</v>
      </c>
      <c r="S12" s="96">
        <v>65</v>
      </c>
      <c r="T12" s="96">
        <v>23</v>
      </c>
      <c r="U12" s="96">
        <v>-41635</v>
      </c>
      <c r="V12" s="12">
        <v>1.140236288540966</v>
      </c>
      <c r="W12" s="11">
        <v>1</v>
      </c>
      <c r="X12" s="96">
        <v>41635</v>
      </c>
      <c r="Y12" s="12">
        <v>210.39990392698451</v>
      </c>
      <c r="Z12" s="11">
        <v>1201.3834514230816</v>
      </c>
      <c r="AA12" s="86">
        <v>2.73884144169E-2</v>
      </c>
      <c r="AB12" s="11">
        <v>0.77777490636971003</v>
      </c>
      <c r="AC12" s="11">
        <v>76352.334094243852</v>
      </c>
      <c r="AD12" s="81">
        <v>103.02043721358893</v>
      </c>
      <c r="AE12" s="11">
        <f>(Opti_Salidas__30_OOS_1[[#This Row],[All: TS Index]]-Z$47) /ABS(Z$47)</f>
        <v>-0.46909716497115317</v>
      </c>
      <c r="AF12" s="11">
        <f>(Opti_Salidas__30_OOS_1[[#This Row],[All: Expectancy Score]]-AA$47) /ABS(AA$47)</f>
        <v>-0.97735188140358686</v>
      </c>
      <c r="AG12" s="11"/>
      <c r="AH12" s="11">
        <f>(Opti_Salidas__30_OOS_1[[#This Row],[All: Perfect Profit Correlation]]-AC$47) /ABS(AC$47)</f>
        <v>-0.31538266075328641</v>
      </c>
      <c r="AI12" s="11">
        <f>(Opti_Salidas__30_OOS_1[[#This Row],[All: Robustness Index]]-AD$47) /ABS(AD$47)</f>
        <v>-0.61026584480047663</v>
      </c>
      <c r="AJ12" s="11">
        <f>SUM(Opti_Salidas__30_OOS_1[[#This Row],[VAR TS Index]:[VAR Robustness Index]])</f>
        <v>-2.372097551928503</v>
      </c>
      <c r="AK12" s="11">
        <f>Opti_Salidas__30_OOS_1[[#This Row],[SUMA]]-Opti_Salidas__30_OOS_1[[#This Row],[VAR Robustness Index]]</f>
        <v>-1.7618317071280263</v>
      </c>
      <c r="AL12" s="11"/>
    </row>
    <row r="13" spans="1:38" x14ac:dyDescent="0.25">
      <c r="A13" s="11"/>
      <c r="B13" s="96">
        <v>28</v>
      </c>
      <c r="C13" s="96">
        <v>29</v>
      </c>
      <c r="D13" s="96">
        <v>78370</v>
      </c>
      <c r="E13" s="10">
        <v>703030</v>
      </c>
      <c r="F13" s="10">
        <v>-624660</v>
      </c>
      <c r="G13" s="10">
        <v>1556</v>
      </c>
      <c r="H13" s="96">
        <v>36.696658097686374</v>
      </c>
      <c r="I13" s="11">
        <v>571</v>
      </c>
      <c r="J13" s="96">
        <v>977</v>
      </c>
      <c r="K13" s="96">
        <v>17530</v>
      </c>
      <c r="L13" s="12">
        <v>-4300</v>
      </c>
      <c r="M13" s="12">
        <v>1231.2259521484375</v>
      </c>
      <c r="N13" s="12">
        <v>-639.36541748046875</v>
      </c>
      <c r="O13" s="12">
        <v>1.925699949491011</v>
      </c>
      <c r="P13" s="11">
        <v>50.366323907455012</v>
      </c>
      <c r="Q13" s="13">
        <v>9</v>
      </c>
      <c r="R13" s="96">
        <v>17</v>
      </c>
      <c r="S13" s="96">
        <v>70</v>
      </c>
      <c r="T13" s="96">
        <v>23</v>
      </c>
      <c r="U13" s="96">
        <v>-45225</v>
      </c>
      <c r="V13" s="12">
        <v>1.125460250376205</v>
      </c>
      <c r="W13" s="11">
        <v>1</v>
      </c>
      <c r="X13" s="96">
        <v>45225</v>
      </c>
      <c r="Y13" s="12">
        <v>173.2891100055279</v>
      </c>
      <c r="Z13" s="11">
        <v>989.48081813156443</v>
      </c>
      <c r="AA13" s="86">
        <v>4.2914315811168002E-2</v>
      </c>
      <c r="AB13" s="11">
        <v>0.68933754115190105</v>
      </c>
      <c r="AC13" s="11">
        <v>63121.1351094122</v>
      </c>
      <c r="AD13" s="81">
        <v>110.78752124862797</v>
      </c>
      <c r="AE13" s="11">
        <f>(Opti_Salidas__30_OOS_1[[#This Row],[All: TS Index]]-Z$47) /ABS(Z$47)</f>
        <v>-0.56273896487382769</v>
      </c>
      <c r="AF13" s="11">
        <f>(Opti_Salidas__30_OOS_1[[#This Row],[All: Expectancy Score]]-AA$47) /ABS(AA$47)</f>
        <v>-0.96451315146686523</v>
      </c>
      <c r="AG13" s="11"/>
      <c r="AH13" s="11">
        <f>(Opti_Salidas__30_OOS_1[[#This Row],[All: Perfect Profit Correlation]]-AC$47) /ABS(AC$47)</f>
        <v>-0.43402092311286716</v>
      </c>
      <c r="AI13" s="11">
        <f>(Opti_Salidas__30_OOS_1[[#This Row],[All: Robustness Index]]-AD$47) /ABS(AD$47)</f>
        <v>-0.58088237471789816</v>
      </c>
      <c r="AJ13" s="11">
        <f>SUM(Opti_Salidas__30_OOS_1[[#This Row],[VAR TS Index]:[VAR Robustness Index]])</f>
        <v>-2.5421554141714582</v>
      </c>
      <c r="AK13" s="11">
        <f>Opti_Salidas__30_OOS_1[[#This Row],[SUMA]]-Opti_Salidas__30_OOS_1[[#This Row],[VAR Robustness Index]]</f>
        <v>-1.96127303945356</v>
      </c>
      <c r="AL13" s="11"/>
    </row>
    <row r="14" spans="1:38" x14ac:dyDescent="0.25">
      <c r="A14" s="11"/>
      <c r="B14" s="96">
        <v>8</v>
      </c>
      <c r="C14" s="96">
        <v>9</v>
      </c>
      <c r="D14" s="96">
        <v>60010</v>
      </c>
      <c r="E14" s="10">
        <v>621710</v>
      </c>
      <c r="F14" s="10">
        <v>-561700</v>
      </c>
      <c r="G14" s="10">
        <v>1556</v>
      </c>
      <c r="H14" s="96">
        <v>35.925449871465297</v>
      </c>
      <c r="I14" s="11">
        <v>559</v>
      </c>
      <c r="J14" s="96">
        <v>987</v>
      </c>
      <c r="K14" s="96">
        <v>11580</v>
      </c>
      <c r="L14" s="12">
        <v>-4220</v>
      </c>
      <c r="M14" s="12">
        <v>1112.1824951171875</v>
      </c>
      <c r="N14" s="12">
        <v>-569.0982666015625</v>
      </c>
      <c r="O14" s="12">
        <v>1.9542890224542711</v>
      </c>
      <c r="P14" s="11">
        <v>38.566838046272494</v>
      </c>
      <c r="Q14" s="13">
        <v>9</v>
      </c>
      <c r="R14" s="96">
        <v>17</v>
      </c>
      <c r="S14" s="96">
        <v>60</v>
      </c>
      <c r="T14" s="96">
        <v>19</v>
      </c>
      <c r="U14" s="96">
        <v>-28265</v>
      </c>
      <c r="V14" s="12">
        <v>1.106836389531779</v>
      </c>
      <c r="W14" s="11">
        <v>1</v>
      </c>
      <c r="X14" s="96">
        <v>28265</v>
      </c>
      <c r="Y14" s="12">
        <v>212.3120467008668</v>
      </c>
      <c r="Z14" s="11">
        <v>1186.8243410578455</v>
      </c>
      <c r="AA14" s="86">
        <v>4.4054899039197001E-2</v>
      </c>
      <c r="AB14" s="11">
        <v>0.51593576761481896</v>
      </c>
      <c r="AC14" s="11">
        <v>53002.514750049355</v>
      </c>
      <c r="AD14" s="81">
        <v>132.82611018227226</v>
      </c>
      <c r="AE14" s="11">
        <f>(Opti_Salidas__30_OOS_1[[#This Row],[All: TS Index]]-Z$47) /ABS(Z$47)</f>
        <v>-0.4755309750583871</v>
      </c>
      <c r="AF14" s="11">
        <f>(Opti_Salidas__30_OOS_1[[#This Row],[All: Expectancy Score]]-AA$47) /ABS(AA$47)</f>
        <v>-0.96356997659648869</v>
      </c>
      <c r="AG14" s="11"/>
      <c r="AH14" s="11">
        <f>(Opti_Salidas__30_OOS_1[[#This Row],[All: Perfect Profit Correlation]]-AC$47) /ABS(AC$47)</f>
        <v>-0.52475008063572626</v>
      </c>
      <c r="AI14" s="11">
        <f>(Opti_Salidas__30_OOS_1[[#This Row],[All: Robustness Index]]-AD$47) /ABS(AD$47)</f>
        <v>-0.49750871535324476</v>
      </c>
      <c r="AJ14" s="11">
        <f>SUM(Opti_Salidas__30_OOS_1[[#This Row],[VAR TS Index]:[VAR Robustness Index]])</f>
        <v>-2.4613597476438471</v>
      </c>
      <c r="AK14" s="11">
        <f>Opti_Salidas__30_OOS_1[[#This Row],[SUMA]]-Opti_Salidas__30_OOS_1[[#This Row],[VAR Robustness Index]]</f>
        <v>-1.9638510322906024</v>
      </c>
      <c r="AL14" s="11"/>
    </row>
    <row r="15" spans="1:38" x14ac:dyDescent="0.25">
      <c r="A15" s="11"/>
      <c r="B15" s="96">
        <v>27</v>
      </c>
      <c r="C15" s="96">
        <v>28</v>
      </c>
      <c r="D15" s="96">
        <v>73050</v>
      </c>
      <c r="E15" s="10">
        <v>694980</v>
      </c>
      <c r="F15" s="10">
        <v>-621930</v>
      </c>
      <c r="G15" s="10">
        <v>1556</v>
      </c>
      <c r="H15" s="96">
        <v>36.439588688946017</v>
      </c>
      <c r="I15" s="11">
        <v>567</v>
      </c>
      <c r="J15" s="96">
        <v>981</v>
      </c>
      <c r="K15" s="96">
        <v>17530</v>
      </c>
      <c r="L15" s="12">
        <v>-4300</v>
      </c>
      <c r="M15" s="12">
        <v>1225.7142333984375</v>
      </c>
      <c r="N15" s="12">
        <v>-633.97552490234375</v>
      </c>
      <c r="O15" s="12">
        <v>1.9333778438643101</v>
      </c>
      <c r="P15" s="11">
        <v>46.947300771208226</v>
      </c>
      <c r="Q15" s="13">
        <v>9</v>
      </c>
      <c r="R15" s="96">
        <v>17</v>
      </c>
      <c r="S15" s="96">
        <v>70</v>
      </c>
      <c r="T15" s="96">
        <v>23</v>
      </c>
      <c r="U15" s="96">
        <v>-45225</v>
      </c>
      <c r="V15" s="12">
        <v>1.1174569485311849</v>
      </c>
      <c r="W15" s="11">
        <v>1</v>
      </c>
      <c r="X15" s="96">
        <v>45225</v>
      </c>
      <c r="Y15" s="12">
        <v>161.52570480928691</v>
      </c>
      <c r="Z15" s="11">
        <v>915.85074626865674</v>
      </c>
      <c r="AA15" s="86">
        <v>0.13832902505682401</v>
      </c>
      <c r="AB15" s="11">
        <v>0.63720280113147199</v>
      </c>
      <c r="AC15" s="11">
        <v>57362.688735986943</v>
      </c>
      <c r="AD15" s="81">
        <v>103.54922312697556</v>
      </c>
      <c r="AE15" s="11">
        <f>(Opti_Salidas__30_OOS_1[[#This Row],[All: TS Index]]-Z$47) /ABS(Z$47)</f>
        <v>-0.59527679769405784</v>
      </c>
      <c r="AF15" s="11">
        <f>(Opti_Salidas__30_OOS_1[[#This Row],[All: Expectancy Score]]-AA$47) /ABS(AA$47)</f>
        <v>-0.88561250326050289</v>
      </c>
      <c r="AG15" s="11"/>
      <c r="AH15" s="11">
        <f>(Opti_Salidas__30_OOS_1[[#This Row],[All: Perfect Profit Correlation]]-AC$47) /ABS(AC$47)</f>
        <v>-0.48565434442390598</v>
      </c>
      <c r="AI15" s="11">
        <f>(Opti_Salidas__30_OOS_1[[#This Row],[All: Robustness Index]]-AD$47) /ABS(AD$47)</f>
        <v>-0.60826540744251945</v>
      </c>
      <c r="AJ15" s="11">
        <f>SUM(Opti_Salidas__30_OOS_1[[#This Row],[VAR TS Index]:[VAR Robustness Index]])</f>
        <v>-2.5748090528209864</v>
      </c>
      <c r="AK15" s="11">
        <f>Opti_Salidas__30_OOS_1[[#This Row],[SUMA]]-Opti_Salidas__30_OOS_1[[#This Row],[VAR Robustness Index]]</f>
        <v>-1.9665436453784668</v>
      </c>
      <c r="AL15" s="11"/>
    </row>
    <row r="16" spans="1:38" x14ac:dyDescent="0.25">
      <c r="A16" s="11"/>
      <c r="B16" s="96">
        <v>7</v>
      </c>
      <c r="C16" s="96">
        <v>8</v>
      </c>
      <c r="D16" s="96">
        <v>75440</v>
      </c>
      <c r="E16" s="10">
        <v>700160</v>
      </c>
      <c r="F16" s="10">
        <v>-624720</v>
      </c>
      <c r="G16" s="10">
        <v>1556</v>
      </c>
      <c r="H16" s="96">
        <v>36.568123393316192</v>
      </c>
      <c r="I16" s="11">
        <v>569</v>
      </c>
      <c r="J16" s="96">
        <v>979</v>
      </c>
      <c r="K16" s="96">
        <v>17530</v>
      </c>
      <c r="L16" s="12">
        <v>-4300</v>
      </c>
      <c r="M16" s="12">
        <v>1230.5096435546875</v>
      </c>
      <c r="N16" s="12">
        <v>-638.12054443359375</v>
      </c>
      <c r="O16" s="12">
        <v>1.9283341592565519</v>
      </c>
      <c r="P16" s="11">
        <v>48.483290488431876</v>
      </c>
      <c r="Q16" s="13">
        <v>9</v>
      </c>
      <c r="R16" s="96">
        <v>17</v>
      </c>
      <c r="S16" s="96">
        <v>70</v>
      </c>
      <c r="T16" s="96">
        <v>23</v>
      </c>
      <c r="U16" s="96">
        <v>-45225</v>
      </c>
      <c r="V16" s="12">
        <v>1.1207580996286339</v>
      </c>
      <c r="W16" s="11">
        <v>1</v>
      </c>
      <c r="X16" s="96">
        <v>45225</v>
      </c>
      <c r="Y16" s="12">
        <v>166.81039248203427</v>
      </c>
      <c r="Z16" s="11">
        <v>949.151133222775</v>
      </c>
      <c r="AA16" s="86">
        <v>5.8125890037789001E-2</v>
      </c>
      <c r="AB16" s="11">
        <v>0.66053903669881397</v>
      </c>
      <c r="AC16" s="11">
        <v>60527.870984587775</v>
      </c>
      <c r="AD16" s="81">
        <v>113.45737711796322</v>
      </c>
      <c r="AE16" s="11">
        <f>(Opti_Salidas__30_OOS_1[[#This Row],[All: TS Index]]-Z$47) /ABS(Z$47)</f>
        <v>-0.58056103827473393</v>
      </c>
      <c r="AF16" s="11">
        <f>(Opti_Salidas__30_OOS_1[[#This Row],[All: Expectancy Score]]-AA$47) /ABS(AA$47)</f>
        <v>-0.95193434599537829</v>
      </c>
      <c r="AG16" s="11"/>
      <c r="AH16" s="11">
        <f>(Opti_Salidas__30_OOS_1[[#This Row],[All: Perfect Profit Correlation]]-AC$47) /ABS(AC$47)</f>
        <v>-0.45727356635111888</v>
      </c>
      <c r="AI16" s="11">
        <f>(Opti_Salidas__30_OOS_1[[#This Row],[All: Robustness Index]]-AD$47) /ABS(AD$47)</f>
        <v>-0.57078210675278973</v>
      </c>
      <c r="AJ16" s="11">
        <f>SUM(Opti_Salidas__30_OOS_1[[#This Row],[VAR TS Index]:[VAR Robustness Index]])</f>
        <v>-2.5605510573740209</v>
      </c>
      <c r="AK16" s="11">
        <f>Opti_Salidas__30_OOS_1[[#This Row],[SUMA]]-Opti_Salidas__30_OOS_1[[#This Row],[VAR Robustness Index]]</f>
        <v>-1.9897689506212313</v>
      </c>
      <c r="AL16" s="11"/>
    </row>
    <row r="17" spans="1:38" x14ac:dyDescent="0.25">
      <c r="A17" s="11"/>
      <c r="B17" s="96">
        <v>16</v>
      </c>
      <c r="C17" s="96">
        <v>17</v>
      </c>
      <c r="D17" s="96">
        <v>70330</v>
      </c>
      <c r="E17" s="4">
        <v>695610</v>
      </c>
      <c r="F17" s="4">
        <v>-625280</v>
      </c>
      <c r="G17" s="4">
        <v>1556</v>
      </c>
      <c r="H17" s="96">
        <v>37.146529562982003</v>
      </c>
      <c r="I17" s="5">
        <v>578</v>
      </c>
      <c r="J17" s="96">
        <v>970</v>
      </c>
      <c r="K17" s="96">
        <v>3590</v>
      </c>
      <c r="L17" s="6">
        <v>-4710</v>
      </c>
      <c r="M17" s="6">
        <v>1203.4775390625</v>
      </c>
      <c r="N17" s="6">
        <v>-644.6185302734375</v>
      </c>
      <c r="O17" s="6">
        <v>1.866960818752764</v>
      </c>
      <c r="P17" s="5">
        <v>45.199228791773777</v>
      </c>
      <c r="Q17" s="7">
        <v>9</v>
      </c>
      <c r="R17" s="96">
        <v>17</v>
      </c>
      <c r="S17" s="96">
        <v>52</v>
      </c>
      <c r="T17" s="96">
        <v>23</v>
      </c>
      <c r="U17" s="96">
        <v>-40415</v>
      </c>
      <c r="V17" s="6">
        <v>1.1124776100307061</v>
      </c>
      <c r="W17" s="5">
        <v>1</v>
      </c>
      <c r="X17" s="96">
        <v>40415</v>
      </c>
      <c r="Y17" s="6">
        <v>174.01954719782259</v>
      </c>
      <c r="Z17" s="5">
        <v>1005.8329828034146</v>
      </c>
      <c r="AA17" s="88">
        <v>8.3747542502009997E-2</v>
      </c>
      <c r="AB17" s="5">
        <v>0.61472969203402605</v>
      </c>
      <c r="AC17" s="5">
        <v>54918.725357915428</v>
      </c>
      <c r="AD17" s="80">
        <v>103.75924446496177</v>
      </c>
      <c r="AE17" s="5">
        <f>(Opti_Salidas__30_OOS_1[[#This Row],[All: TS Index]]-Z$47) /ABS(Z$47)</f>
        <v>-0.55551278694299266</v>
      </c>
      <c r="AF17" s="11">
        <f>(Opti_Salidas__30_OOS_1[[#This Row],[All: Expectancy Score]]-AA$47) /ABS(AA$47)</f>
        <v>-0.93074720405963729</v>
      </c>
      <c r="AG17" s="11"/>
      <c r="AH17" s="11">
        <f>(Opti_Salidas__30_OOS_1[[#This Row],[All: Perfect Profit Correlation]]-AC$47) /ABS(AC$47)</f>
        <v>-0.5075682744295883</v>
      </c>
      <c r="AI17" s="11">
        <f>(Opti_Salidas__30_OOS_1[[#This Row],[All: Robustness Index]]-AD$47) /ABS(AD$47)</f>
        <v>-0.60747088073551048</v>
      </c>
      <c r="AJ17" s="11">
        <f>SUM(Opti_Salidas__30_OOS_1[[#This Row],[VAR TS Index]:[VAR Robustness Index]])</f>
        <v>-2.6012991461677286</v>
      </c>
      <c r="AK17" s="11">
        <f>Opti_Salidas__30_OOS_1[[#This Row],[SUMA]]-Opti_Salidas__30_OOS_1[[#This Row],[VAR Robustness Index]]</f>
        <v>-1.9938282654322181</v>
      </c>
      <c r="AL17" s="11"/>
    </row>
    <row r="18" spans="1:38" x14ac:dyDescent="0.25">
      <c r="A18" s="11"/>
      <c r="B18" s="96">
        <v>29</v>
      </c>
      <c r="C18" s="96">
        <v>30</v>
      </c>
      <c r="D18" s="96">
        <v>76630</v>
      </c>
      <c r="E18" s="10">
        <v>701760</v>
      </c>
      <c r="F18" s="10">
        <v>-625130</v>
      </c>
      <c r="G18" s="10">
        <v>1556</v>
      </c>
      <c r="H18" s="96">
        <v>36.760925449871465</v>
      </c>
      <c r="I18" s="11">
        <v>572</v>
      </c>
      <c r="J18" s="96">
        <v>976</v>
      </c>
      <c r="K18" s="96">
        <v>8010</v>
      </c>
      <c r="L18" s="12">
        <v>-4300</v>
      </c>
      <c r="M18" s="12">
        <v>1226.8531494140625</v>
      </c>
      <c r="N18" s="12">
        <v>-640.5020751953125</v>
      </c>
      <c r="O18" s="12">
        <v>1.9154553855894221</v>
      </c>
      <c r="P18" s="11">
        <v>49.248071979434449</v>
      </c>
      <c r="Q18" s="13">
        <v>9</v>
      </c>
      <c r="R18" s="96">
        <v>17</v>
      </c>
      <c r="S18" s="96">
        <v>67</v>
      </c>
      <c r="T18" s="96">
        <v>23</v>
      </c>
      <c r="U18" s="96">
        <v>-45225</v>
      </c>
      <c r="V18" s="12">
        <v>1.122582502839409</v>
      </c>
      <c r="W18" s="11">
        <v>1</v>
      </c>
      <c r="X18" s="96">
        <v>45225</v>
      </c>
      <c r="Y18" s="12">
        <v>169.44168048645662</v>
      </c>
      <c r="Z18" s="11">
        <v>969.20641238253177</v>
      </c>
      <c r="AA18" s="86">
        <v>3.2218823570549998E-3</v>
      </c>
      <c r="AB18" s="11">
        <v>0.67297864040984101</v>
      </c>
      <c r="AC18" s="11">
        <v>62103.992565221604</v>
      </c>
      <c r="AD18" s="81">
        <v>91.125178867503195</v>
      </c>
      <c r="AE18" s="11">
        <f>(Opti_Salidas__30_OOS_1[[#This Row],[All: TS Index]]-Z$47) /ABS(Z$47)</f>
        <v>-0.57169841864184534</v>
      </c>
      <c r="AF18" s="11">
        <f>(Opti_Salidas__30_OOS_1[[#This Row],[All: Expectancy Score]]-AA$47) /ABS(AA$47)</f>
        <v>-0.997335750342625</v>
      </c>
      <c r="AG18" s="11"/>
      <c r="AH18" s="11">
        <f>(Opti_Salidas__30_OOS_1[[#This Row],[All: Perfect Profit Correlation]]-AC$47) /ABS(AC$47)</f>
        <v>-0.44314118682843179</v>
      </c>
      <c r="AI18" s="11">
        <f>(Opti_Salidas__30_OOS_1[[#This Row],[All: Robustness Index]]-AD$47) /ABS(AD$47)</f>
        <v>-0.65526651251051704</v>
      </c>
      <c r="AJ18" s="11">
        <f>SUM(Opti_Salidas__30_OOS_1[[#This Row],[VAR TS Index]:[VAR Robustness Index]])</f>
        <v>-2.6674418683234187</v>
      </c>
      <c r="AK18" s="11">
        <f>Opti_Salidas__30_OOS_1[[#This Row],[SUMA]]-Opti_Salidas__30_OOS_1[[#This Row],[VAR Robustness Index]]</f>
        <v>-2.0121753558129019</v>
      </c>
      <c r="AL18" s="11"/>
    </row>
    <row r="19" spans="1:38" x14ac:dyDescent="0.25">
      <c r="A19" s="11"/>
      <c r="B19" s="96">
        <v>3</v>
      </c>
      <c r="C19" s="96">
        <v>4</v>
      </c>
      <c r="D19" s="96">
        <v>73040</v>
      </c>
      <c r="E19" s="10">
        <v>703550</v>
      </c>
      <c r="F19" s="10">
        <v>-630510</v>
      </c>
      <c r="G19" s="10">
        <v>1556</v>
      </c>
      <c r="H19" s="96">
        <v>36.760925449871465</v>
      </c>
      <c r="I19" s="11">
        <v>572</v>
      </c>
      <c r="J19" s="96">
        <v>976</v>
      </c>
      <c r="K19" s="96">
        <v>17530</v>
      </c>
      <c r="L19" s="12">
        <v>-4300</v>
      </c>
      <c r="M19" s="12">
        <v>1229.9825439453125</v>
      </c>
      <c r="N19" s="12">
        <v>-646.01434326171875</v>
      </c>
      <c r="O19" s="12">
        <v>1.903955472157391</v>
      </c>
      <c r="P19" s="11">
        <v>46.940874035989715</v>
      </c>
      <c r="Q19" s="13">
        <v>9</v>
      </c>
      <c r="R19" s="96">
        <v>17</v>
      </c>
      <c r="S19" s="96">
        <v>70</v>
      </c>
      <c r="T19" s="96">
        <v>23</v>
      </c>
      <c r="U19" s="96">
        <v>-45225</v>
      </c>
      <c r="V19" s="12">
        <v>1.1158427304880181</v>
      </c>
      <c r="W19" s="11">
        <v>1</v>
      </c>
      <c r="X19" s="96">
        <v>45225</v>
      </c>
      <c r="Y19" s="12">
        <v>161.5035931453842</v>
      </c>
      <c r="Z19" s="11">
        <v>923.80055279159762</v>
      </c>
      <c r="AA19" s="86">
        <v>2.798421444311E-2</v>
      </c>
      <c r="AB19" s="11">
        <v>0.638052299845982</v>
      </c>
      <c r="AC19" s="11">
        <v>57048.946546471234</v>
      </c>
      <c r="AD19" s="81">
        <v>102.66809791005937</v>
      </c>
      <c r="AE19" s="11">
        <f>(Opti_Salidas__30_OOS_1[[#This Row],[All: TS Index]]-Z$47) /ABS(Z$47)</f>
        <v>-0.59176370217408825</v>
      </c>
      <c r="AF19" s="11">
        <f>(Opti_Salidas__30_OOS_1[[#This Row],[All: Expectancy Score]]-AA$47) /ABS(AA$47)</f>
        <v>-0.97685920046748198</v>
      </c>
      <c r="AG19" s="11"/>
      <c r="AH19" s="11">
        <f>(Opti_Salidas__30_OOS_1[[#This Row],[All: Perfect Profit Correlation]]-AC$47) /ABS(AC$47)</f>
        <v>-0.48846753075990662</v>
      </c>
      <c r="AI19" s="11">
        <f>(Opti_Salidas__30_OOS_1[[#This Row],[All: Robustness Index]]-AD$47) /ABS(AD$47)</f>
        <v>-0.61159877120341921</v>
      </c>
      <c r="AJ19" s="11">
        <f>SUM(Opti_Salidas__30_OOS_1[[#This Row],[VAR TS Index]:[VAR Robustness Index]])</f>
        <v>-2.6686892046048962</v>
      </c>
      <c r="AK19" s="11">
        <f>Opti_Salidas__30_OOS_1[[#This Row],[SUMA]]-Opti_Salidas__30_OOS_1[[#This Row],[VAR Robustness Index]]</f>
        <v>-2.057090433401477</v>
      </c>
      <c r="AL19" s="11"/>
    </row>
    <row r="20" spans="1:38" x14ac:dyDescent="0.25">
      <c r="A20" s="11"/>
      <c r="B20" s="96">
        <v>0</v>
      </c>
      <c r="C20" s="96">
        <v>1</v>
      </c>
      <c r="D20" s="96">
        <v>73020</v>
      </c>
      <c r="E20" s="10">
        <v>703550</v>
      </c>
      <c r="F20" s="10">
        <v>-630530</v>
      </c>
      <c r="G20" s="10">
        <v>1556</v>
      </c>
      <c r="H20" s="96">
        <v>36.760925449871465</v>
      </c>
      <c r="I20" s="11">
        <v>572</v>
      </c>
      <c r="J20" s="96">
        <v>976</v>
      </c>
      <c r="K20" s="96">
        <v>17530</v>
      </c>
      <c r="L20" s="12">
        <v>-4300</v>
      </c>
      <c r="M20" s="12">
        <v>1229.9825439453125</v>
      </c>
      <c r="N20" s="12">
        <v>-646.03485107421875</v>
      </c>
      <c r="O20" s="12">
        <v>1.9038950327526649</v>
      </c>
      <c r="P20" s="11">
        <v>46.9280205655527</v>
      </c>
      <c r="Q20" s="13">
        <v>9</v>
      </c>
      <c r="R20" s="96">
        <v>17</v>
      </c>
      <c r="S20" s="96">
        <v>70</v>
      </c>
      <c r="T20" s="96">
        <v>23</v>
      </c>
      <c r="U20" s="96">
        <v>-45225</v>
      </c>
      <c r="V20" s="12">
        <v>1.115807336685011</v>
      </c>
      <c r="W20" s="11">
        <v>1</v>
      </c>
      <c r="X20" s="96">
        <v>45225</v>
      </c>
      <c r="Y20" s="12">
        <v>161.45936981757876</v>
      </c>
      <c r="Z20" s="11">
        <v>923.54759535655057</v>
      </c>
      <c r="AA20" s="86">
        <v>2.7973247205481E-2</v>
      </c>
      <c r="AB20" s="11">
        <v>0.63785870168997805</v>
      </c>
      <c r="AC20" s="11">
        <v>57032.069328840073</v>
      </c>
      <c r="AD20" s="81">
        <v>102.50413621313122</v>
      </c>
      <c r="AE20" s="11">
        <f>(Opti_Salidas__30_OOS_1[[#This Row],[All: TS Index]]-Z$47) /ABS(Z$47)</f>
        <v>-0.59187548648346</v>
      </c>
      <c r="AF20" s="11">
        <f>(Opti_Salidas__30_OOS_1[[#This Row],[All: Expectancy Score]]-AA$47) /ABS(AA$47)</f>
        <v>-0.97686826953204031</v>
      </c>
      <c r="AG20" s="11"/>
      <c r="AH20" s="11">
        <f>(Opti_Salidas__30_OOS_1[[#This Row],[All: Perfect Profit Correlation]]-AC$47) /ABS(AC$47)</f>
        <v>-0.4886188612459435</v>
      </c>
      <c r="AI20" s="11">
        <f>(Opti_Salidas__30_OOS_1[[#This Row],[All: Robustness Index]]-AD$47) /ABS(AD$47)</f>
        <v>-0.61221905078255634</v>
      </c>
      <c r="AJ20" s="11">
        <f>SUM(Opti_Salidas__30_OOS_1[[#This Row],[VAR TS Index]:[VAR Robustness Index]])</f>
        <v>-2.6695816680440005</v>
      </c>
      <c r="AK20" s="11">
        <f>Opti_Salidas__30_OOS_1[[#This Row],[SUMA]]-Opti_Salidas__30_OOS_1[[#This Row],[VAR Robustness Index]]</f>
        <v>-2.0573626172614441</v>
      </c>
      <c r="AL20" s="11"/>
    </row>
    <row r="21" spans="1:38" x14ac:dyDescent="0.25">
      <c r="A21" s="11"/>
      <c r="B21" s="96">
        <v>30</v>
      </c>
      <c r="C21" s="96">
        <v>31</v>
      </c>
      <c r="D21" s="96">
        <v>70360</v>
      </c>
      <c r="E21" s="10">
        <v>697230</v>
      </c>
      <c r="F21" s="10">
        <v>-626870</v>
      </c>
      <c r="G21" s="10">
        <v>1556</v>
      </c>
      <c r="H21" s="96">
        <v>36.568123393316192</v>
      </c>
      <c r="I21" s="11">
        <v>569</v>
      </c>
      <c r="J21" s="96">
        <v>979</v>
      </c>
      <c r="K21" s="96">
        <v>7970</v>
      </c>
      <c r="L21" s="12">
        <v>-4030</v>
      </c>
      <c r="M21" s="12">
        <v>1225.3602294921875</v>
      </c>
      <c r="N21" s="12">
        <v>-640.316650390625</v>
      </c>
      <c r="O21" s="12">
        <v>1.91367853505708</v>
      </c>
      <c r="P21" s="11">
        <v>45.218508997429304</v>
      </c>
      <c r="Q21" s="13">
        <v>9</v>
      </c>
      <c r="R21" s="96">
        <v>17</v>
      </c>
      <c r="S21" s="96">
        <v>69</v>
      </c>
      <c r="T21" s="96">
        <v>23</v>
      </c>
      <c r="U21" s="96">
        <v>-45225</v>
      </c>
      <c r="V21" s="12">
        <v>1.112240177389251</v>
      </c>
      <c r="W21" s="11">
        <v>1</v>
      </c>
      <c r="X21" s="96">
        <v>45225</v>
      </c>
      <c r="Y21" s="12">
        <v>155.57766721945828</v>
      </c>
      <c r="Z21" s="11">
        <v>885.23692647871758</v>
      </c>
      <c r="AA21" s="86">
        <v>5.4834820059632E-2</v>
      </c>
      <c r="AB21" s="11">
        <v>0.61165449957670204</v>
      </c>
      <c r="AC21" s="11">
        <v>56037.278649525535</v>
      </c>
      <c r="AD21" s="81">
        <v>96.477417888952971</v>
      </c>
      <c r="AE21" s="11">
        <f>(Opti_Salidas__30_OOS_1[[#This Row],[All: TS Index]]-Z$47) /ABS(Z$47)</f>
        <v>-0.60880533739409171</v>
      </c>
      <c r="AF21" s="11">
        <f>(Opti_Salidas__30_OOS_1[[#This Row],[All: Expectancy Score]]-AA$47) /ABS(AA$47)</f>
        <v>-0.95465580851014153</v>
      </c>
      <c r="AG21" s="11"/>
      <c r="AH21" s="11">
        <f>(Opti_Salidas__30_OOS_1[[#This Row],[All: Perfect Profit Correlation]]-AC$47) /ABS(AC$47)</f>
        <v>-0.497538705754418</v>
      </c>
      <c r="AI21" s="11">
        <f>(Opti_Salidas__30_OOS_1[[#This Row],[All: Robustness Index]]-AD$47) /ABS(AD$47)</f>
        <v>-0.63501858491605423</v>
      </c>
      <c r="AJ21" s="11">
        <f>SUM(Opti_Salidas__30_OOS_1[[#This Row],[VAR TS Index]:[VAR Robustness Index]])</f>
        <v>-2.6960184365747057</v>
      </c>
      <c r="AK21" s="11">
        <f>Opti_Salidas__30_OOS_1[[#This Row],[SUMA]]-Opti_Salidas__30_OOS_1[[#This Row],[VAR Robustness Index]]</f>
        <v>-2.0609998516586514</v>
      </c>
      <c r="AL21" s="11"/>
    </row>
    <row r="22" spans="1:38" x14ac:dyDescent="0.25">
      <c r="A22" s="11"/>
      <c r="B22" s="96">
        <v>2</v>
      </c>
      <c r="C22" s="96">
        <v>3</v>
      </c>
      <c r="D22" s="96">
        <v>72050</v>
      </c>
      <c r="E22" s="10">
        <v>703550</v>
      </c>
      <c r="F22" s="10">
        <v>-631500</v>
      </c>
      <c r="G22" s="10">
        <v>1556</v>
      </c>
      <c r="H22" s="96">
        <v>36.760925449871465</v>
      </c>
      <c r="I22" s="11">
        <v>572</v>
      </c>
      <c r="J22" s="96">
        <v>976</v>
      </c>
      <c r="K22" s="96">
        <v>17530</v>
      </c>
      <c r="L22" s="12">
        <v>-4300</v>
      </c>
      <c r="M22" s="12">
        <v>1229.9825439453125</v>
      </c>
      <c r="N22" s="12">
        <v>-647.0286865234375</v>
      </c>
      <c r="O22" s="12">
        <v>1.9009706517869489</v>
      </c>
      <c r="P22" s="11">
        <v>46.304627249357324</v>
      </c>
      <c r="Q22" s="13">
        <v>9</v>
      </c>
      <c r="R22" s="96">
        <v>17</v>
      </c>
      <c r="S22" s="96">
        <v>70</v>
      </c>
      <c r="T22" s="96">
        <v>23</v>
      </c>
      <c r="U22" s="96">
        <v>-45225</v>
      </c>
      <c r="V22" s="12">
        <v>1.11409342834521</v>
      </c>
      <c r="W22" s="11">
        <v>1</v>
      </c>
      <c r="X22" s="96">
        <v>45225</v>
      </c>
      <c r="Y22" s="12">
        <v>159.31453841901603</v>
      </c>
      <c r="Z22" s="11">
        <v>911.27915975677172</v>
      </c>
      <c r="AA22" s="86">
        <v>2.744204837161E-2</v>
      </c>
      <c r="AB22" s="11">
        <v>0.62846919112381505</v>
      </c>
      <c r="AC22" s="11">
        <v>55958.975839260675</v>
      </c>
      <c r="AD22" s="81">
        <v>101.2887157053393</v>
      </c>
      <c r="AE22" s="11">
        <f>(Opti_Salidas__30_OOS_1[[#This Row],[All: TS Index]]-Z$47) /ABS(Z$47)</f>
        <v>-0.59729702548799368</v>
      </c>
      <c r="AF22" s="11">
        <f>(Opti_Salidas__30_OOS_1[[#This Row],[All: Expectancy Score]]-AA$47) /ABS(AA$47)</f>
        <v>-0.97730753023565964</v>
      </c>
      <c r="AG22" s="11"/>
      <c r="AH22" s="11">
        <f>(Opti_Salidas__30_OOS_1[[#This Row],[All: Perfect Profit Correlation]]-AC$47) /ABS(AC$47)</f>
        <v>-0.49824081214389521</v>
      </c>
      <c r="AI22" s="11">
        <f>(Opti_Salidas__30_OOS_1[[#This Row],[All: Robustness Index]]-AD$47) /ABS(AD$47)</f>
        <v>-0.61681707907314076</v>
      </c>
      <c r="AJ22" s="11">
        <f>SUM(Opti_Salidas__30_OOS_1[[#This Row],[VAR TS Index]:[VAR Robustness Index]])</f>
        <v>-2.6896624469406891</v>
      </c>
      <c r="AK22" s="11">
        <f>Opti_Salidas__30_OOS_1[[#This Row],[SUMA]]-Opti_Salidas__30_OOS_1[[#This Row],[VAR Robustness Index]]</f>
        <v>-2.0728453678675485</v>
      </c>
      <c r="AL22" s="11"/>
    </row>
    <row r="23" spans="1:38" x14ac:dyDescent="0.25">
      <c r="A23" s="11"/>
      <c r="B23" s="96">
        <v>4</v>
      </c>
      <c r="C23" s="96">
        <v>5</v>
      </c>
      <c r="D23" s="96">
        <v>70510</v>
      </c>
      <c r="E23" s="10">
        <v>701040</v>
      </c>
      <c r="F23" s="10">
        <v>-630530</v>
      </c>
      <c r="G23" s="10">
        <v>1556</v>
      </c>
      <c r="H23" s="96">
        <v>36.760925449871465</v>
      </c>
      <c r="I23" s="11">
        <v>572</v>
      </c>
      <c r="J23" s="96">
        <v>976</v>
      </c>
      <c r="K23" s="96">
        <v>7470</v>
      </c>
      <c r="L23" s="12">
        <v>-4300</v>
      </c>
      <c r="M23" s="12">
        <v>1225.5943603515625</v>
      </c>
      <c r="N23" s="12">
        <v>-646.03485107421875</v>
      </c>
      <c r="O23" s="12">
        <v>1.8971025453404859</v>
      </c>
      <c r="P23" s="11">
        <v>45.314910025706943</v>
      </c>
      <c r="Q23" s="13">
        <v>9</v>
      </c>
      <c r="R23" s="96">
        <v>17</v>
      </c>
      <c r="S23" s="96">
        <v>69</v>
      </c>
      <c r="T23" s="96">
        <v>23</v>
      </c>
      <c r="U23" s="96">
        <v>-45225</v>
      </c>
      <c r="V23" s="12">
        <v>1.111826558609424</v>
      </c>
      <c r="W23" s="11">
        <v>1</v>
      </c>
      <c r="X23" s="96">
        <v>45225</v>
      </c>
      <c r="Y23" s="12">
        <v>155.90934217799889</v>
      </c>
      <c r="Z23" s="11">
        <v>891.80143725815367</v>
      </c>
      <c r="AA23" s="86">
        <v>3.1779304607934003E-2</v>
      </c>
      <c r="AB23" s="11">
        <v>0.61380818541253601</v>
      </c>
      <c r="AC23" s="11">
        <v>56124.145824800573</v>
      </c>
      <c r="AD23" s="81">
        <v>86.328904869802784</v>
      </c>
      <c r="AE23" s="11">
        <f>(Opti_Salidas__30_OOS_1[[#This Row],[All: TS Index]]-Z$47) /ABS(Z$47)</f>
        <v>-0.60590441730962419</v>
      </c>
      <c r="AF23" s="11">
        <f>(Opti_Salidas__30_OOS_1[[#This Row],[All: Expectancy Score]]-AA$47) /ABS(AA$47)</f>
        <v>-0.97372095190629548</v>
      </c>
      <c r="AG23" s="11"/>
      <c r="AH23" s="11">
        <f>(Opti_Salidas__30_OOS_1[[#This Row],[All: Perfect Profit Correlation]]-AC$47) /ABS(AC$47)</f>
        <v>-0.49675980652219193</v>
      </c>
      <c r="AI23" s="11">
        <f>(Opti_Salidas__30_OOS_1[[#This Row],[All: Robustness Index]]-AD$47) /ABS(AD$47)</f>
        <v>-0.67341118210383</v>
      </c>
      <c r="AJ23" s="11">
        <f>SUM(Opti_Salidas__30_OOS_1[[#This Row],[VAR TS Index]:[VAR Robustness Index]])</f>
        <v>-2.7497963578419418</v>
      </c>
      <c r="AK23" s="11">
        <f>Opti_Salidas__30_OOS_1[[#This Row],[SUMA]]-Opti_Salidas__30_OOS_1[[#This Row],[VAR Robustness Index]]</f>
        <v>-2.0763851757381118</v>
      </c>
      <c r="AL23" s="11"/>
    </row>
    <row r="24" spans="1:38" x14ac:dyDescent="0.25">
      <c r="A24" s="11"/>
      <c r="B24" s="96">
        <v>5</v>
      </c>
      <c r="C24" s="96">
        <v>6</v>
      </c>
      <c r="D24" s="96">
        <v>64800</v>
      </c>
      <c r="E24" s="10">
        <v>686370</v>
      </c>
      <c r="F24" s="10">
        <v>-621570</v>
      </c>
      <c r="G24" s="10">
        <v>1556</v>
      </c>
      <c r="H24" s="96">
        <v>37.210796915167094</v>
      </c>
      <c r="I24" s="11">
        <v>579</v>
      </c>
      <c r="J24" s="96">
        <v>969</v>
      </c>
      <c r="K24" s="96">
        <v>3420</v>
      </c>
      <c r="L24" s="12">
        <v>-4300</v>
      </c>
      <c r="M24" s="12">
        <v>1185.4404296875</v>
      </c>
      <c r="N24" s="12">
        <v>-641.455078125</v>
      </c>
      <c r="O24" s="12">
        <v>1.848049021846693</v>
      </c>
      <c r="P24" s="11">
        <v>41.645244215938305</v>
      </c>
      <c r="Q24" s="13">
        <v>9</v>
      </c>
      <c r="R24" s="96">
        <v>17</v>
      </c>
      <c r="S24" s="96">
        <v>50</v>
      </c>
      <c r="T24" s="96">
        <v>23</v>
      </c>
      <c r="U24" s="96">
        <v>-40705</v>
      </c>
      <c r="V24" s="12">
        <v>1.1042521357208359</v>
      </c>
      <c r="W24" s="11">
        <v>1</v>
      </c>
      <c r="X24" s="96">
        <v>40705</v>
      </c>
      <c r="Y24" s="12">
        <v>159.19420218646357</v>
      </c>
      <c r="Z24" s="11">
        <v>921.73443065962408</v>
      </c>
      <c r="AA24" s="86">
        <v>7.7963741273335996E-2</v>
      </c>
      <c r="AB24" s="11">
        <v>0.56243141465629098</v>
      </c>
      <c r="AC24" s="11">
        <v>49804.557293874284</v>
      </c>
      <c r="AD24" s="81">
        <v>102.70486878900853</v>
      </c>
      <c r="AE24" s="11">
        <f>(Opti_Salidas__30_OOS_1[[#This Row],[All: TS Index]]-Z$47) /ABS(Z$47)</f>
        <v>-0.59267674130083925</v>
      </c>
      <c r="AF24" s="11">
        <f>(Opti_Salidas__30_OOS_1[[#This Row],[All: Expectancy Score]]-AA$47) /ABS(AA$47)</f>
        <v>-0.9355299641775161</v>
      </c>
      <c r="AG24" s="11"/>
      <c r="AH24" s="11">
        <f>(Opti_Salidas__30_OOS_1[[#This Row],[All: Perfect Profit Correlation]]-AC$47) /ABS(AC$47)</f>
        <v>-0.55342473938248249</v>
      </c>
      <c r="AI24" s="11">
        <f>(Opti_Salidas__30_OOS_1[[#This Row],[All: Robustness Index]]-AD$47) /ABS(AD$47)</f>
        <v>-0.6114596641696034</v>
      </c>
      <c r="AJ24" s="11">
        <f>SUM(Opti_Salidas__30_OOS_1[[#This Row],[VAR TS Index]:[VAR Robustness Index]])</f>
        <v>-2.693091109030441</v>
      </c>
      <c r="AK24" s="11">
        <f>Opti_Salidas__30_OOS_1[[#This Row],[SUMA]]-Opti_Salidas__30_OOS_1[[#This Row],[VAR Robustness Index]]</f>
        <v>-2.0816314448608377</v>
      </c>
      <c r="AL24" s="11"/>
    </row>
    <row r="25" spans="1:38" x14ac:dyDescent="0.25">
      <c r="A25" s="11"/>
      <c r="B25" s="96">
        <v>1</v>
      </c>
      <c r="C25" s="96">
        <v>2</v>
      </c>
      <c r="D25" s="96">
        <v>70870</v>
      </c>
      <c r="E25" s="10">
        <v>703550</v>
      </c>
      <c r="F25" s="10">
        <v>-632680</v>
      </c>
      <c r="G25" s="10">
        <v>1556</v>
      </c>
      <c r="H25" s="96">
        <v>36.760925449871465</v>
      </c>
      <c r="I25" s="11">
        <v>572</v>
      </c>
      <c r="J25" s="96">
        <v>976</v>
      </c>
      <c r="K25" s="96">
        <v>17530</v>
      </c>
      <c r="L25" s="12">
        <v>-4030</v>
      </c>
      <c r="M25" s="12">
        <v>1229.9825439453125</v>
      </c>
      <c r="N25" s="12">
        <v>-648.23773193359375</v>
      </c>
      <c r="O25" s="12">
        <v>1.897425100937064</v>
      </c>
      <c r="P25" s="11">
        <v>45.546272493573262</v>
      </c>
      <c r="Q25" s="13">
        <v>9</v>
      </c>
      <c r="R25" s="96">
        <v>17</v>
      </c>
      <c r="S25" s="96">
        <v>70</v>
      </c>
      <c r="T25" s="96">
        <v>23</v>
      </c>
      <c r="U25" s="96">
        <v>-45225</v>
      </c>
      <c r="V25" s="12">
        <v>1.1120155528861351</v>
      </c>
      <c r="W25" s="11">
        <v>1</v>
      </c>
      <c r="X25" s="96">
        <v>45225</v>
      </c>
      <c r="Y25" s="12">
        <v>156.70536207849642</v>
      </c>
      <c r="Z25" s="11">
        <v>896.35467108899945</v>
      </c>
      <c r="AA25" s="86">
        <v>2.6798052553826002E-2</v>
      </c>
      <c r="AB25" s="11">
        <v>0.61704689991961703</v>
      </c>
      <c r="AC25" s="11">
        <v>55127.383592467515</v>
      </c>
      <c r="AD25" s="81">
        <v>100.20945255789803</v>
      </c>
      <c r="AE25" s="11">
        <f>(Opti_Salidas__30_OOS_1[[#This Row],[All: TS Index]]-Z$47) /ABS(Z$47)</f>
        <v>-0.60389229974093128</v>
      </c>
      <c r="AF25" s="11">
        <f>(Opti_Salidas__30_OOS_1[[#This Row],[All: Expectancy Score]]-AA$47) /ABS(AA$47)</f>
        <v>-0.97784006539577339</v>
      </c>
      <c r="AG25" s="11"/>
      <c r="AH25" s="11">
        <f>(Opti_Salidas__30_OOS_1[[#This Row],[All: Perfect Profit Correlation]]-AC$47) /ABS(AC$47)</f>
        <v>-0.50569732906759524</v>
      </c>
      <c r="AI25" s="11">
        <f>(Opti_Salidas__30_OOS_1[[#This Row],[All: Robustness Index]]-AD$47) /ABS(AD$47)</f>
        <v>-0.62090001370613923</v>
      </c>
      <c r="AJ25" s="11">
        <f>SUM(Opti_Salidas__30_OOS_1[[#This Row],[VAR TS Index]:[VAR Robustness Index]])</f>
        <v>-2.7083297079104387</v>
      </c>
      <c r="AK25" s="11">
        <f>Opti_Salidas__30_OOS_1[[#This Row],[SUMA]]-Opti_Salidas__30_OOS_1[[#This Row],[VAR Robustness Index]]</f>
        <v>-2.0874296942042996</v>
      </c>
      <c r="AL25" s="11"/>
    </row>
    <row r="26" spans="1:38" x14ac:dyDescent="0.25">
      <c r="A26" s="11"/>
      <c r="B26" s="96">
        <v>15</v>
      </c>
      <c r="C26" s="96">
        <v>16</v>
      </c>
      <c r="D26" s="96">
        <v>67940</v>
      </c>
      <c r="E26" s="10">
        <v>700620</v>
      </c>
      <c r="F26" s="10">
        <v>-632680</v>
      </c>
      <c r="G26" s="10">
        <v>1556</v>
      </c>
      <c r="H26" s="96">
        <v>36.760925449871465</v>
      </c>
      <c r="I26" s="11">
        <v>572</v>
      </c>
      <c r="J26" s="96">
        <v>976</v>
      </c>
      <c r="K26" s="96">
        <v>7970</v>
      </c>
      <c r="L26" s="12">
        <v>-4030</v>
      </c>
      <c r="M26" s="12">
        <v>1224.860107421875</v>
      </c>
      <c r="N26" s="12">
        <v>-648.23773193359375</v>
      </c>
      <c r="O26" s="12">
        <v>1.8895230053460561</v>
      </c>
      <c r="P26" s="11">
        <v>43.663239074550127</v>
      </c>
      <c r="Q26" s="13">
        <v>9</v>
      </c>
      <c r="R26" s="96">
        <v>17</v>
      </c>
      <c r="S26" s="96">
        <v>69</v>
      </c>
      <c r="T26" s="96">
        <v>23</v>
      </c>
      <c r="U26" s="96">
        <v>-45225</v>
      </c>
      <c r="V26" s="12">
        <v>1.1073844597584881</v>
      </c>
      <c r="W26" s="11">
        <v>1</v>
      </c>
      <c r="X26" s="96">
        <v>45225</v>
      </c>
      <c r="Y26" s="12">
        <v>150.22664455500276</v>
      </c>
      <c r="Z26" s="11">
        <v>859.29640685461584</v>
      </c>
      <c r="AA26" s="86">
        <v>3.0128968392253999E-2</v>
      </c>
      <c r="AB26" s="11">
        <v>0.58897199446427795</v>
      </c>
      <c r="AC26" s="11">
        <v>53140.007523944609</v>
      </c>
      <c r="AD26" s="81">
        <v>89.236631937280052</v>
      </c>
      <c r="AE26" s="11">
        <f>(Opti_Salidas__30_OOS_1[[#This Row],[All: TS Index]]-Z$47) /ABS(Z$47)</f>
        <v>-0.62026870106390408</v>
      </c>
      <c r="AF26" s="11">
        <f>(Opti_Salidas__30_OOS_1[[#This Row],[All: Expectancy Score]]-AA$47) /ABS(AA$47)</f>
        <v>-0.97508565340992148</v>
      </c>
      <c r="AG26" s="11"/>
      <c r="AH26" s="11">
        <f>(Opti_Salidas__30_OOS_1[[#This Row],[All: Perfect Profit Correlation]]-AC$47) /ABS(AC$47)</f>
        <v>-0.5235172442313587</v>
      </c>
      <c r="AI26" s="11">
        <f>(Opti_Salidas__30_OOS_1[[#This Row],[All: Robustness Index]]-AD$47) /ABS(AD$47)</f>
        <v>-0.66241102929100004</v>
      </c>
      <c r="AJ26" s="11">
        <f>SUM(Opti_Salidas__30_OOS_1[[#This Row],[VAR TS Index]:[VAR Robustness Index]])</f>
        <v>-2.7812826279961844</v>
      </c>
      <c r="AK26" s="11">
        <f>Opti_Salidas__30_OOS_1[[#This Row],[SUMA]]-Opti_Salidas__30_OOS_1[[#This Row],[VAR Robustness Index]]</f>
        <v>-2.1188715987051845</v>
      </c>
      <c r="AL26" s="11"/>
    </row>
    <row r="27" spans="1:38" x14ac:dyDescent="0.25">
      <c r="A27" s="11"/>
      <c r="B27" s="96">
        <v>14</v>
      </c>
      <c r="C27" s="96">
        <v>15</v>
      </c>
      <c r="D27" s="96">
        <v>65100</v>
      </c>
      <c r="E27" s="10">
        <v>693930</v>
      </c>
      <c r="F27" s="10">
        <v>-628830</v>
      </c>
      <c r="G27" s="10">
        <v>1556</v>
      </c>
      <c r="H27" s="96">
        <v>36.696658097686374</v>
      </c>
      <c r="I27" s="11">
        <v>571</v>
      </c>
      <c r="J27" s="96">
        <v>977</v>
      </c>
      <c r="K27" s="96">
        <v>22600</v>
      </c>
      <c r="L27" s="12">
        <v>-3940</v>
      </c>
      <c r="M27" s="12">
        <v>1215.2889404296875</v>
      </c>
      <c r="N27" s="12">
        <v>-643.633544921875</v>
      </c>
      <c r="O27" s="12">
        <v>1.8881690521229759</v>
      </c>
      <c r="P27" s="11">
        <v>41.838046272493571</v>
      </c>
      <c r="Q27" s="13">
        <v>9</v>
      </c>
      <c r="R27" s="96">
        <v>17</v>
      </c>
      <c r="S27" s="96">
        <v>68</v>
      </c>
      <c r="T27" s="96">
        <v>23</v>
      </c>
      <c r="U27" s="96">
        <v>-46995</v>
      </c>
      <c r="V27" s="12">
        <v>1.103525595152903</v>
      </c>
      <c r="W27" s="11">
        <v>1</v>
      </c>
      <c r="X27" s="96">
        <v>46995</v>
      </c>
      <c r="Y27" s="12">
        <v>138.52537503989785</v>
      </c>
      <c r="Z27" s="11">
        <v>790.97989147781675</v>
      </c>
      <c r="AA27" s="86">
        <v>3.1724777438166998E-2</v>
      </c>
      <c r="AB27" s="11">
        <v>0.56177987382209504</v>
      </c>
      <c r="AC27" s="11">
        <v>47894.147604874546</v>
      </c>
      <c r="AD27" s="81">
        <v>84.301080853352587</v>
      </c>
      <c r="AE27" s="11">
        <f>(Opti_Salidas__30_OOS_1[[#This Row],[All: TS Index]]-Z$47) /ABS(Z$47)</f>
        <v>-0.65045842246373853</v>
      </c>
      <c r="AF27" s="11">
        <f>(Opti_Salidas__30_OOS_1[[#This Row],[All: Expectancy Score]]-AA$47) /ABS(AA$47)</f>
        <v>-0.97376604169458381</v>
      </c>
      <c r="AG27" s="11"/>
      <c r="AH27" s="11">
        <f>(Opti_Salidas__30_OOS_1[[#This Row],[All: Perfect Profit Correlation]]-AC$47) /ABS(AC$47)</f>
        <v>-0.57055453133540124</v>
      </c>
      <c r="AI27" s="11">
        <f>(Opti_Salidas__30_OOS_1[[#This Row],[All: Robustness Index]]-AD$47) /ABS(AD$47)</f>
        <v>-0.68108259470234189</v>
      </c>
      <c r="AJ27" s="11">
        <f>SUM(Opti_Salidas__30_OOS_1[[#This Row],[VAR TS Index]:[VAR Robustness Index]])</f>
        <v>-2.8758615901960654</v>
      </c>
      <c r="AK27" s="11">
        <f>Opti_Salidas__30_OOS_1[[#This Row],[SUMA]]-Opti_Salidas__30_OOS_1[[#This Row],[VAR Robustness Index]]</f>
        <v>-2.1947789954937234</v>
      </c>
      <c r="AL27" s="11"/>
    </row>
    <row r="28" spans="1:38" x14ac:dyDescent="0.25">
      <c r="A28" s="11"/>
      <c r="B28" s="96">
        <v>25</v>
      </c>
      <c r="C28" s="96">
        <v>26</v>
      </c>
      <c r="D28" s="96">
        <v>58210</v>
      </c>
      <c r="E28" s="10">
        <v>694640</v>
      </c>
      <c r="F28" s="10">
        <v>-636430</v>
      </c>
      <c r="G28" s="10">
        <v>1556</v>
      </c>
      <c r="H28" s="96">
        <v>36.375321336760926</v>
      </c>
      <c r="I28" s="11">
        <v>566</v>
      </c>
      <c r="J28" s="96">
        <v>982</v>
      </c>
      <c r="K28" s="96">
        <v>17530</v>
      </c>
      <c r="L28" s="12">
        <v>-3410</v>
      </c>
      <c r="M28" s="12">
        <v>1227.2791748046875</v>
      </c>
      <c r="N28" s="12">
        <v>-648.095703125</v>
      </c>
      <c r="O28" s="12">
        <v>1.893669667746553</v>
      </c>
      <c r="P28" s="11">
        <v>37.410025706940871</v>
      </c>
      <c r="Q28" s="13">
        <v>9</v>
      </c>
      <c r="R28" s="96">
        <v>17</v>
      </c>
      <c r="S28" s="96">
        <v>70</v>
      </c>
      <c r="T28" s="96">
        <v>23</v>
      </c>
      <c r="U28" s="96">
        <v>-45365</v>
      </c>
      <c r="V28" s="12">
        <v>1.091463318825322</v>
      </c>
      <c r="W28" s="11">
        <v>1</v>
      </c>
      <c r="X28" s="96">
        <v>45365</v>
      </c>
      <c r="Y28" s="12">
        <v>128.31478011683015</v>
      </c>
      <c r="Z28" s="11">
        <v>726.26165546125867</v>
      </c>
      <c r="AA28" s="86">
        <v>1.6265856277024E-2</v>
      </c>
      <c r="AB28" s="11">
        <v>0.49321400387735798</v>
      </c>
      <c r="AC28" s="11">
        <v>42920.139935269952</v>
      </c>
      <c r="AD28" s="81">
        <v>85.344157589246223</v>
      </c>
      <c r="AE28" s="11">
        <f>(Opti_Salidas__30_OOS_1[[#This Row],[All: TS Index]]-Z$47) /ABS(Z$47)</f>
        <v>-0.67905802980688701</v>
      </c>
      <c r="AF28" s="11">
        <f>(Opti_Salidas__30_OOS_1[[#This Row],[All: Expectancy Score]]-AA$47) /ABS(AA$47)</f>
        <v>-0.98654938411451332</v>
      </c>
      <c r="AG28" s="11"/>
      <c r="AH28" s="11">
        <f>(Opti_Salidas__30_OOS_1[[#This Row],[All: Perfect Profit Correlation]]-AC$47) /ABS(AC$47)</f>
        <v>-0.6151542405198539</v>
      </c>
      <c r="AI28" s="11">
        <f>(Opti_Salidas__30_OOS_1[[#This Row],[All: Robustness Index]]-AD$47) /ABS(AD$47)</f>
        <v>-0.67713655601849365</v>
      </c>
      <c r="AJ28" s="11">
        <f>SUM(Opti_Salidas__30_OOS_1[[#This Row],[VAR TS Index]:[VAR Robustness Index]])</f>
        <v>-2.9578982104597475</v>
      </c>
      <c r="AK28" s="11">
        <f>Opti_Salidas__30_OOS_1[[#This Row],[SUMA]]-Opti_Salidas__30_OOS_1[[#This Row],[VAR Robustness Index]]</f>
        <v>-2.2807616544412541</v>
      </c>
      <c r="AL28" s="11"/>
    </row>
    <row r="29" spans="1:38" x14ac:dyDescent="0.25">
      <c r="A29" s="11"/>
      <c r="B29" s="96">
        <v>32</v>
      </c>
      <c r="C29" s="96">
        <v>33</v>
      </c>
      <c r="D29" s="96">
        <v>15100</v>
      </c>
      <c r="E29" s="10">
        <v>458530</v>
      </c>
      <c r="F29" s="10">
        <v>-443430</v>
      </c>
      <c r="G29" s="10">
        <v>1556</v>
      </c>
      <c r="H29" s="96">
        <v>28.8560411311054</v>
      </c>
      <c r="I29" s="11">
        <v>449</v>
      </c>
      <c r="J29" s="96">
        <v>1101</v>
      </c>
      <c r="K29" s="96">
        <v>12670</v>
      </c>
      <c r="L29" s="12">
        <v>-3660</v>
      </c>
      <c r="M29" s="12">
        <v>1021.2249145507813</v>
      </c>
      <c r="N29" s="12">
        <v>-402.75204467773438</v>
      </c>
      <c r="O29" s="12">
        <v>2.5356169584885002</v>
      </c>
      <c r="P29" s="11">
        <v>9.7043701799485866</v>
      </c>
      <c r="Q29" s="13">
        <v>5</v>
      </c>
      <c r="R29" s="96">
        <v>17</v>
      </c>
      <c r="S29" s="96">
        <v>51</v>
      </c>
      <c r="T29" s="96">
        <v>12</v>
      </c>
      <c r="U29" s="96">
        <v>-39655</v>
      </c>
      <c r="V29" s="12">
        <v>1.0340527253456011</v>
      </c>
      <c r="W29" s="11">
        <v>1</v>
      </c>
      <c r="X29" s="96">
        <v>39655</v>
      </c>
      <c r="Y29" s="12">
        <v>38.07842642794099</v>
      </c>
      <c r="Z29" s="11">
        <v>170.97213466145504</v>
      </c>
      <c r="AA29" s="86">
        <v>4.4004125497964001E-2</v>
      </c>
      <c r="AB29" s="11">
        <v>6.824475850568E-2</v>
      </c>
      <c r="AC29" s="11">
        <v>5600.368036417959</v>
      </c>
      <c r="AD29" s="81">
        <v>98.501046994808789</v>
      </c>
      <c r="AE29" s="11">
        <f>(Opti_Salidas__30_OOS_1[[#This Row],[All: TS Index]]-Z$47) /ABS(Z$47)</f>
        <v>-0.92444577882675139</v>
      </c>
      <c r="AF29" s="11">
        <f>(Opti_Salidas__30_OOS_1[[#This Row],[All: Expectancy Score]]-AA$47) /ABS(AA$47)</f>
        <v>-0.96361196242180513</v>
      </c>
      <c r="AG29" s="11"/>
      <c r="AH29" s="11">
        <f>(Opti_Salidas__30_OOS_1[[#This Row],[All: Perfect Profit Correlation]]-AC$47) /ABS(AC$47)</f>
        <v>-0.94978399665998092</v>
      </c>
      <c r="AI29" s="11">
        <f>(Opti_Salidas__30_OOS_1[[#This Row],[All: Robustness Index]]-AD$47) /ABS(AD$47)</f>
        <v>-0.62736304198360926</v>
      </c>
      <c r="AJ29" s="11">
        <f>SUM(Opti_Salidas__30_OOS_1[[#This Row],[VAR TS Index]:[VAR Robustness Index]])</f>
        <v>-3.4652047798921468</v>
      </c>
      <c r="AK29" s="11">
        <f>Opti_Salidas__30_OOS_1[[#This Row],[SUMA]]-Opti_Salidas__30_OOS_1[[#This Row],[VAR Robustness Index]]</f>
        <v>-2.8378417379085374</v>
      </c>
      <c r="AL29" s="11"/>
    </row>
    <row r="30" spans="1:38" x14ac:dyDescent="0.25">
      <c r="A30" s="11"/>
      <c r="B30" s="96">
        <v>10</v>
      </c>
      <c r="C30" s="96">
        <v>11</v>
      </c>
      <c r="D30" s="96">
        <v>-28690</v>
      </c>
      <c r="E30" s="10">
        <v>482550</v>
      </c>
      <c r="F30" s="10">
        <v>-511240</v>
      </c>
      <c r="G30" s="10">
        <v>1557</v>
      </c>
      <c r="H30" s="96">
        <v>40.3339755940912</v>
      </c>
      <c r="I30" s="11">
        <v>628</v>
      </c>
      <c r="J30" s="96">
        <v>908</v>
      </c>
      <c r="K30" s="96">
        <v>4840</v>
      </c>
      <c r="L30" s="12">
        <v>-4300</v>
      </c>
      <c r="M30" s="12">
        <v>768.3917236328125</v>
      </c>
      <c r="N30" s="12">
        <v>-563.0396728515625</v>
      </c>
      <c r="O30" s="12">
        <v>1.364720393043046</v>
      </c>
      <c r="P30" s="11">
        <v>-18.426461143224149</v>
      </c>
      <c r="Q30" s="13">
        <v>9</v>
      </c>
      <c r="R30" s="96">
        <v>17</v>
      </c>
      <c r="S30" s="96">
        <v>20</v>
      </c>
      <c r="T30" s="96">
        <v>13</v>
      </c>
      <c r="U30" s="96">
        <v>-75115</v>
      </c>
      <c r="V30" s="12">
        <v>0.94388154291526505</v>
      </c>
      <c r="W30" s="11">
        <v>1</v>
      </c>
      <c r="X30" s="96">
        <v>75115</v>
      </c>
      <c r="Y30" s="12">
        <v>-38.194768022365707</v>
      </c>
      <c r="Z30" s="11">
        <v>-239.86314318045663</v>
      </c>
      <c r="AA30" s="86">
        <v>-0.135015918513053</v>
      </c>
      <c r="AB30" s="11">
        <v>-0.30979746013873999</v>
      </c>
      <c r="AC30" s="11">
        <v>-21778.843511331419</v>
      </c>
      <c r="AD30" s="81">
        <v>-183.86230862148284</v>
      </c>
      <c r="AE30" s="11">
        <f>(Opti_Salidas__30_OOS_1[[#This Row],[All: TS Index]]-Z$47) /ABS(Z$47)</f>
        <v>-1.1059978165860291</v>
      </c>
      <c r="AF30" s="11">
        <f>(Opti_Salidas__30_OOS_1[[#This Row],[All: Expectancy Score]]-AA$47) /ABS(AA$47)</f>
        <v>-1.111647811674721</v>
      </c>
      <c r="AG30" s="11"/>
      <c r="AH30" s="11">
        <f>(Opti_Salidas__30_OOS_1[[#This Row],[All: Perfect Profit Correlation]]-AC$47) /ABS(AC$47)</f>
        <v>-1.1952811799858563</v>
      </c>
      <c r="AI30" s="11">
        <f>(Opti_Salidas__30_OOS_1[[#This Row],[All: Robustness Index]]-AD$47) /ABS(AD$47)</f>
        <v>-1.6955651078733305</v>
      </c>
      <c r="AJ30" s="11">
        <f>SUM(Opti_Salidas__30_OOS_1[[#This Row],[VAR TS Index]:[VAR Robustness Index]])</f>
        <v>-5.1084919161199362</v>
      </c>
      <c r="AK30" s="11">
        <f>Opti_Salidas__30_OOS_1[[#This Row],[SUMA]]-Opti_Salidas__30_OOS_1[[#This Row],[VAR Robustness Index]]</f>
        <v>-3.4129268082466058</v>
      </c>
      <c r="AL30" s="11"/>
    </row>
    <row r="31" spans="1:38" x14ac:dyDescent="0.25">
      <c r="A31" s="11"/>
      <c r="B31" s="96">
        <v>23</v>
      </c>
      <c r="C31" s="96">
        <v>24</v>
      </c>
      <c r="D31" s="96">
        <v>-57620</v>
      </c>
      <c r="E31" s="10">
        <v>302160</v>
      </c>
      <c r="F31" s="10">
        <v>-359780</v>
      </c>
      <c r="G31" s="10">
        <v>1557</v>
      </c>
      <c r="H31" s="96">
        <v>31.406551059730251</v>
      </c>
      <c r="I31" s="11">
        <v>489</v>
      </c>
      <c r="J31" s="96">
        <v>1049</v>
      </c>
      <c r="K31" s="96">
        <v>4680</v>
      </c>
      <c r="L31" s="12">
        <v>-3650</v>
      </c>
      <c r="M31" s="12">
        <v>617.91412353515625</v>
      </c>
      <c r="N31" s="12">
        <v>-342.97427368164063</v>
      </c>
      <c r="O31" s="12">
        <v>1.8016340319120361</v>
      </c>
      <c r="P31" s="11">
        <v>-37.007064868336542</v>
      </c>
      <c r="Q31" s="13">
        <v>5</v>
      </c>
      <c r="R31" s="96">
        <v>12</v>
      </c>
      <c r="S31" s="96">
        <v>18</v>
      </c>
      <c r="T31" s="96">
        <v>8</v>
      </c>
      <c r="U31" s="96">
        <v>-67955</v>
      </c>
      <c r="V31" s="12">
        <v>0.839846572905665</v>
      </c>
      <c r="W31" s="11">
        <v>1</v>
      </c>
      <c r="X31" s="96">
        <v>67955</v>
      </c>
      <c r="Y31" s="12">
        <v>-84.791406077551315</v>
      </c>
      <c r="Z31" s="11">
        <v>-414.62997571922597</v>
      </c>
      <c r="AA31" s="86">
        <v>-0.31332571495700301</v>
      </c>
      <c r="AB31" s="11">
        <v>-0.60175804728851801</v>
      </c>
      <c r="AC31" s="11">
        <v>-56066.452521264669</v>
      </c>
      <c r="AD31" s="81">
        <v>-49795.75590553553</v>
      </c>
      <c r="AE31" s="11">
        <f>(Opti_Salidas__30_OOS_1[[#This Row],[All: TS Index]]-Z$47) /ABS(Z$47)</f>
        <v>-1.1832289510368477</v>
      </c>
      <c r="AF31" s="11">
        <f>(Opti_Salidas__30_OOS_1[[#This Row],[All: Expectancy Score]]-AA$47) /ABS(AA$47)</f>
        <v>-1.2590963406510083</v>
      </c>
      <c r="AG31" s="11"/>
      <c r="AH31" s="11">
        <f>(Opti_Salidas__30_OOS_1[[#This Row],[All: Perfect Profit Correlation]]-AC$47) /ABS(AC$47)</f>
        <v>-1.5027228833467208</v>
      </c>
      <c r="AI31" s="11">
        <f>(Opti_Salidas__30_OOS_1[[#This Row],[All: Robustness Index]]-AD$47) /ABS(AD$47)</f>
        <v>-189.38113470756721</v>
      </c>
      <c r="AJ31" s="11">
        <f>SUM(Opti_Salidas__30_OOS_1[[#This Row],[VAR TS Index]:[VAR Robustness Index]])</f>
        <v>-193.32618288260178</v>
      </c>
      <c r="AK31" s="11">
        <f>Opti_Salidas__30_OOS_1[[#This Row],[SUMA]]-Opti_Salidas__30_OOS_1[[#This Row],[VAR Robustness Index]]</f>
        <v>-3.9450481750345716</v>
      </c>
      <c r="AL31" s="11"/>
    </row>
    <row r="32" spans="1:38" x14ac:dyDescent="0.25">
      <c r="A32" s="11"/>
      <c r="B32" s="96">
        <v>22</v>
      </c>
      <c r="C32" s="96">
        <v>23</v>
      </c>
      <c r="D32" s="96">
        <v>-26140</v>
      </c>
      <c r="E32" s="10">
        <v>235920</v>
      </c>
      <c r="F32" s="10">
        <v>-262060</v>
      </c>
      <c r="G32" s="10">
        <v>1557</v>
      </c>
      <c r="H32" s="96">
        <v>49.518304431599226</v>
      </c>
      <c r="I32" s="11">
        <v>771</v>
      </c>
      <c r="J32" s="96">
        <v>771</v>
      </c>
      <c r="K32" s="96">
        <v>3840</v>
      </c>
      <c r="L32" s="12">
        <v>-4190</v>
      </c>
      <c r="M32" s="12">
        <v>305.99221801757813</v>
      </c>
      <c r="N32" s="12">
        <v>-339.896240234375</v>
      </c>
      <c r="O32" s="12">
        <v>0.90025184687709903</v>
      </c>
      <c r="P32" s="11">
        <v>-16.788696210661527</v>
      </c>
      <c r="Q32" s="13">
        <v>9</v>
      </c>
      <c r="R32" s="96">
        <v>10</v>
      </c>
      <c r="S32" s="96">
        <v>7</v>
      </c>
      <c r="T32" s="96">
        <v>7</v>
      </c>
      <c r="U32" s="96">
        <v>-39395</v>
      </c>
      <c r="V32" s="12">
        <v>0.90025185072120895</v>
      </c>
      <c r="W32" s="11">
        <v>1</v>
      </c>
      <c r="X32" s="96">
        <v>39395</v>
      </c>
      <c r="Y32" s="12">
        <v>-66.353598172356897</v>
      </c>
      <c r="Z32" s="11">
        <v>-511.58624190887167</v>
      </c>
      <c r="AA32" s="86">
        <v>-3.9171756683759771</v>
      </c>
      <c r="AB32" s="11">
        <v>-0.25198590895272199</v>
      </c>
      <c r="AC32" s="11">
        <v>-22882.800560426931</v>
      </c>
      <c r="AD32" s="81">
        <v>-311.8312046115625</v>
      </c>
      <c r="AE32" s="11">
        <f>(Opti_Salidas__30_OOS_1[[#This Row],[All: TS Index]]-Z$47) /ABS(Z$47)</f>
        <v>-1.2260748521793359</v>
      </c>
      <c r="AF32" s="11">
        <f>(Opti_Salidas__30_OOS_1[[#This Row],[All: Expectancy Score]]-AA$47) /ABS(AA$47)</f>
        <v>-4.2392039111844344</v>
      </c>
      <c r="AG32" s="11"/>
      <c r="AH32" s="11">
        <f>(Opti_Salidas__30_OOS_1[[#This Row],[All: Perfect Profit Correlation]]-AC$47) /ABS(AC$47)</f>
        <v>-1.2051798706619206</v>
      </c>
      <c r="AI32" s="11">
        <f>(Opti_Salidas__30_OOS_1[[#This Row],[All: Robustness Index]]-AD$47) /ABS(AD$47)</f>
        <v>-2.1796811815326529</v>
      </c>
      <c r="AJ32" s="11">
        <f>SUM(Opti_Salidas__30_OOS_1[[#This Row],[VAR TS Index]:[VAR Robustness Index]])</f>
        <v>-8.8501398155583431</v>
      </c>
      <c r="AK32" s="11">
        <f>Opti_Salidas__30_OOS_1[[#This Row],[SUMA]]-Opti_Salidas__30_OOS_1[[#This Row],[VAR Robustness Index]]</f>
        <v>-6.6704586340256906</v>
      </c>
      <c r="AL32" s="11"/>
    </row>
    <row r="33" spans="1:38" x14ac:dyDescent="0.25">
      <c r="A33" s="11"/>
      <c r="B33" s="96">
        <v>13</v>
      </c>
      <c r="C33" s="96">
        <v>14</v>
      </c>
      <c r="D33" s="96">
        <v>-26410</v>
      </c>
      <c r="E33" s="10">
        <v>236790</v>
      </c>
      <c r="F33" s="10">
        <v>-263200</v>
      </c>
      <c r="G33" s="10">
        <v>1557</v>
      </c>
      <c r="H33" s="96">
        <v>49.582530507385997</v>
      </c>
      <c r="I33" s="11">
        <v>772</v>
      </c>
      <c r="J33" s="96">
        <v>770</v>
      </c>
      <c r="K33" s="96">
        <v>3840</v>
      </c>
      <c r="L33" s="12">
        <v>-4300</v>
      </c>
      <c r="M33" s="12">
        <v>306.72280883789063</v>
      </c>
      <c r="N33" s="12">
        <v>-341.81817626953125</v>
      </c>
      <c r="O33" s="12">
        <v>0.89732738084715802</v>
      </c>
      <c r="P33" s="11">
        <v>-16.962106615285805</v>
      </c>
      <c r="Q33" s="13">
        <v>9</v>
      </c>
      <c r="R33" s="96">
        <v>10</v>
      </c>
      <c r="S33" s="96">
        <v>7</v>
      </c>
      <c r="T33" s="96">
        <v>7</v>
      </c>
      <c r="U33" s="96">
        <v>-40455</v>
      </c>
      <c r="V33" s="12">
        <v>0.89965805471124605</v>
      </c>
      <c r="W33" s="11">
        <v>1</v>
      </c>
      <c r="X33" s="96">
        <v>40455</v>
      </c>
      <c r="Y33" s="12">
        <v>-65.282412557162274</v>
      </c>
      <c r="Z33" s="11">
        <v>-503.98022494129282</v>
      </c>
      <c r="AA33" s="86">
        <v>-3.9165309646134032</v>
      </c>
      <c r="AB33" s="11">
        <v>-0.254471889737303</v>
      </c>
      <c r="AC33" s="11">
        <v>-23365.461138505187</v>
      </c>
      <c r="AD33" s="81">
        <v>-244.83191261283883</v>
      </c>
      <c r="AE33" s="11">
        <f>(Opti_Salidas__30_OOS_1[[#This Row],[All: TS Index]]-Z$47) /ABS(Z$47)</f>
        <v>-1.2227136805512582</v>
      </c>
      <c r="AF33" s="11">
        <f>(Opti_Salidas__30_OOS_1[[#This Row],[All: Expectancy Score]]-AA$47) /ABS(AA$47)</f>
        <v>-4.2386707906082641</v>
      </c>
      <c r="AG33" s="11"/>
      <c r="AH33" s="11">
        <f>(Opti_Salidas__30_OOS_1[[#This Row],[All: Perfect Profit Correlation]]-AC$47) /ABS(AC$47)</f>
        <v>-1.2095076728783576</v>
      </c>
      <c r="AI33" s="11">
        <f>(Opti_Salidas__30_OOS_1[[#This Row],[All: Robustness Index]]-AD$47) /ABS(AD$47)</f>
        <v>-1.9262177603674737</v>
      </c>
      <c r="AJ33" s="11">
        <f>SUM(Opti_Salidas__30_OOS_1[[#This Row],[VAR TS Index]:[VAR Robustness Index]])</f>
        <v>-8.5971099044053538</v>
      </c>
      <c r="AK33" s="11">
        <f>Opti_Salidas__30_OOS_1[[#This Row],[SUMA]]-Opti_Salidas__30_OOS_1[[#This Row],[VAR Robustness Index]]</f>
        <v>-6.6708921440378806</v>
      </c>
      <c r="AL33" s="11"/>
    </row>
    <row r="34" spans="1:38" x14ac:dyDescent="0.25">
      <c r="A34" s="11"/>
      <c r="B34" s="96">
        <v>21</v>
      </c>
      <c r="C34" s="96">
        <v>22</v>
      </c>
      <c r="D34" s="96">
        <v>-45590</v>
      </c>
      <c r="E34" s="10">
        <v>176870</v>
      </c>
      <c r="F34" s="10">
        <v>-222460</v>
      </c>
      <c r="G34" s="10">
        <v>1557</v>
      </c>
      <c r="H34" s="96">
        <v>44.059087989723828</v>
      </c>
      <c r="I34" s="11">
        <v>686</v>
      </c>
      <c r="J34" s="96">
        <v>854</v>
      </c>
      <c r="K34" s="96">
        <v>2280</v>
      </c>
      <c r="L34" s="12">
        <v>-2280</v>
      </c>
      <c r="M34" s="12">
        <v>257.8280029296875</v>
      </c>
      <c r="N34" s="12">
        <v>-260.49179077148438</v>
      </c>
      <c r="O34" s="12">
        <v>0.98977400464748699</v>
      </c>
      <c r="P34" s="11">
        <v>-29.280667951188182</v>
      </c>
      <c r="Q34" s="13">
        <v>8</v>
      </c>
      <c r="R34" s="96">
        <v>11</v>
      </c>
      <c r="S34" s="96">
        <v>5</v>
      </c>
      <c r="T34" s="96">
        <v>5</v>
      </c>
      <c r="U34" s="96">
        <v>-49085</v>
      </c>
      <c r="V34" s="12">
        <v>0.795064281219096</v>
      </c>
      <c r="W34" s="11">
        <v>1</v>
      </c>
      <c r="X34" s="96">
        <v>49085</v>
      </c>
      <c r="Y34" s="12">
        <v>-92.879698482224711</v>
      </c>
      <c r="Z34" s="11">
        <v>-637.15473158806151</v>
      </c>
      <c r="AA34" s="86">
        <v>-8.6032681184704529</v>
      </c>
      <c r="AB34" s="11">
        <v>-0.44730503493425899</v>
      </c>
      <c r="AC34" s="11">
        <v>-43293.913166206563</v>
      </c>
      <c r="AD34" s="81">
        <v>-217.63123901389335</v>
      </c>
      <c r="AE34" s="11">
        <f>(Opti_Salidas__30_OOS_1[[#This Row],[All: TS Index]]-Z$47) /ABS(Z$47)</f>
        <v>-1.2815647684770888</v>
      </c>
      <c r="AF34" s="11">
        <f>(Opti_Salidas__30_OOS_1[[#This Row],[All: Expectancy Score]]-AA$47) /ABS(AA$47)</f>
        <v>-8.1142430407956496</v>
      </c>
      <c r="AG34" s="11"/>
      <c r="AH34" s="11">
        <f>(Opti_Salidas__30_OOS_1[[#This Row],[All: Perfect Profit Correlation]]-AC$47) /ABS(AC$47)</f>
        <v>-1.3881972174006021</v>
      </c>
      <c r="AI34" s="11">
        <f>(Opti_Salidas__30_OOS_1[[#This Row],[All: Robustness Index]]-AD$47) /ABS(AD$47)</f>
        <v>-1.8233155418109339</v>
      </c>
      <c r="AJ34" s="11">
        <f>SUM(Opti_Salidas__30_OOS_1[[#This Row],[VAR TS Index]:[VAR Robustness Index]])</f>
        <v>-12.607320568484276</v>
      </c>
      <c r="AK34" s="11">
        <f>Opti_Salidas__30_OOS_1[[#This Row],[SUMA]]-Opti_Salidas__30_OOS_1[[#This Row],[VAR Robustness Index]]</f>
        <v>-10.784005026673341</v>
      </c>
      <c r="AL34" s="11"/>
    </row>
    <row r="35" spans="1:38" x14ac:dyDescent="0.25">
      <c r="A35" s="11"/>
      <c r="B35" s="96"/>
      <c r="C35" s="96"/>
      <c r="D35" s="96"/>
      <c r="E35" s="10"/>
      <c r="F35" s="10"/>
      <c r="G35" s="10"/>
      <c r="H35" s="96"/>
      <c r="I35" s="11"/>
      <c r="J35" s="96"/>
      <c r="K35" s="96"/>
      <c r="L35" s="12"/>
      <c r="M35" s="12"/>
      <c r="N35" s="12"/>
      <c r="O35" s="12"/>
      <c r="P35" s="11"/>
      <c r="Q35" s="13"/>
      <c r="R35" s="96"/>
      <c r="S35" s="96"/>
      <c r="T35" s="96"/>
      <c r="U35" s="96"/>
      <c r="V35" s="12"/>
      <c r="W35" s="11"/>
      <c r="X35" s="96"/>
      <c r="Y35" s="12"/>
      <c r="Z35" s="11"/>
      <c r="AA35" s="14"/>
      <c r="AB35" s="11"/>
      <c r="AC35" s="11"/>
      <c r="AD35" s="15"/>
      <c r="AE35" s="11"/>
      <c r="AF35" s="11"/>
      <c r="AG35" s="11"/>
      <c r="AH35" s="11"/>
      <c r="AI35" s="11"/>
      <c r="AJ35" s="11"/>
      <c r="AK35" s="11"/>
      <c r="AL35" s="11"/>
    </row>
    <row r="36" spans="1:38" x14ac:dyDescent="0.25">
      <c r="A36" s="11"/>
      <c r="B36" s="96"/>
      <c r="C36" s="96"/>
      <c r="D36" s="96"/>
      <c r="E36" s="10"/>
      <c r="F36" s="10"/>
      <c r="G36" s="10"/>
      <c r="H36" s="96"/>
      <c r="I36" s="11"/>
      <c r="J36" s="96"/>
      <c r="K36" s="96"/>
      <c r="L36" s="12"/>
      <c r="M36" s="12"/>
      <c r="N36" s="12"/>
      <c r="O36" s="12"/>
      <c r="P36" s="11"/>
      <c r="Q36" s="13"/>
      <c r="R36" s="96"/>
      <c r="S36" s="96"/>
      <c r="T36" s="96"/>
      <c r="U36" s="96"/>
      <c r="V36" s="12"/>
      <c r="W36" s="11"/>
      <c r="X36" s="96"/>
      <c r="Y36" s="12"/>
      <c r="Z36" s="11"/>
      <c r="AA36" s="14"/>
      <c r="AB36" s="11"/>
      <c r="AC36" s="11"/>
      <c r="AD36" s="15"/>
      <c r="AE36" s="11"/>
      <c r="AF36" s="11"/>
      <c r="AG36" s="11"/>
      <c r="AH36" s="11"/>
      <c r="AI36" s="11"/>
      <c r="AJ36" s="11"/>
      <c r="AK36" s="11"/>
      <c r="AL36" s="11"/>
    </row>
    <row r="37" spans="1:38" customFormat="1" ht="30" customHeight="1" x14ac:dyDescent="0.25">
      <c r="A37" s="39" t="s">
        <v>36</v>
      </c>
      <c r="B37" s="40">
        <v>16</v>
      </c>
      <c r="C37" s="47"/>
      <c r="D37" s="48">
        <v>58011.21212121212</v>
      </c>
      <c r="E37" s="48">
        <v>622709.09090909094</v>
      </c>
      <c r="F37" s="48">
        <v>-564697.87878787878</v>
      </c>
      <c r="G37" s="40">
        <v>1556.1515151515152</v>
      </c>
      <c r="H37" s="40">
        <v>37.13065941322774</v>
      </c>
      <c r="I37" s="40">
        <v>577.81818181818187</v>
      </c>
      <c r="J37" s="40">
        <v>968.93939393939399</v>
      </c>
      <c r="K37" s="49">
        <v>10655.151515151516</v>
      </c>
      <c r="L37" s="49">
        <v>-4103.939393939394</v>
      </c>
      <c r="M37" s="49">
        <v>1098.3413881244082</v>
      </c>
      <c r="N37" s="49">
        <v>-580.0414114287405</v>
      </c>
      <c r="O37" s="50">
        <v>1.8595882001866819</v>
      </c>
      <c r="P37" s="49">
        <v>37.284577101285123</v>
      </c>
      <c r="Q37" s="40">
        <v>8.6060606060606055</v>
      </c>
      <c r="R37" s="40">
        <v>16.242424242424242</v>
      </c>
      <c r="S37" s="40">
        <v>54</v>
      </c>
      <c r="T37" s="40">
        <v>19.757575757575758</v>
      </c>
      <c r="U37" s="49">
        <v>-41960.757575757576</v>
      </c>
      <c r="V37" s="50">
        <v>1.085067684142669</v>
      </c>
      <c r="W37" s="47"/>
      <c r="X37" s="47"/>
      <c r="Y37" s="40">
        <v>157.10994486662585</v>
      </c>
      <c r="Z37" s="47">
        <v>873.92831648066772</v>
      </c>
      <c r="AA37" s="50">
        <v>-0.4046329680971234</v>
      </c>
      <c r="AB37" s="50">
        <v>0.49967459355237687</v>
      </c>
      <c r="AC37" s="50">
        <v>47474.73402397742</v>
      </c>
      <c r="AD37" s="50">
        <v>-1433.7356324554817</v>
      </c>
      <c r="AE37" s="11"/>
      <c r="AF37" s="11"/>
      <c r="AG37" s="11"/>
      <c r="AH37" s="11"/>
      <c r="AI37" s="11"/>
      <c r="AJ37" s="11"/>
      <c r="AK37" s="11"/>
      <c r="AL37" s="11"/>
    </row>
    <row r="38" spans="1:38" customFormat="1" ht="30" customHeight="1" x14ac:dyDescent="0.25">
      <c r="A38" s="41" t="s">
        <v>37</v>
      </c>
      <c r="B38" s="42">
        <v>1.6832508230603462</v>
      </c>
      <c r="C38" s="51"/>
      <c r="D38" s="52">
        <v>7730.3260025435839</v>
      </c>
      <c r="E38" s="52">
        <v>27631.418952461445</v>
      </c>
      <c r="F38" s="52">
        <v>20575.506933248264</v>
      </c>
      <c r="G38" s="42">
        <v>6.3383335343490568E-2</v>
      </c>
      <c r="H38" s="42">
        <v>0.7045239930887478</v>
      </c>
      <c r="I38" s="42">
        <v>10.982376942437567</v>
      </c>
      <c r="J38" s="42">
        <v>11.259334460283236</v>
      </c>
      <c r="K38" s="53">
        <v>1015.7147917148574</v>
      </c>
      <c r="L38" s="53">
        <v>80.302387075754325</v>
      </c>
      <c r="M38" s="53">
        <v>50.968558121287082</v>
      </c>
      <c r="N38" s="53">
        <v>19.481327275576646</v>
      </c>
      <c r="O38" s="54">
        <v>6.104189205762698E-2</v>
      </c>
      <c r="P38" s="53">
        <v>4.9671504086345823</v>
      </c>
      <c r="Q38" s="42">
        <v>0.20384278859202615</v>
      </c>
      <c r="R38" s="42">
        <v>0.3641883436885428</v>
      </c>
      <c r="S38" s="42">
        <v>3.5400843167496689</v>
      </c>
      <c r="T38" s="42">
        <v>0.98955750655003027</v>
      </c>
      <c r="U38" s="53">
        <v>1817.6779762752758</v>
      </c>
      <c r="V38" s="54">
        <v>1.6670652154470236E-2</v>
      </c>
      <c r="W38" s="51"/>
      <c r="X38" s="51"/>
      <c r="Y38" s="42">
        <v>20.327896496527085</v>
      </c>
      <c r="Z38" s="51">
        <v>117.98913348850343</v>
      </c>
      <c r="AA38" s="54">
        <v>0.30980920711112209</v>
      </c>
      <c r="AB38" s="54">
        <v>7.1861231559417246E-2</v>
      </c>
      <c r="AC38" s="55">
        <v>6857.5936509280918</v>
      </c>
      <c r="AD38" s="54">
        <v>1511.4773874402963</v>
      </c>
      <c r="AE38" s="11"/>
      <c r="AF38" s="11"/>
      <c r="AG38" s="11"/>
      <c r="AH38" s="11"/>
      <c r="AI38" s="11"/>
      <c r="AJ38" s="11"/>
      <c r="AK38" s="11"/>
      <c r="AL38" s="11"/>
    </row>
    <row r="39" spans="1:38" customFormat="1" ht="30" customHeight="1" x14ac:dyDescent="0.25">
      <c r="A39" s="43" t="s">
        <v>38</v>
      </c>
      <c r="B39" s="44">
        <v>16</v>
      </c>
      <c r="C39" s="56"/>
      <c r="D39" s="57">
        <v>70870</v>
      </c>
      <c r="E39" s="57">
        <v>697230</v>
      </c>
      <c r="F39" s="57">
        <v>-621660</v>
      </c>
      <c r="G39" s="44">
        <v>1556</v>
      </c>
      <c r="H39" s="44">
        <v>36.760925449871465</v>
      </c>
      <c r="I39" s="44">
        <v>572</v>
      </c>
      <c r="J39" s="44">
        <v>976</v>
      </c>
      <c r="K39" s="58">
        <v>11410</v>
      </c>
      <c r="L39" s="58">
        <v>-4300</v>
      </c>
      <c r="M39" s="58">
        <v>1225.3602294921875</v>
      </c>
      <c r="N39" s="58">
        <v>-639.36541748046875</v>
      </c>
      <c r="O39" s="59">
        <v>1.91367853505708</v>
      </c>
      <c r="P39" s="58">
        <v>45.546272493573262</v>
      </c>
      <c r="Q39" s="44">
        <v>9</v>
      </c>
      <c r="R39" s="44">
        <v>17</v>
      </c>
      <c r="S39" s="44">
        <v>62</v>
      </c>
      <c r="T39" s="44">
        <v>23</v>
      </c>
      <c r="U39" s="58">
        <v>-44765</v>
      </c>
      <c r="V39" s="59">
        <v>1.11409342834521</v>
      </c>
      <c r="W39" s="56"/>
      <c r="X39" s="56"/>
      <c r="Y39" s="44">
        <v>161.52570480928691</v>
      </c>
      <c r="Z39" s="60">
        <v>923.80055279159762</v>
      </c>
      <c r="AA39" s="61">
        <v>4.2914315811168002E-2</v>
      </c>
      <c r="AB39" s="59">
        <v>0.61704689991961703</v>
      </c>
      <c r="AC39" s="62">
        <v>56037.278649525535</v>
      </c>
      <c r="AD39" s="63">
        <v>102.70486878900853</v>
      </c>
      <c r="AE39" s="11"/>
      <c r="AF39" s="11"/>
      <c r="AG39" s="11"/>
      <c r="AH39" s="11"/>
      <c r="AI39" s="11"/>
      <c r="AJ39" s="11"/>
      <c r="AK39" s="11"/>
      <c r="AL39" s="11"/>
    </row>
    <row r="40" spans="1:38" customFormat="1" ht="30" customHeight="1" x14ac:dyDescent="0.25">
      <c r="A40" s="41" t="s">
        <v>39</v>
      </c>
      <c r="B40" s="42" t="e">
        <v>#N/A</v>
      </c>
      <c r="C40" s="51"/>
      <c r="D40" s="52" t="e">
        <v>#N/A</v>
      </c>
      <c r="E40" s="52">
        <v>703550</v>
      </c>
      <c r="F40" s="52">
        <v>-624660</v>
      </c>
      <c r="G40" s="42">
        <v>1556</v>
      </c>
      <c r="H40" s="42">
        <v>36.760925449871465</v>
      </c>
      <c r="I40" s="42">
        <v>572</v>
      </c>
      <c r="J40" s="42">
        <v>976</v>
      </c>
      <c r="K40" s="53">
        <v>17530</v>
      </c>
      <c r="L40" s="53">
        <v>-4300</v>
      </c>
      <c r="M40" s="53">
        <v>1229.9825439453125</v>
      </c>
      <c r="N40" s="53">
        <v>-639.36541748046875</v>
      </c>
      <c r="O40" s="54" t="e">
        <v>#N/A</v>
      </c>
      <c r="P40" s="53" t="e">
        <v>#N/A</v>
      </c>
      <c r="Q40" s="42">
        <v>9</v>
      </c>
      <c r="R40" s="42">
        <v>17</v>
      </c>
      <c r="S40" s="42">
        <v>70</v>
      </c>
      <c r="T40" s="42">
        <v>23</v>
      </c>
      <c r="U40" s="53">
        <v>-45225</v>
      </c>
      <c r="V40" s="54" t="e">
        <v>#N/A</v>
      </c>
      <c r="W40" s="51"/>
      <c r="X40" s="51"/>
      <c r="Y40" s="42" t="e">
        <v>#N/A</v>
      </c>
      <c r="Z40" s="51" t="e">
        <v>#N/A</v>
      </c>
      <c r="AA40" s="54" t="e">
        <v>#N/A</v>
      </c>
      <c r="AB40" s="54" t="e">
        <v>#N/A</v>
      </c>
      <c r="AC40" s="55" t="e">
        <v>#N/A</v>
      </c>
      <c r="AD40" s="54" t="e">
        <v>#N/A</v>
      </c>
      <c r="AE40" s="11"/>
      <c r="AF40" s="11"/>
      <c r="AG40" s="11"/>
      <c r="AH40" s="11"/>
      <c r="AI40" s="11"/>
      <c r="AJ40" s="11"/>
      <c r="AK40" s="11"/>
      <c r="AL40" s="11"/>
    </row>
    <row r="41" spans="1:38" customFormat="1" ht="30" customHeight="1" x14ac:dyDescent="0.25">
      <c r="A41" s="43" t="s">
        <v>40</v>
      </c>
      <c r="B41" s="44">
        <v>9.6695398029068578</v>
      </c>
      <c r="C41" s="59"/>
      <c r="D41" s="57">
        <v>44407.341999773511</v>
      </c>
      <c r="E41" s="57">
        <v>158730.41718515297</v>
      </c>
      <c r="F41" s="57">
        <v>118197.28856232221</v>
      </c>
      <c r="G41" s="44">
        <v>0.36410954062720957</v>
      </c>
      <c r="H41" s="44">
        <v>4.047182214287437</v>
      </c>
      <c r="I41" s="44">
        <v>63.088952353727372</v>
      </c>
      <c r="J41" s="44">
        <v>64.679952165421497</v>
      </c>
      <c r="K41" s="58">
        <v>5834.8372520213234</v>
      </c>
      <c r="L41" s="58">
        <v>461.30209322321645</v>
      </c>
      <c r="M41" s="58">
        <v>292.79207513144826</v>
      </c>
      <c r="N41" s="58">
        <v>111.91170497226007</v>
      </c>
      <c r="O41" s="59">
        <v>0.35065897298825033</v>
      </c>
      <c r="P41" s="58">
        <v>28.534106697178327</v>
      </c>
      <c r="Q41" s="44">
        <v>1.1709876691119017</v>
      </c>
      <c r="R41" s="44">
        <v>2.0921027554577565</v>
      </c>
      <c r="S41" s="44">
        <v>20.336236131595246</v>
      </c>
      <c r="T41" s="44">
        <v>5.6845750887286144</v>
      </c>
      <c r="U41" s="58">
        <v>10441.765005945786</v>
      </c>
      <c r="V41" s="59">
        <v>9.5765605659998435E-2</v>
      </c>
      <c r="W41" s="59"/>
      <c r="X41" s="59"/>
      <c r="Y41" s="44">
        <v>116.77487489664075</v>
      </c>
      <c r="Z41" s="59">
        <v>677.79596893544601</v>
      </c>
      <c r="AA41" s="59">
        <v>1.7797183987241156</v>
      </c>
      <c r="AB41" s="59">
        <v>0.41281134655044804</v>
      </c>
      <c r="AC41" s="50">
        <v>39393.87633225786</v>
      </c>
      <c r="AD41" s="59">
        <v>8682.7765409764143</v>
      </c>
      <c r="AE41" s="11"/>
      <c r="AF41" s="11"/>
      <c r="AG41" s="11"/>
      <c r="AH41" s="11"/>
      <c r="AI41" s="11"/>
      <c r="AJ41" s="11"/>
      <c r="AK41" s="11"/>
      <c r="AL41" s="11"/>
    </row>
    <row r="42" spans="1:38" customFormat="1" ht="30" customHeight="1" x14ac:dyDescent="0.25">
      <c r="A42" s="41" t="s">
        <v>41</v>
      </c>
      <c r="B42" s="42">
        <v>93.5</v>
      </c>
      <c r="C42" s="54"/>
      <c r="D42" s="52">
        <v>1972012023.4848485</v>
      </c>
      <c r="E42" s="52">
        <v>25195345339.772705</v>
      </c>
      <c r="F42" s="52">
        <v>13970599023.484863</v>
      </c>
      <c r="G42" s="42">
        <v>0.13257575757575757</v>
      </c>
      <c r="H42" s="42">
        <v>16.37968387564456</v>
      </c>
      <c r="I42" s="42">
        <v>3980.2159090908826</v>
      </c>
      <c r="J42" s="42">
        <v>4183.4962121212129</v>
      </c>
      <c r="K42" s="52">
        <v>34045325.75757575</v>
      </c>
      <c r="L42" s="52">
        <v>212799.6212121211</v>
      </c>
      <c r="M42" s="52">
        <v>85727.199259779649</v>
      </c>
      <c r="N42" s="52">
        <v>12524.229709798179</v>
      </c>
      <c r="O42" s="54">
        <v>0.12296171533717448</v>
      </c>
      <c r="P42" s="52">
        <v>814.19524500595708</v>
      </c>
      <c r="Q42" s="42">
        <v>1.3712121212121247</v>
      </c>
      <c r="R42" s="42">
        <v>4.3768939393939377</v>
      </c>
      <c r="S42" s="42">
        <v>413.5625</v>
      </c>
      <c r="T42" s="42">
        <v>32.314393939393938</v>
      </c>
      <c r="U42" s="52">
        <v>109030456.439394</v>
      </c>
      <c r="V42" s="54">
        <v>9.1710512274263238E-3</v>
      </c>
      <c r="W42" s="51"/>
      <c r="X42" s="51"/>
      <c r="Y42" s="42">
        <v>13636.371407126098</v>
      </c>
      <c r="Z42" s="51">
        <v>459407.37550514005</v>
      </c>
      <c r="AA42" s="54">
        <v>3.16739757875713</v>
      </c>
      <c r="AB42" s="54">
        <v>0.17041320784079411</v>
      </c>
      <c r="AC42" s="64">
        <v>1551877492.481226</v>
      </c>
      <c r="AD42" s="54">
        <v>75390608.460530341</v>
      </c>
      <c r="AE42" s="11"/>
      <c r="AF42" s="11"/>
      <c r="AG42" s="11"/>
      <c r="AH42" s="11"/>
      <c r="AI42" s="11"/>
      <c r="AJ42" s="11"/>
      <c r="AK42" s="11"/>
      <c r="AL42" s="11"/>
    </row>
    <row r="43" spans="1:38" customFormat="1" ht="30" customHeight="1" x14ac:dyDescent="0.25">
      <c r="A43" s="43" t="s">
        <v>42</v>
      </c>
      <c r="B43" s="44">
        <v>-1.1999999999999993</v>
      </c>
      <c r="C43" s="59"/>
      <c r="D43" s="57">
        <v>1.3766917271618531</v>
      </c>
      <c r="E43" s="57">
        <v>2.4522641143768795</v>
      </c>
      <c r="F43" s="57">
        <v>3.0126651904949626</v>
      </c>
      <c r="G43" s="44">
        <v>2.2871889400898922</v>
      </c>
      <c r="H43" s="44">
        <v>4.7224985345024368</v>
      </c>
      <c r="I43" s="44">
        <v>4.7287293455210673</v>
      </c>
      <c r="J43" s="44">
        <v>4.7026307321345104</v>
      </c>
      <c r="K43" s="58">
        <v>-1.2535028186001336</v>
      </c>
      <c r="L43" s="58">
        <v>7.4710389129862609</v>
      </c>
      <c r="M43" s="58">
        <v>3.671744368009525</v>
      </c>
      <c r="N43" s="58">
        <v>1.8855509414422564</v>
      </c>
      <c r="O43" s="59">
        <v>3.3552661544226381</v>
      </c>
      <c r="P43" s="58">
        <v>1.3760025897124977</v>
      </c>
      <c r="Q43" s="44">
        <v>6.885428484498183</v>
      </c>
      <c r="R43" s="44">
        <v>4.816381666385011</v>
      </c>
      <c r="S43" s="44">
        <v>0.96991800239399995</v>
      </c>
      <c r="T43" s="44">
        <v>1.3105438884169884</v>
      </c>
      <c r="U43" s="58">
        <v>3.2581822827730726</v>
      </c>
      <c r="V43" s="59">
        <v>2.8577166958057778</v>
      </c>
      <c r="W43" s="59"/>
      <c r="X43" s="59"/>
      <c r="Y43" s="44">
        <v>0.50918790555622184</v>
      </c>
      <c r="Z43" s="59">
        <v>0.67522003990165125</v>
      </c>
      <c r="AA43" s="59">
        <v>14.853369925571313</v>
      </c>
      <c r="AB43" s="59">
        <v>1.3812365806693276</v>
      </c>
      <c r="AC43" s="50">
        <v>1.230088892985711</v>
      </c>
      <c r="AD43" s="59">
        <v>32.984265254628426</v>
      </c>
      <c r="AE43" s="11"/>
      <c r="AF43" s="11"/>
      <c r="AG43" s="11"/>
      <c r="AH43" s="11"/>
      <c r="AI43" s="11"/>
      <c r="AJ43" s="11"/>
      <c r="AK43" s="11"/>
      <c r="AL43" s="11"/>
    </row>
    <row r="44" spans="1:38" customFormat="1" ht="30" customHeight="1" x14ac:dyDescent="0.25">
      <c r="A44" s="41" t="s">
        <v>43</v>
      </c>
      <c r="B44" s="42">
        <v>-1.8466411195882139E-17</v>
      </c>
      <c r="C44" s="54"/>
      <c r="D44" s="52">
        <v>-1.5134823260278674</v>
      </c>
      <c r="E44" s="52">
        <v>-1.9232092681970507</v>
      </c>
      <c r="F44" s="52">
        <v>2.0316434505819965</v>
      </c>
      <c r="G44" s="42">
        <v>2.0376710881913027</v>
      </c>
      <c r="H44" s="42">
        <v>1.6014334784208788</v>
      </c>
      <c r="I44" s="42">
        <v>1.6075896309814808</v>
      </c>
      <c r="J44" s="42">
        <v>-1.6690584337919934</v>
      </c>
      <c r="K44" s="53">
        <v>0.23579243899687974</v>
      </c>
      <c r="L44" s="53">
        <v>2.485359769204432</v>
      </c>
      <c r="M44" s="53">
        <v>-2.2194850334946383</v>
      </c>
      <c r="N44" s="53">
        <v>1.7784105508361006</v>
      </c>
      <c r="O44" s="54">
        <v>-1.5391986659737236</v>
      </c>
      <c r="P44" s="53">
        <v>-1.5132330895811328</v>
      </c>
      <c r="Q44" s="42">
        <v>-2.8823916283570772</v>
      </c>
      <c r="R44" s="42">
        <v>-2.5224390095885592</v>
      </c>
      <c r="S44" s="42">
        <v>-1.4285722474025766</v>
      </c>
      <c r="T44" s="42">
        <v>-1.6471537664484599</v>
      </c>
      <c r="U44" s="53">
        <v>-0.92053257415915013</v>
      </c>
      <c r="V44" s="54">
        <v>-1.9282906459375613</v>
      </c>
      <c r="W44" s="54"/>
      <c r="X44" s="54"/>
      <c r="Y44" s="42">
        <v>-0.73291603177207787</v>
      </c>
      <c r="Z44" s="54">
        <v>-0.83651472226913548</v>
      </c>
      <c r="AA44" s="54">
        <v>-3.7169066039156036</v>
      </c>
      <c r="AB44" s="54">
        <v>-1.4846656866285528</v>
      </c>
      <c r="AC44" s="55">
        <v>-1.2814496164673925</v>
      </c>
      <c r="AD44" s="54">
        <v>-5.7425753930310837</v>
      </c>
      <c r="AE44" s="11"/>
      <c r="AF44" s="11"/>
      <c r="AG44" s="11"/>
      <c r="AH44" s="11"/>
      <c r="AI44" s="11"/>
      <c r="AJ44" s="11"/>
      <c r="AK44" s="11"/>
      <c r="AL44" s="11"/>
    </row>
    <row r="45" spans="1:38" customFormat="1" ht="30" customHeight="1" x14ac:dyDescent="0.25">
      <c r="A45" s="43" t="s">
        <v>44</v>
      </c>
      <c r="B45" s="44">
        <v>32</v>
      </c>
      <c r="C45" s="56"/>
      <c r="D45" s="57">
        <v>176870</v>
      </c>
      <c r="E45" s="57">
        <v>559090</v>
      </c>
      <c r="F45" s="57">
        <v>413970</v>
      </c>
      <c r="G45" s="44">
        <v>1</v>
      </c>
      <c r="H45" s="44">
        <v>20.726489376280597</v>
      </c>
      <c r="I45" s="44">
        <v>323</v>
      </c>
      <c r="J45" s="44">
        <v>331</v>
      </c>
      <c r="K45" s="58">
        <v>20320</v>
      </c>
      <c r="L45" s="58">
        <v>2430</v>
      </c>
      <c r="M45" s="58">
        <v>1032.857421875</v>
      </c>
      <c r="N45" s="58">
        <v>387.74594116210938</v>
      </c>
      <c r="O45" s="59">
        <v>1.6382895776413422</v>
      </c>
      <c r="P45" s="58">
        <v>113.64588234905634</v>
      </c>
      <c r="Q45" s="44">
        <v>4</v>
      </c>
      <c r="R45" s="44">
        <v>7</v>
      </c>
      <c r="S45" s="44">
        <v>65</v>
      </c>
      <c r="T45" s="44">
        <v>18</v>
      </c>
      <c r="U45" s="58">
        <v>53870</v>
      </c>
      <c r="V45" s="59">
        <v>0.39879087605961705</v>
      </c>
      <c r="W45" s="56"/>
      <c r="X45" s="56"/>
      <c r="Y45" s="44">
        <v>490.57854790693705</v>
      </c>
      <c r="Z45" s="56">
        <v>2900.061184814675</v>
      </c>
      <c r="AA45" s="59">
        <v>9.8125700876520217</v>
      </c>
      <c r="AB45" s="59">
        <v>1.6828840108627821</v>
      </c>
      <c r="AC45" s="50">
        <v>167592.01536817494</v>
      </c>
      <c r="AD45" s="59">
        <v>50060.091057687765</v>
      </c>
      <c r="AE45" s="11"/>
      <c r="AF45" s="11"/>
      <c r="AG45" s="11"/>
      <c r="AH45" s="11"/>
      <c r="AI45" s="11"/>
      <c r="AJ45" s="11"/>
      <c r="AK45" s="11"/>
      <c r="AL45" s="11"/>
    </row>
    <row r="46" spans="1:38" customFormat="1" ht="30" customHeight="1" x14ac:dyDescent="0.25">
      <c r="A46" s="41" t="s">
        <v>45</v>
      </c>
      <c r="B46" s="42">
        <v>0</v>
      </c>
      <c r="C46" s="51"/>
      <c r="D46" s="52">
        <v>-57620</v>
      </c>
      <c r="E46" s="52">
        <v>176870</v>
      </c>
      <c r="F46" s="52">
        <v>-636430</v>
      </c>
      <c r="G46" s="42">
        <v>1556</v>
      </c>
      <c r="H46" s="42">
        <v>28.8560411311054</v>
      </c>
      <c r="I46" s="42">
        <v>449</v>
      </c>
      <c r="J46" s="42">
        <v>770</v>
      </c>
      <c r="K46" s="53">
        <v>2280</v>
      </c>
      <c r="L46" s="53">
        <v>-4710</v>
      </c>
      <c r="M46" s="53">
        <v>257.8280029296875</v>
      </c>
      <c r="N46" s="53">
        <v>-648.23773193359375</v>
      </c>
      <c r="O46" s="54">
        <v>0.89732738084715802</v>
      </c>
      <c r="P46" s="53">
        <v>-37.007064868336542</v>
      </c>
      <c r="Q46" s="42">
        <v>5</v>
      </c>
      <c r="R46" s="42">
        <v>10</v>
      </c>
      <c r="S46" s="42">
        <v>5</v>
      </c>
      <c r="T46" s="42">
        <v>5</v>
      </c>
      <c r="U46" s="53">
        <v>-75115</v>
      </c>
      <c r="V46" s="54">
        <v>0.795064281219096</v>
      </c>
      <c r="W46" s="51"/>
      <c r="X46" s="51"/>
      <c r="Y46" s="51">
        <v>-92.879698482224711</v>
      </c>
      <c r="Z46" s="60">
        <v>-637.15473158806151</v>
      </c>
      <c r="AA46" s="61">
        <v>-8.6032681184704529</v>
      </c>
      <c r="AB46" s="54">
        <v>-0.60175804728851801</v>
      </c>
      <c r="AC46" s="62">
        <v>-56066.452521264669</v>
      </c>
      <c r="AD46" s="63">
        <v>-49795.75590553553</v>
      </c>
      <c r="AE46" s="5"/>
      <c r="AF46" s="11"/>
      <c r="AG46" s="11"/>
      <c r="AH46" s="11"/>
      <c r="AI46" s="11"/>
      <c r="AJ46" s="11"/>
      <c r="AK46" s="11"/>
      <c r="AL46" s="11"/>
    </row>
    <row r="47" spans="1:38" customFormat="1" ht="30" customHeight="1" x14ac:dyDescent="0.25">
      <c r="A47" s="43" t="s">
        <v>46</v>
      </c>
      <c r="B47" s="44">
        <v>32</v>
      </c>
      <c r="C47" s="56"/>
      <c r="D47" s="57">
        <v>119250</v>
      </c>
      <c r="E47" s="57">
        <v>735960</v>
      </c>
      <c r="F47" s="57">
        <v>-222460</v>
      </c>
      <c r="G47" s="44">
        <v>1557</v>
      </c>
      <c r="H47" s="44">
        <v>49.582530507385997</v>
      </c>
      <c r="I47" s="44">
        <v>772</v>
      </c>
      <c r="J47" s="44">
        <v>1101</v>
      </c>
      <c r="K47" s="58">
        <v>22600</v>
      </c>
      <c r="L47" s="58">
        <v>-2280</v>
      </c>
      <c r="M47" s="58">
        <v>1290.6854248046875</v>
      </c>
      <c r="N47" s="58">
        <v>-260.49179077148438</v>
      </c>
      <c r="O47" s="59">
        <v>2.5356169584885002</v>
      </c>
      <c r="P47" s="58">
        <v>76.638817480719794</v>
      </c>
      <c r="Q47" s="44">
        <v>9</v>
      </c>
      <c r="R47" s="44">
        <v>17</v>
      </c>
      <c r="S47" s="44">
        <v>70</v>
      </c>
      <c r="T47" s="44">
        <v>23</v>
      </c>
      <c r="U47" s="58">
        <v>-21245</v>
      </c>
      <c r="V47" s="59">
        <v>1.1938551572787131</v>
      </c>
      <c r="W47" s="56"/>
      <c r="X47" s="56"/>
      <c r="Y47" s="44">
        <v>397.69884942471236</v>
      </c>
      <c r="Z47" s="60">
        <v>2262.9064532266134</v>
      </c>
      <c r="AA47" s="61">
        <v>1.209301969181569</v>
      </c>
      <c r="AB47" s="59">
        <v>1.081125963574264</v>
      </c>
      <c r="AC47" s="62">
        <v>111525.56284691028</v>
      </c>
      <c r="AD47" s="65">
        <v>264.33515215223537</v>
      </c>
      <c r="AE47" s="11"/>
      <c r="AF47" s="11"/>
      <c r="AG47" s="11"/>
      <c r="AH47" s="11"/>
      <c r="AI47" s="11"/>
      <c r="AJ47" s="11"/>
      <c r="AK47" s="11"/>
      <c r="AL47" s="11"/>
    </row>
    <row r="48" spans="1:38" customFormat="1" ht="30" customHeight="1" x14ac:dyDescent="0.25">
      <c r="A48" s="45" t="s">
        <v>47</v>
      </c>
      <c r="B48" s="46">
        <v>3.4286697268982782</v>
      </c>
      <c r="C48" s="66"/>
      <c r="D48" s="67">
        <v>15746.15879039766</v>
      </c>
      <c r="E48" s="67">
        <v>56283.358591384094</v>
      </c>
      <c r="F48" s="67">
        <v>41910.936130927876</v>
      </c>
      <c r="G48" s="46">
        <v>0.12910762918086904</v>
      </c>
      <c r="H48" s="46">
        <v>1.4350684127901243</v>
      </c>
      <c r="I48" s="46">
        <v>22.370369784498475</v>
      </c>
      <c r="J48" s="46">
        <v>22.934513787320267</v>
      </c>
      <c r="K48" s="68">
        <v>2068.9433266896244</v>
      </c>
      <c r="L48" s="68">
        <v>163.57060979404346</v>
      </c>
      <c r="M48" s="68">
        <v>103.81955550533378</v>
      </c>
      <c r="N48" s="68">
        <v>39.682165102480802</v>
      </c>
      <c r="O48" s="66">
        <v>0.12433826528007272</v>
      </c>
      <c r="P48" s="68">
        <v>10.117754289329248</v>
      </c>
      <c r="Q48" s="46">
        <v>0.41521417290698637</v>
      </c>
      <c r="R48" s="46">
        <v>0.7418273805586999</v>
      </c>
      <c r="S48" s="46">
        <v>7.2109157834475708</v>
      </c>
      <c r="T48" s="46">
        <v>2.0156626803629942</v>
      </c>
      <c r="U48" s="68">
        <v>3702.4888775481877</v>
      </c>
      <c r="V48" s="66">
        <v>3.3957007230665394E-2</v>
      </c>
      <c r="W48" s="66"/>
      <c r="X48" s="66"/>
      <c r="Y48" s="46">
        <v>41.406570176181795</v>
      </c>
      <c r="Z48" s="66">
        <v>240.33600016869747</v>
      </c>
      <c r="AA48" s="66">
        <v>0.6310607040755809</v>
      </c>
      <c r="AB48" s="66">
        <v>0.14637653866548431</v>
      </c>
      <c r="AC48" s="69">
        <v>13968.46116347572</v>
      </c>
      <c r="AD48" s="66">
        <v>3078.7786883631015</v>
      </c>
      <c r="AE48" s="11"/>
      <c r="AF48" s="11"/>
      <c r="AG48" s="11"/>
      <c r="AH48" s="11"/>
      <c r="AI48" s="11"/>
      <c r="AJ48" s="11"/>
      <c r="AK48" s="11"/>
      <c r="AL48" s="11"/>
    </row>
    <row r="49" spans="1:38" x14ac:dyDescent="0.25">
      <c r="A49" s="11"/>
      <c r="B49" s="96"/>
      <c r="C49" s="96"/>
      <c r="D49" s="96"/>
      <c r="E49" s="10"/>
      <c r="F49" s="10"/>
      <c r="G49" s="10"/>
      <c r="H49" s="96"/>
      <c r="I49" s="11"/>
      <c r="J49" s="96"/>
      <c r="K49" s="96"/>
      <c r="L49" s="12"/>
      <c r="M49" s="12"/>
      <c r="N49" s="12"/>
      <c r="O49" s="12"/>
      <c r="P49" s="11"/>
      <c r="Q49" s="13"/>
      <c r="R49" s="96"/>
      <c r="S49" s="96"/>
      <c r="T49" s="96"/>
      <c r="U49" s="96"/>
      <c r="V49" s="12"/>
      <c r="W49" s="11"/>
      <c r="X49" s="96"/>
      <c r="Y49" s="12"/>
      <c r="Z49" s="11"/>
      <c r="AA49" s="14"/>
      <c r="AB49" s="11"/>
      <c r="AC49" s="11"/>
      <c r="AD49" s="15"/>
      <c r="AE49" s="11"/>
      <c r="AF49" s="11"/>
      <c r="AG49" s="11"/>
      <c r="AH49" s="11"/>
      <c r="AI49" s="11"/>
      <c r="AJ49" s="11"/>
      <c r="AK49" s="11"/>
      <c r="AL49" s="11"/>
    </row>
    <row r="50" spans="1:38" x14ac:dyDescent="0.25">
      <c r="A50" s="11"/>
      <c r="B50" s="96"/>
      <c r="C50" s="96"/>
      <c r="D50" s="96"/>
      <c r="E50" s="10"/>
      <c r="F50" s="10"/>
      <c r="G50" s="10"/>
      <c r="H50" s="96"/>
      <c r="I50" s="11"/>
      <c r="J50" s="96"/>
      <c r="K50" s="96"/>
      <c r="L50" s="12"/>
      <c r="M50" s="12"/>
      <c r="N50" s="12"/>
      <c r="O50" s="12"/>
      <c r="P50" s="11"/>
      <c r="Q50" s="13"/>
      <c r="R50" s="96"/>
      <c r="S50" s="96"/>
      <c r="T50" s="96"/>
      <c r="U50" s="96"/>
      <c r="V50" s="12"/>
      <c r="W50" s="11"/>
      <c r="X50" s="96"/>
      <c r="Y50" s="12"/>
      <c r="Z50" s="11"/>
      <c r="AA50" s="14"/>
      <c r="AB50" s="11"/>
      <c r="AC50" s="11"/>
      <c r="AD50" s="15"/>
      <c r="AE50" s="11"/>
      <c r="AF50" s="11"/>
      <c r="AG50" s="11"/>
      <c r="AH50" s="11"/>
      <c r="AI50" s="11"/>
      <c r="AJ50" s="11"/>
      <c r="AK50" s="11"/>
      <c r="AL50" s="11"/>
    </row>
    <row r="51" spans="1:38" x14ac:dyDescent="0.25">
      <c r="A51" s="11"/>
      <c r="B51" s="96"/>
      <c r="C51" s="96"/>
      <c r="D51" s="96"/>
      <c r="E51" s="10"/>
      <c r="F51" s="10"/>
      <c r="G51" s="10"/>
      <c r="H51" s="96"/>
      <c r="I51" s="11"/>
      <c r="J51" s="96"/>
      <c r="K51" s="96"/>
      <c r="L51" s="12"/>
      <c r="M51" s="12"/>
      <c r="N51" s="12"/>
      <c r="O51" s="12"/>
      <c r="P51" s="11"/>
      <c r="Q51" s="13"/>
      <c r="R51" s="96"/>
      <c r="S51" s="96"/>
      <c r="T51" s="96"/>
      <c r="U51" s="96"/>
      <c r="V51" s="12"/>
      <c r="W51" s="11"/>
      <c r="X51" s="96"/>
      <c r="Y51" s="12"/>
      <c r="Z51" s="11"/>
      <c r="AA51" s="14"/>
      <c r="AB51" s="11"/>
      <c r="AC51" s="11"/>
      <c r="AD51" s="15"/>
      <c r="AE51" s="11"/>
      <c r="AF51" s="11"/>
      <c r="AG51" s="11"/>
      <c r="AH51" s="11"/>
      <c r="AI51" s="11"/>
      <c r="AJ51" s="11"/>
      <c r="AK51" s="11"/>
      <c r="AL51" s="11"/>
    </row>
    <row r="52" spans="1:38" x14ac:dyDescent="0.25">
      <c r="A52" s="11"/>
      <c r="B52" s="96"/>
      <c r="C52" s="96"/>
      <c r="D52" s="96"/>
      <c r="E52" s="4"/>
      <c r="F52" s="4"/>
      <c r="G52" s="4"/>
      <c r="H52" s="96"/>
      <c r="I52" s="5"/>
      <c r="J52" s="96"/>
      <c r="K52" s="96"/>
      <c r="L52" s="6"/>
      <c r="M52" s="6"/>
      <c r="N52" s="6"/>
      <c r="O52" s="6"/>
      <c r="P52" s="5"/>
      <c r="Q52" s="7"/>
      <c r="R52" s="96"/>
      <c r="S52" s="96"/>
      <c r="T52" s="96"/>
      <c r="U52" s="96"/>
      <c r="V52" s="6"/>
      <c r="W52" s="5"/>
      <c r="X52" s="96"/>
      <c r="Y52" s="6"/>
      <c r="Z52" s="5"/>
      <c r="AA52" s="8"/>
      <c r="AB52" s="5"/>
      <c r="AC52" s="5"/>
      <c r="AD52" s="9"/>
      <c r="AE52" s="5"/>
      <c r="AF52" s="11"/>
      <c r="AG52" s="11"/>
      <c r="AH52" s="11"/>
      <c r="AI52" s="11"/>
      <c r="AJ52" s="11"/>
      <c r="AK52" s="11"/>
      <c r="AL52" s="11"/>
    </row>
    <row r="53" spans="1:38" x14ac:dyDescent="0.25">
      <c r="A53" s="11"/>
      <c r="B53" s="96"/>
      <c r="C53" s="96"/>
      <c r="D53" s="96"/>
      <c r="E53" s="10"/>
      <c r="F53" s="10"/>
      <c r="G53" s="10"/>
      <c r="H53" s="96"/>
      <c r="I53" s="11"/>
      <c r="J53" s="96"/>
      <c r="K53" s="96"/>
      <c r="L53" s="12"/>
      <c r="M53" s="12"/>
      <c r="N53" s="12"/>
      <c r="O53" s="12"/>
      <c r="P53" s="11"/>
      <c r="Q53" s="13"/>
      <c r="R53" s="96"/>
      <c r="S53" s="96"/>
      <c r="T53" s="96"/>
      <c r="U53" s="96"/>
      <c r="V53" s="12"/>
      <c r="W53" s="11"/>
      <c r="X53" s="96"/>
      <c r="Y53" s="12"/>
      <c r="Z53" s="11"/>
      <c r="AA53" s="14"/>
      <c r="AB53" s="11"/>
      <c r="AC53" s="11"/>
      <c r="AD53" s="15"/>
      <c r="AE53" s="11"/>
      <c r="AF53" s="11"/>
      <c r="AG53" s="11"/>
      <c r="AH53" s="11"/>
      <c r="AI53" s="11"/>
      <c r="AJ53" s="11"/>
      <c r="AK53" s="11"/>
      <c r="AL53" s="11"/>
    </row>
    <row r="54" spans="1:38" x14ac:dyDescent="0.25">
      <c r="A54" s="11"/>
      <c r="B54" s="96"/>
      <c r="C54" s="96"/>
      <c r="D54" s="96"/>
      <c r="E54" s="10"/>
      <c r="F54" s="10"/>
      <c r="G54" s="10"/>
      <c r="H54" s="96"/>
      <c r="I54" s="11"/>
      <c r="J54" s="96"/>
      <c r="K54" s="96"/>
      <c r="L54" s="12"/>
      <c r="M54" s="12"/>
      <c r="N54" s="12"/>
      <c r="O54" s="12"/>
      <c r="P54" s="11"/>
      <c r="Q54" s="13"/>
      <c r="R54" s="96"/>
      <c r="S54" s="96"/>
      <c r="T54" s="96"/>
      <c r="U54" s="96"/>
      <c r="V54" s="12"/>
      <c r="W54" s="11"/>
      <c r="X54" s="96"/>
      <c r="Y54" s="12"/>
      <c r="Z54" s="11"/>
      <c r="AA54" s="14"/>
      <c r="AB54" s="11"/>
      <c r="AC54" s="11"/>
      <c r="AD54" s="15"/>
      <c r="AE54" s="11"/>
      <c r="AF54" s="11"/>
      <c r="AG54" s="11"/>
      <c r="AH54" s="11"/>
      <c r="AI54" s="11"/>
      <c r="AJ54" s="11"/>
      <c r="AK54" s="11"/>
      <c r="AL54" s="11"/>
    </row>
    <row r="55" spans="1:38" x14ac:dyDescent="0.25">
      <c r="A55" s="11"/>
      <c r="B55" s="96"/>
      <c r="C55" s="96"/>
      <c r="D55" s="96"/>
      <c r="E55" s="10"/>
      <c r="F55" s="10"/>
      <c r="G55" s="10"/>
      <c r="H55" s="96"/>
      <c r="I55" s="11"/>
      <c r="J55" s="96"/>
      <c r="K55" s="96"/>
      <c r="L55" s="12"/>
      <c r="M55" s="12"/>
      <c r="N55" s="12"/>
      <c r="O55" s="12"/>
      <c r="P55" s="11"/>
      <c r="Q55" s="13"/>
      <c r="R55" s="96"/>
      <c r="S55" s="96"/>
      <c r="T55" s="96"/>
      <c r="U55" s="96"/>
      <c r="V55" s="12"/>
      <c r="W55" s="11"/>
      <c r="X55" s="96"/>
      <c r="Y55" s="12"/>
      <c r="Z55" s="11"/>
      <c r="AA55" s="14"/>
      <c r="AB55" s="11"/>
      <c r="AC55" s="11"/>
      <c r="AD55" s="15"/>
      <c r="AE55" s="11"/>
      <c r="AF55" s="11"/>
      <c r="AG55" s="11"/>
      <c r="AH55" s="11"/>
      <c r="AI55" s="11"/>
      <c r="AJ55" s="11"/>
      <c r="AK55" s="11"/>
      <c r="AL55" s="11"/>
    </row>
    <row r="56" spans="1:38" x14ac:dyDescent="0.25">
      <c r="A56" s="11"/>
      <c r="B56" s="96"/>
      <c r="C56" s="96"/>
      <c r="D56" s="96"/>
      <c r="E56" s="10"/>
      <c r="F56" s="10"/>
      <c r="G56" s="10"/>
      <c r="H56" s="96"/>
      <c r="I56" s="11"/>
      <c r="J56" s="96"/>
      <c r="K56" s="96"/>
      <c r="L56" s="12"/>
      <c r="M56" s="12"/>
      <c r="N56" s="12"/>
      <c r="O56" s="12"/>
      <c r="P56" s="11"/>
      <c r="Q56" s="13"/>
      <c r="R56" s="96"/>
      <c r="S56" s="96"/>
      <c r="T56" s="96"/>
      <c r="U56" s="96"/>
      <c r="V56" s="12"/>
      <c r="W56" s="11"/>
      <c r="X56" s="96"/>
      <c r="Y56" s="12"/>
      <c r="Z56" s="11"/>
      <c r="AA56" s="14"/>
      <c r="AB56" s="11"/>
      <c r="AC56" s="11"/>
      <c r="AD56" s="15"/>
      <c r="AE56" s="11"/>
      <c r="AF56" s="11"/>
      <c r="AG56" s="11"/>
      <c r="AH56" s="11"/>
      <c r="AI56" s="11"/>
      <c r="AJ56" s="11"/>
      <c r="AK56" s="11"/>
      <c r="AL56" s="11"/>
    </row>
    <row r="57" spans="1:38" x14ac:dyDescent="0.25">
      <c r="A57" s="11"/>
      <c r="B57" s="96"/>
      <c r="C57" s="96"/>
      <c r="D57" s="96"/>
      <c r="E57" s="10"/>
      <c r="F57" s="10"/>
      <c r="G57" s="10"/>
      <c r="H57" s="96"/>
      <c r="I57" s="11"/>
      <c r="J57" s="96"/>
      <c r="K57" s="96"/>
      <c r="L57" s="12"/>
      <c r="M57" s="12"/>
      <c r="N57" s="12"/>
      <c r="O57" s="12"/>
      <c r="P57" s="11"/>
      <c r="Q57" s="13"/>
      <c r="R57" s="96"/>
      <c r="S57" s="96"/>
      <c r="T57" s="96"/>
      <c r="U57" s="96"/>
      <c r="V57" s="12"/>
      <c r="W57" s="11"/>
      <c r="X57" s="96"/>
      <c r="Y57" s="12"/>
      <c r="Z57" s="11"/>
      <c r="AA57" s="14"/>
      <c r="AB57" s="11"/>
      <c r="AC57" s="11"/>
      <c r="AD57" s="15"/>
      <c r="AE57" s="11"/>
      <c r="AF57" s="11"/>
      <c r="AG57" s="11"/>
      <c r="AH57" s="11"/>
      <c r="AI57" s="11"/>
      <c r="AJ57" s="11"/>
      <c r="AK57" s="11"/>
      <c r="AL57" s="11"/>
    </row>
    <row r="58" spans="1:38" x14ac:dyDescent="0.25">
      <c r="A58" s="11"/>
      <c r="B58" s="96"/>
      <c r="C58" s="96"/>
      <c r="D58" s="96"/>
      <c r="E58" s="10"/>
      <c r="F58" s="10"/>
      <c r="G58" s="10"/>
      <c r="H58" s="96"/>
      <c r="I58" s="11"/>
      <c r="J58" s="96"/>
      <c r="K58" s="96"/>
      <c r="L58" s="12"/>
      <c r="M58" s="12"/>
      <c r="N58" s="12"/>
      <c r="O58" s="12"/>
      <c r="P58" s="11"/>
      <c r="Q58" s="13"/>
      <c r="R58" s="96"/>
      <c r="S58" s="96"/>
      <c r="T58" s="96"/>
      <c r="U58" s="96"/>
      <c r="V58" s="12"/>
      <c r="W58" s="11"/>
      <c r="X58" s="96"/>
      <c r="Y58" s="12"/>
      <c r="Z58" s="11"/>
      <c r="AA58" s="14"/>
      <c r="AB58" s="11"/>
      <c r="AC58" s="11"/>
      <c r="AD58" s="15"/>
      <c r="AE58" s="11"/>
      <c r="AF58" s="11"/>
      <c r="AG58" s="11"/>
      <c r="AH58" s="11"/>
      <c r="AI58" s="11"/>
      <c r="AJ58" s="11"/>
      <c r="AK58" s="11"/>
      <c r="AL58" s="11"/>
    </row>
    <row r="59" spans="1:38" x14ac:dyDescent="0.25">
      <c r="A59" s="11"/>
      <c r="B59" s="96"/>
      <c r="C59" s="96"/>
      <c r="D59" s="96"/>
      <c r="E59" s="10"/>
      <c r="F59" s="10"/>
      <c r="G59" s="10"/>
      <c r="H59" s="96"/>
      <c r="I59" s="11"/>
      <c r="J59" s="96"/>
      <c r="K59" s="96"/>
      <c r="L59" s="12"/>
      <c r="M59" s="12"/>
      <c r="N59" s="12"/>
      <c r="O59" s="12"/>
      <c r="P59" s="11"/>
      <c r="Q59" s="13"/>
      <c r="R59" s="96"/>
      <c r="S59" s="96"/>
      <c r="T59" s="96"/>
      <c r="U59" s="96"/>
      <c r="V59" s="12"/>
      <c r="W59" s="11"/>
      <c r="X59" s="96"/>
      <c r="Y59" s="12"/>
      <c r="Z59" s="11"/>
      <c r="AA59" s="14"/>
      <c r="AB59" s="11"/>
      <c r="AC59" s="11"/>
      <c r="AD59" s="15"/>
      <c r="AE59" s="11"/>
      <c r="AF59" s="11"/>
      <c r="AG59" s="11"/>
      <c r="AH59" s="11"/>
      <c r="AI59" s="11"/>
      <c r="AJ59" s="11"/>
      <c r="AK59" s="11"/>
      <c r="AL59" s="11"/>
    </row>
    <row r="60" spans="1:38" x14ac:dyDescent="0.25">
      <c r="A60" s="11"/>
      <c r="B60" s="96"/>
      <c r="C60" s="96"/>
      <c r="D60" s="96"/>
      <c r="E60" s="10"/>
      <c r="F60" s="10"/>
      <c r="G60" s="10"/>
      <c r="H60" s="96"/>
      <c r="I60" s="11"/>
      <c r="J60" s="96"/>
      <c r="K60" s="96"/>
      <c r="L60" s="12"/>
      <c r="M60" s="12"/>
      <c r="N60" s="12"/>
      <c r="O60" s="12"/>
      <c r="P60" s="11"/>
      <c r="Q60" s="13"/>
      <c r="R60" s="96"/>
      <c r="S60" s="96"/>
      <c r="T60" s="96"/>
      <c r="U60" s="96"/>
      <c r="V60" s="12"/>
      <c r="W60" s="11"/>
      <c r="X60" s="96"/>
      <c r="Y60" s="12"/>
      <c r="Z60" s="11"/>
      <c r="AA60" s="14"/>
      <c r="AB60" s="11"/>
      <c r="AC60" s="11"/>
      <c r="AD60" s="15"/>
      <c r="AE60" s="11"/>
      <c r="AF60" s="11"/>
      <c r="AG60" s="11"/>
      <c r="AH60" s="11"/>
      <c r="AI60" s="11"/>
      <c r="AJ60" s="11"/>
      <c r="AK60" s="11"/>
      <c r="AL60" s="11"/>
    </row>
    <row r="61" spans="1:38" x14ac:dyDescent="0.25">
      <c r="A61" s="11"/>
      <c r="B61" s="96"/>
      <c r="C61" s="96"/>
      <c r="D61" s="96"/>
      <c r="E61" s="10"/>
      <c r="F61" s="10"/>
      <c r="G61" s="10"/>
      <c r="H61" s="96"/>
      <c r="I61" s="11"/>
      <c r="J61" s="96"/>
      <c r="K61" s="96"/>
      <c r="L61" s="12"/>
      <c r="M61" s="12"/>
      <c r="N61" s="12"/>
      <c r="O61" s="12"/>
      <c r="P61" s="11"/>
      <c r="Q61" s="13"/>
      <c r="R61" s="96"/>
      <c r="S61" s="96"/>
      <c r="T61" s="96"/>
      <c r="U61" s="96"/>
      <c r="V61" s="12"/>
      <c r="W61" s="11"/>
      <c r="X61" s="96"/>
      <c r="Y61" s="12"/>
      <c r="Z61" s="11"/>
      <c r="AA61" s="14"/>
      <c r="AB61" s="11"/>
      <c r="AC61" s="11"/>
      <c r="AD61" s="15"/>
      <c r="AE61" s="11"/>
      <c r="AF61" s="11"/>
      <c r="AG61" s="11"/>
      <c r="AH61" s="11"/>
      <c r="AI61" s="11"/>
      <c r="AJ61" s="11"/>
      <c r="AK61" s="11"/>
      <c r="AL61" s="11"/>
    </row>
    <row r="62" spans="1:38" x14ac:dyDescent="0.25">
      <c r="A62" s="11"/>
      <c r="B62" s="96"/>
      <c r="C62" s="96"/>
      <c r="D62" s="96"/>
      <c r="E62" s="10"/>
      <c r="F62" s="10"/>
      <c r="G62" s="10"/>
      <c r="H62" s="96"/>
      <c r="I62" s="11"/>
      <c r="J62" s="96"/>
      <c r="K62" s="96"/>
      <c r="L62" s="12"/>
      <c r="M62" s="12"/>
      <c r="N62" s="12"/>
      <c r="O62" s="12"/>
      <c r="P62" s="11"/>
      <c r="Q62" s="13"/>
      <c r="R62" s="96"/>
      <c r="S62" s="96"/>
      <c r="T62" s="96"/>
      <c r="U62" s="96"/>
      <c r="V62" s="12"/>
      <c r="W62" s="11"/>
      <c r="X62" s="96"/>
      <c r="Y62" s="12"/>
      <c r="Z62" s="11"/>
      <c r="AA62" s="14"/>
      <c r="AB62" s="11"/>
      <c r="AC62" s="11"/>
      <c r="AD62" s="15"/>
      <c r="AE62" s="11"/>
      <c r="AF62" s="11"/>
      <c r="AG62" s="11"/>
      <c r="AH62" s="11"/>
      <c r="AI62" s="11"/>
      <c r="AJ62" s="11"/>
      <c r="AK62" s="11"/>
      <c r="AL62" s="11"/>
    </row>
    <row r="63" spans="1:38" x14ac:dyDescent="0.25">
      <c r="A63" s="11"/>
      <c r="B63" s="96"/>
      <c r="C63" s="96"/>
      <c r="D63" s="96"/>
      <c r="E63" s="10"/>
      <c r="F63" s="10"/>
      <c r="G63" s="10"/>
      <c r="H63" s="96"/>
      <c r="I63" s="11"/>
      <c r="J63" s="96"/>
      <c r="K63" s="96"/>
      <c r="L63" s="12"/>
      <c r="M63" s="12"/>
      <c r="N63" s="12"/>
      <c r="O63" s="12"/>
      <c r="P63" s="11"/>
      <c r="Q63" s="13"/>
      <c r="R63" s="96"/>
      <c r="S63" s="96"/>
      <c r="T63" s="96"/>
      <c r="U63" s="96"/>
      <c r="V63" s="12"/>
      <c r="W63" s="11"/>
      <c r="X63" s="96"/>
      <c r="Y63" s="12"/>
      <c r="Z63" s="11"/>
      <c r="AA63" s="14"/>
      <c r="AB63" s="11"/>
      <c r="AC63" s="11"/>
      <c r="AD63" s="15"/>
      <c r="AE63" s="11"/>
      <c r="AF63" s="11"/>
      <c r="AG63" s="11"/>
      <c r="AH63" s="11"/>
      <c r="AI63" s="11"/>
      <c r="AJ63" s="11"/>
      <c r="AK63" s="11"/>
      <c r="AL63" s="11"/>
    </row>
    <row r="64" spans="1:38" x14ac:dyDescent="0.25">
      <c r="A64" s="11"/>
      <c r="B64" s="96"/>
      <c r="C64" s="96"/>
      <c r="D64" s="96"/>
      <c r="E64" s="10"/>
      <c r="F64" s="10"/>
      <c r="G64" s="10"/>
      <c r="H64" s="96"/>
      <c r="I64" s="11"/>
      <c r="J64" s="96"/>
      <c r="K64" s="96"/>
      <c r="L64" s="12"/>
      <c r="M64" s="12"/>
      <c r="N64" s="12"/>
      <c r="O64" s="12"/>
      <c r="P64" s="11"/>
      <c r="Q64" s="13"/>
      <c r="R64" s="96"/>
      <c r="S64" s="96"/>
      <c r="T64" s="96"/>
      <c r="U64" s="96"/>
      <c r="V64" s="12"/>
      <c r="W64" s="11"/>
      <c r="X64" s="96"/>
      <c r="Y64" s="12"/>
      <c r="Z64" s="11"/>
      <c r="AA64" s="14"/>
      <c r="AB64" s="11"/>
      <c r="AC64" s="11"/>
      <c r="AD64" s="15"/>
      <c r="AE64" s="11"/>
      <c r="AF64" s="11"/>
      <c r="AG64" s="11"/>
      <c r="AH64" s="11"/>
      <c r="AI64" s="11"/>
      <c r="AJ64" s="11"/>
      <c r="AK64" s="11"/>
      <c r="AL64" s="11"/>
    </row>
    <row r="65" spans="1:38" x14ac:dyDescent="0.25">
      <c r="A65" s="11"/>
      <c r="B65" s="96"/>
      <c r="C65" s="96"/>
      <c r="D65" s="96"/>
      <c r="E65" s="10"/>
      <c r="F65" s="10"/>
      <c r="G65" s="10"/>
      <c r="H65" s="96"/>
      <c r="I65" s="11"/>
      <c r="J65" s="96"/>
      <c r="K65" s="96"/>
      <c r="L65" s="12"/>
      <c r="M65" s="12"/>
      <c r="N65" s="12"/>
      <c r="O65" s="12"/>
      <c r="P65" s="11"/>
      <c r="Q65" s="13"/>
      <c r="R65" s="96"/>
      <c r="S65" s="96"/>
      <c r="T65" s="96"/>
      <c r="U65" s="96"/>
      <c r="V65" s="12"/>
      <c r="W65" s="11"/>
      <c r="X65" s="96"/>
      <c r="Y65" s="12"/>
      <c r="Z65" s="11"/>
      <c r="AA65" s="14"/>
      <c r="AB65" s="11"/>
      <c r="AC65" s="11"/>
      <c r="AD65" s="15"/>
      <c r="AE65" s="11"/>
      <c r="AF65" s="11"/>
      <c r="AG65" s="11"/>
      <c r="AH65" s="11"/>
      <c r="AI65" s="11"/>
      <c r="AJ65" s="11"/>
      <c r="AK65" s="11"/>
      <c r="AL65" s="11"/>
    </row>
    <row r="66" spans="1:38" x14ac:dyDescent="0.25">
      <c r="A66" s="11"/>
      <c r="B66" s="96"/>
      <c r="C66" s="96"/>
      <c r="D66" s="96"/>
      <c r="E66" s="10"/>
      <c r="F66" s="10"/>
      <c r="G66" s="10"/>
      <c r="H66" s="96"/>
      <c r="I66" s="11"/>
      <c r="J66" s="96"/>
      <c r="K66" s="96"/>
      <c r="L66" s="12"/>
      <c r="M66" s="12"/>
      <c r="N66" s="12"/>
      <c r="O66" s="12"/>
      <c r="P66" s="11"/>
      <c r="Q66" s="13"/>
      <c r="R66" s="96"/>
      <c r="S66" s="96"/>
      <c r="T66" s="96"/>
      <c r="U66" s="96"/>
      <c r="V66" s="12"/>
      <c r="W66" s="11"/>
      <c r="X66" s="96"/>
      <c r="Y66" s="12"/>
      <c r="Z66" s="11"/>
      <c r="AA66" s="14"/>
      <c r="AB66" s="11"/>
      <c r="AC66" s="11"/>
      <c r="AD66" s="15"/>
      <c r="AE66" s="11"/>
      <c r="AF66" s="11"/>
      <c r="AG66" s="11"/>
      <c r="AH66" s="11"/>
      <c r="AI66" s="11"/>
      <c r="AJ66" s="11"/>
      <c r="AK66" s="11"/>
      <c r="AL66" s="11"/>
    </row>
    <row r="67" spans="1:38" x14ac:dyDescent="0.25">
      <c r="A67" s="11"/>
      <c r="B67" s="96"/>
      <c r="C67" s="96"/>
      <c r="D67" s="96"/>
      <c r="E67" s="10"/>
      <c r="F67" s="10"/>
      <c r="G67" s="10"/>
      <c r="H67" s="96"/>
      <c r="I67" s="11"/>
      <c r="J67" s="96"/>
      <c r="K67" s="96"/>
      <c r="L67" s="12"/>
      <c r="M67" s="12"/>
      <c r="N67" s="12"/>
      <c r="O67" s="12"/>
      <c r="P67" s="11"/>
      <c r="Q67" s="13"/>
      <c r="R67" s="96"/>
      <c r="S67" s="96"/>
      <c r="T67" s="96"/>
      <c r="U67" s="96"/>
      <c r="V67" s="12"/>
      <c r="W67" s="11"/>
      <c r="X67" s="96"/>
      <c r="Y67" s="12"/>
      <c r="Z67" s="11"/>
      <c r="AA67" s="14"/>
      <c r="AB67" s="11"/>
      <c r="AC67" s="11"/>
      <c r="AD67" s="15"/>
      <c r="AE67" s="11"/>
      <c r="AF67" s="11"/>
      <c r="AG67" s="11"/>
      <c r="AH67" s="11"/>
      <c r="AI67" s="11"/>
      <c r="AJ67" s="11"/>
      <c r="AK67" s="11"/>
      <c r="AL67" s="11"/>
    </row>
    <row r="68" spans="1:38" x14ac:dyDescent="0.25">
      <c r="A68" s="11"/>
      <c r="B68" s="96"/>
      <c r="C68" s="96"/>
      <c r="D68" s="96"/>
      <c r="E68" s="10"/>
      <c r="F68" s="10"/>
      <c r="G68" s="10"/>
      <c r="H68" s="96"/>
      <c r="I68" s="11"/>
      <c r="J68" s="96"/>
      <c r="K68" s="96"/>
      <c r="L68" s="12"/>
      <c r="M68" s="12"/>
      <c r="N68" s="12"/>
      <c r="O68" s="12"/>
      <c r="P68" s="11"/>
      <c r="Q68" s="13"/>
      <c r="R68" s="96"/>
      <c r="S68" s="96"/>
      <c r="T68" s="96"/>
      <c r="U68" s="96"/>
      <c r="V68" s="12"/>
      <c r="W68" s="11"/>
      <c r="X68" s="96"/>
      <c r="Y68" s="12"/>
      <c r="Z68" s="11"/>
      <c r="AA68" s="14"/>
      <c r="AB68" s="11"/>
      <c r="AC68" s="11"/>
      <c r="AD68" s="15"/>
      <c r="AE68" s="11"/>
      <c r="AF68" s="11"/>
      <c r="AG68" s="11"/>
      <c r="AH68" s="11"/>
      <c r="AI68" s="11"/>
      <c r="AJ68" s="11"/>
      <c r="AK68" s="11"/>
      <c r="AL68" s="11"/>
    </row>
    <row r="69" spans="1:38" x14ac:dyDescent="0.25">
      <c r="A69" s="11"/>
      <c r="B69" s="96"/>
      <c r="C69" s="96"/>
      <c r="D69" s="96"/>
      <c r="E69" s="10"/>
      <c r="F69" s="10"/>
      <c r="G69" s="10"/>
      <c r="H69" s="96"/>
      <c r="I69" s="11"/>
      <c r="J69" s="96"/>
      <c r="K69" s="96"/>
      <c r="L69" s="12"/>
      <c r="M69" s="12"/>
      <c r="N69" s="12"/>
      <c r="O69" s="12"/>
      <c r="P69" s="11"/>
      <c r="Q69" s="13"/>
      <c r="R69" s="96"/>
      <c r="S69" s="96"/>
      <c r="T69" s="96"/>
      <c r="U69" s="96"/>
      <c r="V69" s="12"/>
      <c r="W69" s="11"/>
      <c r="X69" s="96"/>
      <c r="Y69" s="12"/>
      <c r="Z69" s="11"/>
      <c r="AA69" s="14"/>
      <c r="AB69" s="11"/>
      <c r="AC69" s="11"/>
      <c r="AD69" s="15"/>
      <c r="AE69" s="11"/>
      <c r="AF69" s="11"/>
      <c r="AG69" s="11"/>
      <c r="AH69" s="11"/>
      <c r="AI69" s="11"/>
      <c r="AJ69" s="11"/>
      <c r="AK69" s="11"/>
      <c r="AL69" s="11"/>
    </row>
    <row r="70" spans="1:38" x14ac:dyDescent="0.25">
      <c r="A70" s="11"/>
      <c r="B70" s="96"/>
      <c r="C70" s="96"/>
      <c r="D70" s="96"/>
      <c r="E70" s="10"/>
      <c r="F70" s="10"/>
      <c r="G70" s="10"/>
      <c r="H70" s="96"/>
      <c r="I70" s="11"/>
      <c r="J70" s="96"/>
      <c r="K70" s="96"/>
      <c r="L70" s="12"/>
      <c r="M70" s="12"/>
      <c r="N70" s="12"/>
      <c r="O70" s="12"/>
      <c r="P70" s="11"/>
      <c r="Q70" s="13"/>
      <c r="R70" s="96"/>
      <c r="S70" s="96"/>
      <c r="T70" s="96"/>
      <c r="U70" s="96"/>
      <c r="V70" s="12"/>
      <c r="W70" s="11"/>
      <c r="X70" s="96"/>
      <c r="Y70" s="12"/>
      <c r="Z70" s="11"/>
      <c r="AA70" s="14"/>
      <c r="AB70" s="11"/>
      <c r="AC70" s="11"/>
      <c r="AD70" s="15"/>
      <c r="AE70" s="11"/>
      <c r="AF70" s="11"/>
      <c r="AG70" s="11"/>
      <c r="AH70" s="11"/>
      <c r="AI70" s="11"/>
      <c r="AJ70" s="11"/>
      <c r="AK70" s="11"/>
      <c r="AL70" s="11"/>
    </row>
    <row r="71" spans="1:38" x14ac:dyDescent="0.25">
      <c r="A71" s="11"/>
      <c r="B71" s="96"/>
      <c r="C71" s="96"/>
      <c r="D71" s="96"/>
      <c r="E71" s="10"/>
      <c r="F71" s="10"/>
      <c r="G71" s="10"/>
      <c r="H71" s="96"/>
      <c r="I71" s="11"/>
      <c r="J71" s="96"/>
      <c r="K71" s="96"/>
      <c r="L71" s="12"/>
      <c r="M71" s="12"/>
      <c r="N71" s="12"/>
      <c r="O71" s="12"/>
      <c r="P71" s="11"/>
      <c r="Q71" s="13"/>
      <c r="R71" s="96"/>
      <c r="S71" s="96"/>
      <c r="T71" s="96"/>
      <c r="U71" s="96"/>
      <c r="V71" s="12"/>
      <c r="W71" s="11"/>
      <c r="X71" s="96"/>
      <c r="Y71" s="12"/>
      <c r="Z71" s="11"/>
      <c r="AA71" s="14"/>
      <c r="AB71" s="11"/>
      <c r="AC71" s="11"/>
      <c r="AD71" s="15"/>
      <c r="AE71" s="11"/>
      <c r="AF71" s="11"/>
      <c r="AG71" s="11"/>
      <c r="AH71" s="11"/>
      <c r="AI71" s="11"/>
      <c r="AJ71" s="11"/>
      <c r="AK71" s="11"/>
      <c r="AL71" s="11"/>
    </row>
    <row r="72" spans="1:38" x14ac:dyDescent="0.25">
      <c r="A72" s="11"/>
      <c r="B72" s="96"/>
      <c r="C72" s="96"/>
      <c r="D72" s="96"/>
      <c r="E72" s="10"/>
      <c r="F72" s="10"/>
      <c r="G72" s="10"/>
      <c r="H72" s="96"/>
      <c r="I72" s="11"/>
      <c r="J72" s="96"/>
      <c r="K72" s="96"/>
      <c r="L72" s="12"/>
      <c r="M72" s="12"/>
      <c r="N72" s="12"/>
      <c r="O72" s="12"/>
      <c r="P72" s="11"/>
      <c r="Q72" s="13"/>
      <c r="R72" s="96"/>
      <c r="S72" s="96"/>
      <c r="T72" s="96"/>
      <c r="U72" s="96"/>
      <c r="V72" s="12"/>
      <c r="W72" s="11"/>
      <c r="X72" s="96"/>
      <c r="Y72" s="12"/>
      <c r="Z72" s="11"/>
      <c r="AA72" s="14"/>
      <c r="AB72" s="11"/>
      <c r="AC72" s="11"/>
      <c r="AD72" s="15"/>
      <c r="AE72" s="11"/>
      <c r="AF72" s="11"/>
      <c r="AG72" s="11"/>
      <c r="AH72" s="11"/>
      <c r="AI72" s="11"/>
      <c r="AJ72" s="11"/>
      <c r="AK72" s="11"/>
      <c r="AL72" s="11"/>
    </row>
    <row r="73" spans="1:38" x14ac:dyDescent="0.25">
      <c r="A73" s="11"/>
      <c r="B73" s="96"/>
      <c r="C73" s="96"/>
      <c r="D73" s="96"/>
      <c r="E73" s="10"/>
      <c r="F73" s="10"/>
      <c r="G73" s="10"/>
      <c r="H73" s="96"/>
      <c r="I73" s="11"/>
      <c r="J73" s="96"/>
      <c r="K73" s="96"/>
      <c r="L73" s="12"/>
      <c r="M73" s="12"/>
      <c r="N73" s="12"/>
      <c r="O73" s="12"/>
      <c r="P73" s="11"/>
      <c r="Q73" s="13"/>
      <c r="R73" s="96"/>
      <c r="S73" s="96"/>
      <c r="T73" s="96"/>
      <c r="U73" s="96"/>
      <c r="V73" s="12"/>
      <c r="W73" s="11"/>
      <c r="X73" s="96"/>
      <c r="Y73" s="12"/>
      <c r="Z73" s="11"/>
      <c r="AA73" s="14"/>
      <c r="AB73" s="11"/>
      <c r="AC73" s="11"/>
      <c r="AD73" s="15"/>
      <c r="AE73" s="11"/>
      <c r="AF73" s="11"/>
      <c r="AG73" s="11"/>
      <c r="AH73" s="11"/>
      <c r="AI73" s="11"/>
      <c r="AJ73" s="11"/>
      <c r="AK73" s="11"/>
      <c r="AL73" s="11"/>
    </row>
    <row r="74" spans="1:38" x14ac:dyDescent="0.25">
      <c r="A74" s="11"/>
      <c r="B74" s="96"/>
      <c r="C74" s="96"/>
      <c r="D74" s="96"/>
      <c r="E74" s="10"/>
      <c r="F74" s="10"/>
      <c r="G74" s="10"/>
      <c r="H74" s="96"/>
      <c r="I74" s="11"/>
      <c r="J74" s="96"/>
      <c r="K74" s="96"/>
      <c r="L74" s="12"/>
      <c r="M74" s="12"/>
      <c r="N74" s="12"/>
      <c r="O74" s="12"/>
      <c r="P74" s="11"/>
      <c r="Q74" s="13"/>
      <c r="R74" s="96"/>
      <c r="S74" s="96"/>
      <c r="T74" s="96"/>
      <c r="U74" s="96"/>
      <c r="V74" s="12"/>
      <c r="W74" s="11"/>
      <c r="X74" s="96"/>
      <c r="Y74" s="12"/>
      <c r="Z74" s="11"/>
      <c r="AA74" s="14"/>
      <c r="AB74" s="11"/>
      <c r="AC74" s="11"/>
      <c r="AD74" s="15"/>
      <c r="AE74" s="11"/>
      <c r="AF74" s="11"/>
      <c r="AG74" s="11"/>
      <c r="AH74" s="11"/>
      <c r="AI74" s="11"/>
      <c r="AJ74" s="11"/>
      <c r="AK74" s="11"/>
      <c r="AL74" s="11"/>
    </row>
    <row r="75" spans="1:38" x14ac:dyDescent="0.25">
      <c r="A75" s="11"/>
      <c r="B75" s="96"/>
      <c r="C75" s="96"/>
      <c r="D75" s="96"/>
      <c r="E75" s="10"/>
      <c r="F75" s="10"/>
      <c r="G75" s="10"/>
      <c r="H75" s="96"/>
      <c r="I75" s="11"/>
      <c r="J75" s="96"/>
      <c r="K75" s="96"/>
      <c r="L75" s="12"/>
      <c r="M75" s="12"/>
      <c r="N75" s="12"/>
      <c r="O75" s="12"/>
      <c r="P75" s="11"/>
      <c r="Q75" s="13"/>
      <c r="R75" s="96"/>
      <c r="S75" s="96"/>
      <c r="T75" s="96"/>
      <c r="U75" s="96"/>
      <c r="V75" s="12"/>
      <c r="W75" s="11"/>
      <c r="X75" s="96"/>
      <c r="Y75" s="12"/>
      <c r="Z75" s="11"/>
      <c r="AA75" s="14"/>
      <c r="AB75" s="11"/>
      <c r="AC75" s="11"/>
      <c r="AD75" s="15"/>
      <c r="AE75" s="11"/>
      <c r="AF75" s="11"/>
      <c r="AG75" s="11"/>
      <c r="AH75" s="11"/>
      <c r="AI75" s="11"/>
      <c r="AJ75" s="11"/>
      <c r="AK75" s="11"/>
      <c r="AL75" s="11"/>
    </row>
    <row r="76" spans="1:38" x14ac:dyDescent="0.25">
      <c r="A76" s="11"/>
      <c r="B76" s="96"/>
      <c r="C76" s="96"/>
      <c r="D76" s="96"/>
      <c r="E76" s="10"/>
      <c r="F76" s="10"/>
      <c r="G76" s="10"/>
      <c r="H76" s="96"/>
      <c r="I76" s="11"/>
      <c r="J76" s="96"/>
      <c r="K76" s="96"/>
      <c r="L76" s="12"/>
      <c r="M76" s="12"/>
      <c r="N76" s="12"/>
      <c r="O76" s="12"/>
      <c r="P76" s="11"/>
      <c r="Q76" s="13"/>
      <c r="R76" s="96"/>
      <c r="S76" s="96"/>
      <c r="T76" s="96"/>
      <c r="U76" s="96"/>
      <c r="V76" s="12"/>
      <c r="W76" s="11"/>
      <c r="X76" s="96"/>
      <c r="Y76" s="12"/>
      <c r="Z76" s="11"/>
      <c r="AA76" s="14"/>
      <c r="AB76" s="11"/>
      <c r="AC76" s="11"/>
      <c r="AD76" s="15"/>
      <c r="AE76" s="11"/>
      <c r="AF76" s="11"/>
      <c r="AG76" s="11"/>
      <c r="AH76" s="11"/>
      <c r="AI76" s="11"/>
      <c r="AJ76" s="11"/>
      <c r="AK76" s="11"/>
      <c r="AL76" s="11"/>
    </row>
    <row r="77" spans="1:38" x14ac:dyDescent="0.25">
      <c r="A77" s="11"/>
      <c r="B77" s="96"/>
      <c r="C77" s="96"/>
      <c r="D77" s="96"/>
      <c r="E77" s="10"/>
      <c r="F77" s="10"/>
      <c r="G77" s="10"/>
      <c r="H77" s="96"/>
      <c r="I77" s="11"/>
      <c r="J77" s="96"/>
      <c r="K77" s="96"/>
      <c r="L77" s="12"/>
      <c r="M77" s="12"/>
      <c r="N77" s="12"/>
      <c r="O77" s="12"/>
      <c r="P77" s="11"/>
      <c r="Q77" s="13"/>
      <c r="R77" s="96"/>
      <c r="S77" s="96"/>
      <c r="T77" s="96"/>
      <c r="U77" s="96"/>
      <c r="V77" s="12"/>
      <c r="W77" s="11"/>
      <c r="X77" s="96"/>
      <c r="Y77" s="12"/>
      <c r="Z77" s="11"/>
      <c r="AA77" s="14"/>
      <c r="AB77" s="11"/>
      <c r="AC77" s="11"/>
      <c r="AD77" s="15"/>
      <c r="AE77" s="11"/>
      <c r="AF77" s="11"/>
      <c r="AG77" s="11"/>
      <c r="AH77" s="11"/>
      <c r="AI77" s="11"/>
      <c r="AJ77" s="11"/>
      <c r="AK77" s="11"/>
      <c r="AL77" s="11"/>
    </row>
    <row r="78" spans="1:38" x14ac:dyDescent="0.25">
      <c r="A78" s="11"/>
      <c r="B78" s="96"/>
      <c r="C78" s="96"/>
      <c r="D78" s="96"/>
      <c r="E78" s="10"/>
      <c r="F78" s="10"/>
      <c r="G78" s="10"/>
      <c r="H78" s="96"/>
      <c r="I78" s="11"/>
      <c r="J78" s="96"/>
      <c r="K78" s="96"/>
      <c r="L78" s="12"/>
      <c r="M78" s="12"/>
      <c r="N78" s="12"/>
      <c r="O78" s="12"/>
      <c r="P78" s="11"/>
      <c r="Q78" s="13"/>
      <c r="R78" s="96"/>
      <c r="S78" s="96"/>
      <c r="T78" s="96"/>
      <c r="U78" s="96"/>
      <c r="V78" s="12"/>
      <c r="W78" s="11"/>
      <c r="X78" s="96"/>
      <c r="Y78" s="12"/>
      <c r="Z78" s="11"/>
      <c r="AA78" s="14"/>
      <c r="AB78" s="11"/>
      <c r="AC78" s="11"/>
      <c r="AD78" s="15"/>
      <c r="AE78" s="11"/>
      <c r="AF78" s="11"/>
      <c r="AG78" s="11"/>
      <c r="AH78" s="11"/>
      <c r="AI78" s="11"/>
      <c r="AJ78" s="11"/>
      <c r="AK78" s="11"/>
      <c r="AL78" s="11"/>
    </row>
    <row r="79" spans="1:38" x14ac:dyDescent="0.25">
      <c r="A79" s="11"/>
      <c r="B79" s="96"/>
      <c r="C79" s="96"/>
      <c r="D79" s="96"/>
      <c r="E79" s="10"/>
      <c r="F79" s="10"/>
      <c r="G79" s="10"/>
      <c r="H79" s="96"/>
      <c r="I79" s="11"/>
      <c r="J79" s="96"/>
      <c r="K79" s="96"/>
      <c r="L79" s="12"/>
      <c r="M79" s="12"/>
      <c r="N79" s="12"/>
      <c r="O79" s="12"/>
      <c r="P79" s="11"/>
      <c r="Q79" s="13"/>
      <c r="R79" s="96"/>
      <c r="S79" s="96"/>
      <c r="T79" s="96"/>
      <c r="U79" s="96"/>
      <c r="V79" s="12"/>
      <c r="W79" s="11"/>
      <c r="X79" s="96"/>
      <c r="Y79" s="12"/>
      <c r="Z79" s="11"/>
      <c r="AA79" s="14"/>
      <c r="AB79" s="11"/>
      <c r="AC79" s="11"/>
      <c r="AD79" s="15"/>
      <c r="AE79" s="11"/>
      <c r="AF79" s="11"/>
      <c r="AG79" s="11"/>
      <c r="AH79" s="11"/>
      <c r="AI79" s="11"/>
      <c r="AJ79" s="11"/>
      <c r="AK79" s="11"/>
      <c r="AL79" s="11"/>
    </row>
    <row r="80" spans="1:38" x14ac:dyDescent="0.25">
      <c r="A80" s="11"/>
      <c r="B80" s="96"/>
      <c r="C80" s="96"/>
      <c r="D80" s="96"/>
      <c r="E80" s="10"/>
      <c r="F80" s="10"/>
      <c r="G80" s="10"/>
      <c r="H80" s="96"/>
      <c r="I80" s="11"/>
      <c r="J80" s="96"/>
      <c r="K80" s="96"/>
      <c r="L80" s="12"/>
      <c r="M80" s="12"/>
      <c r="N80" s="12"/>
      <c r="O80" s="12"/>
      <c r="P80" s="11"/>
      <c r="Q80" s="13"/>
      <c r="R80" s="96"/>
      <c r="S80" s="96"/>
      <c r="T80" s="96"/>
      <c r="U80" s="96"/>
      <c r="V80" s="12"/>
      <c r="W80" s="11"/>
      <c r="X80" s="96"/>
      <c r="Y80" s="12"/>
      <c r="Z80" s="11"/>
      <c r="AA80" s="14"/>
      <c r="AB80" s="11"/>
      <c r="AC80" s="11"/>
      <c r="AD80" s="15"/>
      <c r="AE80" s="11"/>
      <c r="AF80" s="11"/>
      <c r="AG80" s="11"/>
      <c r="AH80" s="11"/>
      <c r="AI80" s="11"/>
      <c r="AJ80" s="11"/>
      <c r="AK80" s="11"/>
      <c r="AL80" s="11"/>
    </row>
    <row r="81" spans="1:38" x14ac:dyDescent="0.25">
      <c r="A81" s="11"/>
      <c r="B81" s="96"/>
      <c r="C81" s="96"/>
      <c r="D81" s="96"/>
      <c r="E81" s="10"/>
      <c r="F81" s="10"/>
      <c r="G81" s="10"/>
      <c r="H81" s="96"/>
      <c r="I81" s="11"/>
      <c r="J81" s="96"/>
      <c r="K81" s="96"/>
      <c r="L81" s="12"/>
      <c r="M81" s="12"/>
      <c r="N81" s="12"/>
      <c r="O81" s="12"/>
      <c r="P81" s="11"/>
      <c r="Q81" s="13"/>
      <c r="R81" s="96"/>
      <c r="S81" s="96"/>
      <c r="T81" s="96"/>
      <c r="U81" s="96"/>
      <c r="V81" s="12"/>
      <c r="W81" s="11"/>
      <c r="X81" s="96"/>
      <c r="Y81" s="12"/>
      <c r="Z81" s="11"/>
      <c r="AA81" s="14"/>
      <c r="AB81" s="11"/>
      <c r="AC81" s="11"/>
      <c r="AD81" s="15"/>
      <c r="AE81" s="11"/>
      <c r="AF81" s="11"/>
      <c r="AG81" s="11"/>
      <c r="AH81" s="11"/>
      <c r="AI81" s="11"/>
      <c r="AJ81" s="11"/>
      <c r="AK81" s="11"/>
      <c r="AL81" s="11"/>
    </row>
    <row r="82" spans="1:38" x14ac:dyDescent="0.25">
      <c r="A82" s="11"/>
      <c r="B82" s="96"/>
      <c r="C82" s="96"/>
      <c r="D82" s="96"/>
      <c r="E82" s="10"/>
      <c r="F82" s="10"/>
      <c r="G82" s="10"/>
      <c r="H82" s="96"/>
      <c r="I82" s="11"/>
      <c r="J82" s="96"/>
      <c r="K82" s="96"/>
      <c r="L82" s="12"/>
      <c r="M82" s="12"/>
      <c r="N82" s="12"/>
      <c r="O82" s="12"/>
      <c r="P82" s="11"/>
      <c r="Q82" s="13"/>
      <c r="R82" s="96"/>
      <c r="S82" s="96"/>
      <c r="T82" s="96"/>
      <c r="U82" s="96"/>
      <c r="V82" s="12"/>
      <c r="W82" s="11"/>
      <c r="X82" s="96"/>
      <c r="Y82" s="12"/>
      <c r="Z82" s="11"/>
      <c r="AA82" s="14"/>
      <c r="AB82" s="11"/>
      <c r="AC82" s="11"/>
      <c r="AD82" s="15"/>
      <c r="AE82" s="11"/>
      <c r="AF82" s="11"/>
      <c r="AG82" s="11"/>
      <c r="AH82" s="11"/>
      <c r="AI82" s="11"/>
      <c r="AJ82" s="11"/>
      <c r="AK82" s="11"/>
      <c r="AL82" s="11"/>
    </row>
    <row r="83" spans="1:38" x14ac:dyDescent="0.25">
      <c r="A83" s="11"/>
      <c r="B83" s="96"/>
      <c r="C83" s="96"/>
      <c r="D83" s="96"/>
      <c r="E83" s="10"/>
      <c r="F83" s="10"/>
      <c r="G83" s="10"/>
      <c r="H83" s="96"/>
      <c r="I83" s="11"/>
      <c r="J83" s="96"/>
      <c r="K83" s="96"/>
      <c r="L83" s="12"/>
      <c r="M83" s="12"/>
      <c r="N83" s="12"/>
      <c r="O83" s="12"/>
      <c r="P83" s="11"/>
      <c r="Q83" s="13"/>
      <c r="R83" s="96"/>
      <c r="S83" s="96"/>
      <c r="T83" s="96"/>
      <c r="U83" s="96"/>
      <c r="V83" s="12"/>
      <c r="W83" s="11"/>
      <c r="X83" s="96"/>
      <c r="Y83" s="12"/>
      <c r="Z83" s="11"/>
      <c r="AA83" s="14"/>
      <c r="AB83" s="11"/>
      <c r="AC83" s="11"/>
      <c r="AD83" s="15"/>
      <c r="AE83" s="11"/>
      <c r="AF83" s="11"/>
      <c r="AG83" s="11"/>
      <c r="AH83" s="11"/>
      <c r="AI83" s="11"/>
      <c r="AJ83" s="11"/>
      <c r="AK83" s="11"/>
      <c r="AL83" s="11"/>
    </row>
    <row r="84" spans="1:38" x14ac:dyDescent="0.25">
      <c r="A84" s="11"/>
      <c r="B84" s="96"/>
      <c r="C84" s="96"/>
      <c r="D84" s="96"/>
      <c r="E84" s="10"/>
      <c r="F84" s="10"/>
      <c r="G84" s="10"/>
      <c r="H84" s="96"/>
      <c r="I84" s="11"/>
      <c r="J84" s="96"/>
      <c r="K84" s="96"/>
      <c r="L84" s="12"/>
      <c r="M84" s="12"/>
      <c r="N84" s="12"/>
      <c r="O84" s="12"/>
      <c r="P84" s="11"/>
      <c r="Q84" s="13"/>
      <c r="R84" s="96"/>
      <c r="S84" s="96"/>
      <c r="T84" s="96"/>
      <c r="U84" s="96"/>
      <c r="V84" s="12"/>
      <c r="W84" s="11"/>
      <c r="X84" s="96"/>
      <c r="Y84" s="12"/>
      <c r="Z84" s="11"/>
      <c r="AA84" s="14"/>
      <c r="AB84" s="11"/>
      <c r="AC84" s="11"/>
      <c r="AD84" s="15"/>
      <c r="AE84" s="11"/>
      <c r="AF84" s="11"/>
      <c r="AG84" s="11"/>
      <c r="AH84" s="11"/>
      <c r="AI84" s="11"/>
      <c r="AJ84" s="11"/>
      <c r="AK84" s="11"/>
      <c r="AL84" s="11"/>
    </row>
    <row r="85" spans="1:38" x14ac:dyDescent="0.25">
      <c r="A85" s="11"/>
      <c r="B85" s="96"/>
      <c r="C85" s="96"/>
      <c r="D85" s="96"/>
      <c r="E85" s="10"/>
      <c r="F85" s="10"/>
      <c r="G85" s="10"/>
      <c r="H85" s="96"/>
      <c r="I85" s="11"/>
      <c r="J85" s="96"/>
      <c r="K85" s="96"/>
      <c r="L85" s="12"/>
      <c r="M85" s="12"/>
      <c r="N85" s="12"/>
      <c r="O85" s="12"/>
      <c r="P85" s="11"/>
      <c r="Q85" s="13"/>
      <c r="R85" s="96"/>
      <c r="S85" s="96"/>
      <c r="T85" s="96"/>
      <c r="U85" s="96"/>
      <c r="V85" s="12"/>
      <c r="W85" s="11"/>
      <c r="X85" s="96"/>
      <c r="Y85" s="12"/>
      <c r="Z85" s="11"/>
      <c r="AA85" s="14"/>
      <c r="AB85" s="11"/>
      <c r="AC85" s="11"/>
      <c r="AD85" s="15"/>
      <c r="AE85" s="11"/>
      <c r="AF85" s="11"/>
      <c r="AG85" s="11"/>
      <c r="AH85" s="11"/>
      <c r="AI85" s="11"/>
      <c r="AJ85" s="11"/>
      <c r="AK85" s="11"/>
      <c r="AL85" s="11"/>
    </row>
    <row r="86" spans="1:38" x14ac:dyDescent="0.25">
      <c r="A86" s="11"/>
      <c r="B86" s="96"/>
      <c r="C86" s="96"/>
      <c r="D86" s="96"/>
      <c r="E86" s="10"/>
      <c r="F86" s="10"/>
      <c r="G86" s="10"/>
      <c r="H86" s="96"/>
      <c r="I86" s="11"/>
      <c r="J86" s="96"/>
      <c r="K86" s="96"/>
      <c r="L86" s="12"/>
      <c r="M86" s="12"/>
      <c r="N86" s="12"/>
      <c r="O86" s="12"/>
      <c r="P86" s="11"/>
      <c r="Q86" s="13"/>
      <c r="R86" s="96"/>
      <c r="S86" s="96"/>
      <c r="T86" s="96"/>
      <c r="U86" s="96"/>
      <c r="V86" s="12"/>
      <c r="W86" s="11"/>
      <c r="X86" s="96"/>
      <c r="Y86" s="12"/>
      <c r="Z86" s="11"/>
      <c r="AA86" s="14"/>
      <c r="AB86" s="11"/>
      <c r="AC86" s="11"/>
      <c r="AD86" s="15"/>
      <c r="AE86" s="11"/>
      <c r="AF86" s="11"/>
      <c r="AG86" s="11"/>
      <c r="AH86" s="11"/>
      <c r="AI86" s="11"/>
      <c r="AJ86" s="11"/>
      <c r="AK86" s="11"/>
      <c r="AL86" s="11"/>
    </row>
    <row r="87" spans="1:38" x14ac:dyDescent="0.25">
      <c r="A87" s="11"/>
      <c r="B87" s="96"/>
      <c r="C87" s="96"/>
      <c r="D87" s="96"/>
      <c r="E87" s="10"/>
      <c r="F87" s="10"/>
      <c r="G87" s="10"/>
      <c r="H87" s="96"/>
      <c r="I87" s="11"/>
      <c r="J87" s="96"/>
      <c r="K87" s="96"/>
      <c r="L87" s="12"/>
      <c r="M87" s="12"/>
      <c r="N87" s="12"/>
      <c r="O87" s="12"/>
      <c r="P87" s="11"/>
      <c r="Q87" s="13"/>
      <c r="R87" s="96"/>
      <c r="S87" s="96"/>
      <c r="T87" s="96"/>
      <c r="U87" s="96"/>
      <c r="V87" s="12"/>
      <c r="W87" s="11"/>
      <c r="X87" s="96"/>
      <c r="Y87" s="12"/>
      <c r="Z87" s="11"/>
      <c r="AA87" s="14"/>
      <c r="AB87" s="11"/>
      <c r="AC87" s="11"/>
      <c r="AD87" s="15"/>
      <c r="AE87" s="11"/>
      <c r="AF87" s="11"/>
      <c r="AG87" s="11"/>
      <c r="AH87" s="11"/>
      <c r="AI87" s="11"/>
      <c r="AJ87" s="11"/>
      <c r="AK87" s="11"/>
      <c r="AL87" s="11"/>
    </row>
    <row r="88" spans="1:38" x14ac:dyDescent="0.25">
      <c r="A88" s="11"/>
      <c r="B88" s="96"/>
      <c r="C88" s="96"/>
      <c r="D88" s="96"/>
      <c r="E88" s="10"/>
      <c r="F88" s="10"/>
      <c r="G88" s="10"/>
      <c r="H88" s="96"/>
      <c r="I88" s="11"/>
      <c r="J88" s="96"/>
      <c r="K88" s="96"/>
      <c r="L88" s="12"/>
      <c r="M88" s="12"/>
      <c r="N88" s="12"/>
      <c r="O88" s="12"/>
      <c r="P88" s="11"/>
      <c r="Q88" s="13"/>
      <c r="R88" s="96"/>
      <c r="S88" s="96"/>
      <c r="T88" s="96"/>
      <c r="U88" s="96"/>
      <c r="V88" s="12"/>
      <c r="W88" s="11"/>
      <c r="X88" s="96"/>
      <c r="Y88" s="12"/>
      <c r="Z88" s="11"/>
      <c r="AA88" s="14"/>
      <c r="AB88" s="11"/>
      <c r="AC88" s="11"/>
      <c r="AD88" s="15"/>
      <c r="AE88" s="11"/>
      <c r="AF88" s="11"/>
      <c r="AG88" s="11"/>
      <c r="AH88" s="11"/>
      <c r="AI88" s="11"/>
      <c r="AJ88" s="11"/>
      <c r="AK88" s="11"/>
      <c r="AL88" s="1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7E87-F563-42B1-B8D9-4848BC69C6E1}">
  <dimension ref="A1:AL88"/>
  <sheetViews>
    <sheetView tabSelected="1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A6" sqref="A6:AD6"/>
    </sheetView>
  </sheetViews>
  <sheetFormatPr baseColWidth="10" defaultColWidth="1.375" defaultRowHeight="15" x14ac:dyDescent="0.25"/>
  <cols>
    <col min="1" max="1" width="11.125" style="95" customWidth="1"/>
    <col min="2" max="2" width="12.75" style="95" bestFit="1" customWidth="1"/>
    <col min="3" max="3" width="11.75" style="95" bestFit="1" customWidth="1"/>
    <col min="4" max="4" width="8.5" style="95" bestFit="1" customWidth="1"/>
    <col min="5" max="6" width="12.125" style="95" bestFit="1" customWidth="1"/>
    <col min="7" max="7" width="10.625" style="95" bestFit="1" customWidth="1"/>
    <col min="8" max="8" width="7.625" style="95" bestFit="1" customWidth="1"/>
    <col min="9" max="9" width="11.5" style="95" bestFit="1" customWidth="1"/>
    <col min="10" max="10" width="8.375" style="95" bestFit="1" customWidth="1"/>
    <col min="11" max="11" width="7.625" style="95" bestFit="1" customWidth="1"/>
    <col min="12" max="15" width="9.25" style="95" bestFit="1" customWidth="1"/>
    <col min="16" max="16" width="8.625" style="95" bestFit="1" customWidth="1"/>
    <col min="17" max="17" width="7.375" style="95" bestFit="1" customWidth="1"/>
    <col min="18" max="18" width="11" style="95" bestFit="1" customWidth="1"/>
    <col min="19" max="19" width="9.875" style="95" bestFit="1" customWidth="1"/>
    <col min="20" max="20" width="10" style="95" bestFit="1" customWidth="1"/>
    <col min="21" max="21" width="9.125" style="95" bestFit="1" customWidth="1"/>
    <col min="22" max="22" width="11" style="95" bestFit="1" customWidth="1"/>
    <col min="23" max="23" width="7.5" style="95" bestFit="1" customWidth="1"/>
    <col min="24" max="24" width="8.625" style="95" bestFit="1" customWidth="1"/>
    <col min="25" max="25" width="10.125" style="95" bestFit="1" customWidth="1"/>
    <col min="26" max="26" width="8.875" style="95" bestFit="1" customWidth="1"/>
    <col min="27" max="27" width="7.375" style="95" bestFit="1" customWidth="1"/>
    <col min="28" max="28" width="9.25" style="95" bestFit="1" customWidth="1"/>
    <col min="29" max="29" width="12.375" style="95" bestFit="1" customWidth="1"/>
    <col min="30" max="30" width="10.125" style="95" bestFit="1" customWidth="1"/>
    <col min="31" max="31" width="9.25" style="95" bestFit="1" customWidth="1"/>
    <col min="32" max="32" width="10.125" style="95" bestFit="1" customWidth="1"/>
    <col min="33" max="33" width="13.875" style="95" bestFit="1" customWidth="1"/>
    <col min="34" max="34" width="13" style="95" bestFit="1" customWidth="1"/>
    <col min="35" max="35" width="14" style="95" bestFit="1" customWidth="1"/>
    <col min="36" max="36" width="13.125" style="95" bestFit="1" customWidth="1"/>
    <col min="37" max="37" width="9.625" style="95" bestFit="1" customWidth="1"/>
    <col min="38" max="38" width="12.625" style="95" bestFit="1" customWidth="1"/>
    <col min="39" max="16384" width="1.375" style="95"/>
  </cols>
  <sheetData>
    <row r="1" spans="1:38" ht="83.25" customHeight="1" x14ac:dyDescent="0.25">
      <c r="A1" s="1" t="s">
        <v>28</v>
      </c>
      <c r="B1" s="94" t="s">
        <v>53</v>
      </c>
      <c r="C1" s="94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94" t="s">
        <v>6</v>
      </c>
      <c r="J1" s="94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94" t="s">
        <v>14</v>
      </c>
      <c r="R1" s="94" t="s">
        <v>15</v>
      </c>
      <c r="S1" s="94" t="s">
        <v>16</v>
      </c>
      <c r="T1" s="94" t="s">
        <v>17</v>
      </c>
      <c r="U1" s="2" t="s">
        <v>18</v>
      </c>
      <c r="V1" s="2" t="s">
        <v>19</v>
      </c>
      <c r="W1" s="94" t="s">
        <v>20</v>
      </c>
      <c r="X1" s="2" t="s">
        <v>21</v>
      </c>
      <c r="Y1" s="2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/>
    </row>
    <row r="2" spans="1:38" x14ac:dyDescent="0.25">
      <c r="A2" s="70" t="s">
        <v>49</v>
      </c>
      <c r="B2" s="21">
        <v>17</v>
      </c>
      <c r="C2" s="21">
        <v>18</v>
      </c>
      <c r="D2" s="21">
        <v>323070</v>
      </c>
      <c r="E2" s="22">
        <v>2379460</v>
      </c>
      <c r="F2" s="22">
        <v>-2056390</v>
      </c>
      <c r="G2" s="22">
        <v>5283</v>
      </c>
      <c r="H2" s="21">
        <v>35.434412265758091</v>
      </c>
      <c r="I2" s="23">
        <v>1872</v>
      </c>
      <c r="J2" s="21">
        <v>3386</v>
      </c>
      <c r="K2" s="21">
        <v>11980</v>
      </c>
      <c r="L2" s="24">
        <v>-5290</v>
      </c>
      <c r="M2" s="24">
        <v>1271.0791015625</v>
      </c>
      <c r="N2" s="24">
        <v>-607.32135009765625</v>
      </c>
      <c r="O2" s="24">
        <v>2.0929267534528671</v>
      </c>
      <c r="P2" s="23">
        <v>61.15275411697899</v>
      </c>
      <c r="Q2" s="25">
        <v>9</v>
      </c>
      <c r="R2" s="21">
        <v>17</v>
      </c>
      <c r="S2" s="21">
        <v>61</v>
      </c>
      <c r="T2" s="21">
        <v>23</v>
      </c>
      <c r="U2" s="21">
        <v>-38485</v>
      </c>
      <c r="V2" s="24">
        <v>1.157105412883743</v>
      </c>
      <c r="W2" s="23">
        <v>1</v>
      </c>
      <c r="X2" s="21">
        <v>38485</v>
      </c>
      <c r="Y2" s="24">
        <v>839.46992334675849</v>
      </c>
      <c r="Z2" s="23">
        <v>15714.876965051319</v>
      </c>
      <c r="AA2" s="87">
        <v>2.4108133126894828</v>
      </c>
      <c r="AB2" s="23">
        <v>3.0341434196127461</v>
      </c>
      <c r="AC2" s="23">
        <v>313642.68405653536</v>
      </c>
      <c r="AD2" s="82">
        <v>136.51941860213759</v>
      </c>
      <c r="AE2" s="5">
        <f>(Opti_Salidas__30_ALL_Data_1[[#This Row],[All: TS Index]]-Z$47) /ABS(Z$47)</f>
        <v>-2.7914359956406906E-3</v>
      </c>
      <c r="AF2" s="5">
        <f>(Opti_Salidas__30_ALL_Data_1[[#This Row],[All: Expectancy Score]]-AA$47) /ABS(AA$47)</f>
        <v>-0.91134204781553763</v>
      </c>
      <c r="AG2" s="5"/>
      <c r="AH2" s="5">
        <f>(Opti_Salidas__30_ALL_Data_1[[#This Row],[All: Perfect Profit Correlation]]-AC$47) /ABS(AC$47)</f>
        <v>0</v>
      </c>
      <c r="AI2" s="5">
        <f>(Opti_Salidas__30_ALL_Data_1[[#This Row],[All: Robustness Index]]-AD$47) /ABS(AD$47)</f>
        <v>-0.48353664849117911</v>
      </c>
      <c r="AJ2" s="11">
        <f>SUM(Opti_Salidas__30_ALL_Data_1[[#This Row],[VAR TS Index]:[VAR Robustness Index]])</f>
        <v>-1.3976701323023575</v>
      </c>
      <c r="AK2" s="11">
        <f>Opti_Salidas__30_ALL_Data_1[[#This Row],[SUMA]]-Opti_Salidas__30_ALL_Data_1[[#This Row],[VAR Robustness Index]]</f>
        <v>-0.91413348381117832</v>
      </c>
      <c r="AL2" s="11"/>
    </row>
    <row r="3" spans="1:38" x14ac:dyDescent="0.25">
      <c r="A3" s="70" t="s">
        <v>50</v>
      </c>
      <c r="B3" s="26">
        <v>6</v>
      </c>
      <c r="C3" s="26">
        <v>7</v>
      </c>
      <c r="D3" s="26">
        <v>316300</v>
      </c>
      <c r="E3" s="27">
        <v>2398770</v>
      </c>
      <c r="F3" s="27">
        <v>-2082470</v>
      </c>
      <c r="G3" s="27">
        <v>5283</v>
      </c>
      <c r="H3" s="26">
        <v>35.86977096346773</v>
      </c>
      <c r="I3" s="28">
        <v>1895</v>
      </c>
      <c r="J3" s="26">
        <v>3362</v>
      </c>
      <c r="K3" s="26">
        <v>11410</v>
      </c>
      <c r="L3" s="29">
        <v>-5640</v>
      </c>
      <c r="M3" s="29">
        <v>1265.8416748046875</v>
      </c>
      <c r="N3" s="29">
        <v>-619.4140625</v>
      </c>
      <c r="O3" s="29">
        <v>2.0436114570851989</v>
      </c>
      <c r="P3" s="28">
        <v>59.871285254590198</v>
      </c>
      <c r="Q3" s="30">
        <v>9</v>
      </c>
      <c r="R3" s="26">
        <v>17</v>
      </c>
      <c r="S3" s="26">
        <v>60</v>
      </c>
      <c r="T3" s="26">
        <v>24</v>
      </c>
      <c r="U3" s="26">
        <v>-38035</v>
      </c>
      <c r="V3" s="29">
        <v>1.1518869419487441</v>
      </c>
      <c r="W3" s="28">
        <v>1</v>
      </c>
      <c r="X3" s="26">
        <v>38035</v>
      </c>
      <c r="Y3" s="29">
        <v>831.60247140791375</v>
      </c>
      <c r="Z3" s="28">
        <v>15758.866833179965</v>
      </c>
      <c r="AA3" s="85">
        <v>2.4278687741686542</v>
      </c>
      <c r="AB3" s="28">
        <v>2.971112219701193</v>
      </c>
      <c r="AC3" s="28">
        <v>306193.66992668429</v>
      </c>
      <c r="AD3" s="83">
        <v>122.65589986317012</v>
      </c>
      <c r="AE3" s="11">
        <f>(Opti_Salidas__30_ALL_Data_1[[#This Row],[All: TS Index]]-Z$47) /ABS(Z$47)</f>
        <v>0</v>
      </c>
      <c r="AF3" s="11">
        <f>(Opti_Salidas__30_ALL_Data_1[[#This Row],[All: Expectancy Score]]-AA$47) /ABS(AA$47)</f>
        <v>-0.91071483114954976</v>
      </c>
      <c r="AG3" s="11"/>
      <c r="AH3" s="11">
        <f>(Opti_Salidas__30_ALL_Data_1[[#This Row],[All: Perfect Profit Correlation]]-AC$47) /ABS(AC$47)</f>
        <v>-2.3750001222755626E-2</v>
      </c>
      <c r="AI3" s="11">
        <f>(Opti_Salidas__30_ALL_Data_1[[#This Row],[All: Robustness Index]]-AD$47) /ABS(AD$47)</f>
        <v>-0.53598339507819071</v>
      </c>
      <c r="AJ3" s="11">
        <f>SUM(Opti_Salidas__30_ALL_Data_1[[#This Row],[VAR TS Index]:[VAR Robustness Index]])</f>
        <v>-1.470448227450496</v>
      </c>
      <c r="AK3" s="11">
        <f>Opti_Salidas__30_ALL_Data_1[[#This Row],[SUMA]]-Opti_Salidas__30_ALL_Data_1[[#This Row],[VAR Robustness Index]]</f>
        <v>-0.93446483237230527</v>
      </c>
      <c r="AL3" s="11"/>
    </row>
    <row r="4" spans="1:38" x14ac:dyDescent="0.25">
      <c r="A4" s="70" t="s">
        <v>51</v>
      </c>
      <c r="B4" s="31">
        <v>20</v>
      </c>
      <c r="C4" s="31">
        <v>21</v>
      </c>
      <c r="D4" s="31">
        <v>149110</v>
      </c>
      <c r="E4" s="32">
        <v>1793320</v>
      </c>
      <c r="F4" s="32">
        <v>-1644210</v>
      </c>
      <c r="G4" s="32">
        <v>5283</v>
      </c>
      <c r="H4" s="31">
        <v>30.550823395797842</v>
      </c>
      <c r="I4" s="33">
        <v>1614</v>
      </c>
      <c r="J4" s="31">
        <v>3644</v>
      </c>
      <c r="K4" s="31">
        <v>15660</v>
      </c>
      <c r="L4" s="34">
        <v>-3940</v>
      </c>
      <c r="M4" s="34">
        <v>1111.1029052734375</v>
      </c>
      <c r="N4" s="34">
        <v>-451.210205078125</v>
      </c>
      <c r="O4" s="34">
        <v>2.4624950694123928</v>
      </c>
      <c r="P4" s="33">
        <v>28.224493658905924</v>
      </c>
      <c r="Q4" s="35">
        <v>6</v>
      </c>
      <c r="R4" s="31">
        <v>21</v>
      </c>
      <c r="S4" s="31">
        <v>47</v>
      </c>
      <c r="T4" s="31">
        <v>16</v>
      </c>
      <c r="U4" s="31">
        <v>-35995</v>
      </c>
      <c r="V4" s="34">
        <v>1.090687929157468</v>
      </c>
      <c r="W4" s="33">
        <v>1</v>
      </c>
      <c r="X4" s="31">
        <v>35995</v>
      </c>
      <c r="Y4" s="34">
        <v>414.25197944158913</v>
      </c>
      <c r="Z4" s="33">
        <v>6686.0269481872483</v>
      </c>
      <c r="AA4" s="89">
        <v>27.192296385027348</v>
      </c>
      <c r="AB4" s="33">
        <v>1.3170942029227319</v>
      </c>
      <c r="AC4" s="33">
        <v>145556.78613294696</v>
      </c>
      <c r="AD4" s="84">
        <v>144.51765322177073</v>
      </c>
      <c r="AE4" s="11">
        <f>(Opti_Salidas__30_ALL_Data_1[[#This Row],[All: TS Index]]-Z$47) /ABS(Z$47)</f>
        <v>-0.57572920572499808</v>
      </c>
      <c r="AF4" s="11">
        <f>(Opti_Salidas__30_ALL_Data_1[[#This Row],[All: Expectancy Score]]-AA$47) /ABS(AA$47)</f>
        <v>0</v>
      </c>
      <c r="AG4" s="11"/>
      <c r="AH4" s="11">
        <f>(Opti_Salidas__30_ALL_Data_1[[#This Row],[All: Perfect Profit Correlation]]-AC$47) /ABS(AC$47)</f>
        <v>-0.53591525155195474</v>
      </c>
      <c r="AI4" s="11">
        <f>(Opti_Salidas__30_ALL_Data_1[[#This Row],[All: Robustness Index]]-AD$47) /ABS(AD$47)</f>
        <v>-0.45327871815345838</v>
      </c>
      <c r="AJ4" s="11">
        <f>SUM(Opti_Salidas__30_ALL_Data_1[[#This Row],[VAR TS Index]:[VAR Robustness Index]])</f>
        <v>-1.5649231754304112</v>
      </c>
      <c r="AK4" s="11">
        <f>Opti_Salidas__30_ALL_Data_1[[#This Row],[SUMA]]-Opti_Salidas__30_ALL_Data_1[[#This Row],[VAR Robustness Index]]</f>
        <v>-1.1116444572769528</v>
      </c>
      <c r="AL4" s="11"/>
    </row>
    <row r="5" spans="1:38" x14ac:dyDescent="0.25">
      <c r="A5" s="70" t="s">
        <v>54</v>
      </c>
      <c r="B5" s="72">
        <v>26</v>
      </c>
      <c r="C5" s="72">
        <v>27</v>
      </c>
      <c r="D5" s="72">
        <v>284700</v>
      </c>
      <c r="E5" s="73">
        <v>2354010</v>
      </c>
      <c r="F5" s="73">
        <v>-2069310</v>
      </c>
      <c r="G5" s="73">
        <v>5283</v>
      </c>
      <c r="H5" s="72">
        <v>35.926556880560291</v>
      </c>
      <c r="I5" s="71">
        <v>1898</v>
      </c>
      <c r="J5" s="72">
        <v>3360</v>
      </c>
      <c r="K5" s="72">
        <v>4100</v>
      </c>
      <c r="L5" s="74">
        <v>-5640</v>
      </c>
      <c r="M5" s="74">
        <v>1240.2581787109375</v>
      </c>
      <c r="N5" s="74">
        <v>-615.8660888671875</v>
      </c>
      <c r="O5" s="74">
        <v>2.0138439201811629</v>
      </c>
      <c r="P5" s="71">
        <v>53.889835320840433</v>
      </c>
      <c r="Q5" s="75">
        <v>9</v>
      </c>
      <c r="R5" s="72">
        <v>17</v>
      </c>
      <c r="S5" s="72">
        <v>57</v>
      </c>
      <c r="T5" s="72">
        <v>24</v>
      </c>
      <c r="U5" s="72">
        <v>-37555</v>
      </c>
      <c r="V5" s="74">
        <v>1.1375820925815849</v>
      </c>
      <c r="W5" s="71">
        <v>1</v>
      </c>
      <c r="X5" s="72">
        <v>37555</v>
      </c>
      <c r="Y5" s="74">
        <v>758.08813739848222</v>
      </c>
      <c r="Z5" s="71">
        <v>14388.512847823193</v>
      </c>
      <c r="AA5" s="90">
        <v>1.37793705516673</v>
      </c>
      <c r="AB5" s="71">
        <v>2.6636584991415848</v>
      </c>
      <c r="AC5" s="71">
        <v>272402.45047244412</v>
      </c>
      <c r="AD5" s="91">
        <v>111.16855349503747</v>
      </c>
      <c r="AE5" s="11">
        <f>(Opti_Salidas__30_ALL_Data_1[[#This Row],[All: TS Index]]-Z$47) /ABS(Z$47)</f>
        <v>-8.6957647390707118E-2</v>
      </c>
      <c r="AF5" s="11">
        <f>(Opti_Salidas__30_ALL_Data_1[[#This Row],[All: Expectancy Score]]-AA$47) /ABS(AA$47)</f>
        <v>-0.94932619755036762</v>
      </c>
      <c r="AG5" s="11"/>
      <c r="AH5" s="11">
        <f>(Opti_Salidas__30_ALL_Data_1[[#This Row],[All: Perfect Profit Correlation]]-AC$47) /ABS(AC$47)</f>
        <v>-0.13148795007970765</v>
      </c>
      <c r="AI5" s="11">
        <f>(Opti_Salidas__30_ALL_Data_1[[#This Row],[All: Robustness Index]]-AD$47) /ABS(AD$47)</f>
        <v>-0.57944090072812748</v>
      </c>
      <c r="AJ5" s="11">
        <f>SUM(Opti_Salidas__30_ALL_Data_1[[#This Row],[VAR TS Index]:[VAR Robustness Index]])</f>
        <v>-1.7472126957489098</v>
      </c>
      <c r="AK5" s="11">
        <f>Opti_Salidas__30_ALL_Data_1[[#This Row],[SUMA]]-Opti_Salidas__30_ALL_Data_1[[#This Row],[VAR Robustness Index]]</f>
        <v>-1.1677717950207822</v>
      </c>
      <c r="AL5" s="11"/>
    </row>
    <row r="6" spans="1:38" x14ac:dyDescent="0.25">
      <c r="A6" s="70" t="s">
        <v>55</v>
      </c>
      <c r="B6" s="76">
        <v>24</v>
      </c>
      <c r="C6" s="76">
        <v>25</v>
      </c>
      <c r="D6" s="76">
        <v>286010</v>
      </c>
      <c r="E6" s="77">
        <v>2360990</v>
      </c>
      <c r="F6" s="77">
        <v>-2074980</v>
      </c>
      <c r="G6" s="77">
        <v>5283</v>
      </c>
      <c r="H6" s="76">
        <v>35.510126821881506</v>
      </c>
      <c r="I6" s="70">
        <v>1876</v>
      </c>
      <c r="J6" s="76">
        <v>3381</v>
      </c>
      <c r="K6" s="76">
        <v>6460</v>
      </c>
      <c r="L6" s="78">
        <v>-5640</v>
      </c>
      <c r="M6" s="78">
        <v>1258.5234375</v>
      </c>
      <c r="N6" s="78">
        <v>-613.71783447265625</v>
      </c>
      <c r="O6" s="78">
        <v>2.0506548234522142</v>
      </c>
      <c r="P6" s="70">
        <v>54.137800492144613</v>
      </c>
      <c r="Q6" s="79">
        <v>9</v>
      </c>
      <c r="R6" s="76">
        <v>17</v>
      </c>
      <c r="S6" s="76">
        <v>65</v>
      </c>
      <c r="T6" s="76">
        <v>24</v>
      </c>
      <c r="U6" s="76">
        <v>-41635</v>
      </c>
      <c r="V6" s="78">
        <v>1.1378374731322709</v>
      </c>
      <c r="W6" s="70">
        <v>1</v>
      </c>
      <c r="X6" s="76">
        <v>41635</v>
      </c>
      <c r="Y6" s="78">
        <v>686.94607902005521</v>
      </c>
      <c r="Z6" s="70">
        <v>12887.108442416236</v>
      </c>
      <c r="AA6" s="92">
        <v>1.265355714457826</v>
      </c>
      <c r="AB6" s="70">
        <v>2.6718526812289118</v>
      </c>
      <c r="AC6" s="70">
        <v>273199.9251329109</v>
      </c>
      <c r="AD6" s="93">
        <v>103.02043721358893</v>
      </c>
      <c r="AE6" s="11">
        <f>(Opti_Salidas__30_ALL_Data_1[[#This Row],[All: TS Index]]-Z$47) /ABS(Z$47)</f>
        <v>-0.18223127469529102</v>
      </c>
      <c r="AF6" s="11">
        <f>(Opti_Salidas__30_ALL_Data_1[[#This Row],[All: Expectancy Score]]-AA$47) /ABS(AA$47)</f>
        <v>-0.95346639001939693</v>
      </c>
      <c r="AG6" s="11"/>
      <c r="AH6" s="11">
        <f>(Opti_Salidas__30_ALL_Data_1[[#This Row],[All: Perfect Profit Correlation]]-AC$47) /ABS(AC$47)</f>
        <v>-0.12894532848830773</v>
      </c>
      <c r="AI6" s="11">
        <f>(Opti_Salidas__30_ALL_Data_1[[#This Row],[All: Robustness Index]]-AD$47) /ABS(AD$47)</f>
        <v>-0.61026584480047663</v>
      </c>
      <c r="AJ6" s="11">
        <f>SUM(Opti_Salidas__30_ALL_Data_1[[#This Row],[VAR TS Index]:[VAR Robustness Index]])</f>
        <v>-1.8749088380034724</v>
      </c>
      <c r="AK6" s="11">
        <f>Opti_Salidas__30_ALL_Data_1[[#This Row],[SUMA]]-Opti_Salidas__30_ALL_Data_1[[#This Row],[VAR Robustness Index]]</f>
        <v>-1.2646429932029957</v>
      </c>
      <c r="AL6" s="11"/>
    </row>
    <row r="7" spans="1:38" x14ac:dyDescent="0.25">
      <c r="A7" s="11"/>
      <c r="B7" s="96">
        <v>9</v>
      </c>
      <c r="C7" s="96">
        <v>10</v>
      </c>
      <c r="D7" s="96">
        <v>286110</v>
      </c>
      <c r="E7" s="10">
        <v>2349180</v>
      </c>
      <c r="F7" s="10">
        <v>-2063070</v>
      </c>
      <c r="G7" s="10">
        <v>5283</v>
      </c>
      <c r="H7" s="96">
        <v>36.040128714745407</v>
      </c>
      <c r="I7" s="11">
        <v>1904</v>
      </c>
      <c r="J7" s="96">
        <v>3355</v>
      </c>
      <c r="K7" s="96">
        <v>22940</v>
      </c>
      <c r="L7" s="12">
        <v>-5640</v>
      </c>
      <c r="M7" s="12">
        <v>1233.81298828125</v>
      </c>
      <c r="N7" s="12">
        <v>-614.92401123046875</v>
      </c>
      <c r="O7" s="12">
        <v>2.0064478955901861</v>
      </c>
      <c r="P7" s="11">
        <v>54.156729131175467</v>
      </c>
      <c r="Q7" s="13">
        <v>9</v>
      </c>
      <c r="R7" s="96">
        <v>17</v>
      </c>
      <c r="S7" s="96">
        <v>60</v>
      </c>
      <c r="T7" s="96">
        <v>23</v>
      </c>
      <c r="U7" s="96">
        <v>-44765</v>
      </c>
      <c r="V7" s="12">
        <v>1.138681673428434</v>
      </c>
      <c r="W7" s="11">
        <v>1</v>
      </c>
      <c r="X7" s="96">
        <v>44765</v>
      </c>
      <c r="Y7" s="12">
        <v>639.13771920026807</v>
      </c>
      <c r="Z7" s="11">
        <v>12169.182173573105</v>
      </c>
      <c r="AA7" s="86">
        <v>0.78319420879653301</v>
      </c>
      <c r="AB7" s="11">
        <v>2.6789060569962651</v>
      </c>
      <c r="AC7" s="11">
        <v>274887.37611870677</v>
      </c>
      <c r="AD7" s="81">
        <v>116.90700371547173</v>
      </c>
      <c r="AE7" s="11">
        <f>(Opti_Salidas__30_ALL_Data_1[[#This Row],[All: TS Index]]-Z$47) /ABS(Z$47)</f>
        <v>-0.22778824756922589</v>
      </c>
      <c r="AF7" s="11">
        <f>(Opti_Salidas__30_ALL_Data_1[[#This Row],[All: Expectancy Score]]-AA$47) /ABS(AA$47)</f>
        <v>-0.97119793791201181</v>
      </c>
      <c r="AG7" s="11"/>
      <c r="AH7" s="11">
        <f>(Opti_Salidas__30_ALL_Data_1[[#This Row],[All: Perfect Profit Correlation]]-AC$47) /ABS(AC$47)</f>
        <v>-0.12356515840440516</v>
      </c>
      <c r="AI7" s="11">
        <f>(Opti_Salidas__30_ALL_Data_1[[#This Row],[All: Robustness Index]]-AD$47) /ABS(AD$47)</f>
        <v>-0.55773190677211604</v>
      </c>
      <c r="AJ7" s="11">
        <f>SUM(Opti_Salidas__30_ALL_Data_1[[#This Row],[VAR TS Index]:[VAR Robustness Index]])</f>
        <v>-1.8802832506577587</v>
      </c>
      <c r="AK7" s="11">
        <f>Opti_Salidas__30_ALL_Data_1[[#This Row],[SUMA]]-Opti_Salidas__30_ALL_Data_1[[#This Row],[VAR Robustness Index]]</f>
        <v>-1.3225513438856427</v>
      </c>
      <c r="AL7" s="11"/>
    </row>
    <row r="8" spans="1:38" x14ac:dyDescent="0.25">
      <c r="A8" s="71" t="s">
        <v>56</v>
      </c>
      <c r="B8" s="72">
        <v>19</v>
      </c>
      <c r="C8" s="72">
        <v>20</v>
      </c>
      <c r="D8" s="72">
        <v>272680</v>
      </c>
      <c r="E8" s="73">
        <v>2321740</v>
      </c>
      <c r="F8" s="73">
        <v>-2049060</v>
      </c>
      <c r="G8" s="73">
        <v>5283</v>
      </c>
      <c r="H8" s="72">
        <v>36.267272383115653</v>
      </c>
      <c r="I8" s="71">
        <v>1916</v>
      </c>
      <c r="J8" s="72">
        <v>3346</v>
      </c>
      <c r="K8" s="72">
        <v>16960</v>
      </c>
      <c r="L8" s="74">
        <v>-5640</v>
      </c>
      <c r="M8" s="74">
        <v>1211.7640380859375</v>
      </c>
      <c r="N8" s="74">
        <v>-612.39093017578125</v>
      </c>
      <c r="O8" s="74">
        <v>1.9787426272595381</v>
      </c>
      <c r="P8" s="71">
        <v>51.614612909331818</v>
      </c>
      <c r="Q8" s="75">
        <v>9</v>
      </c>
      <c r="R8" s="72">
        <v>17</v>
      </c>
      <c r="S8" s="72">
        <v>53</v>
      </c>
      <c r="T8" s="72">
        <v>23</v>
      </c>
      <c r="U8" s="72">
        <v>-43465</v>
      </c>
      <c r="V8" s="74">
        <v>1.133075654202415</v>
      </c>
      <c r="W8" s="71">
        <v>1</v>
      </c>
      <c r="X8" s="72">
        <v>43465</v>
      </c>
      <c r="Y8" s="74">
        <v>627.35534337973081</v>
      </c>
      <c r="Z8" s="71">
        <v>12020.128379155642</v>
      </c>
      <c r="AA8" s="90">
        <v>2.1521420219831642</v>
      </c>
      <c r="AB8" s="71">
        <v>2.5506201525766659</v>
      </c>
      <c r="AC8" s="71">
        <v>261000.6348902217</v>
      </c>
      <c r="AD8" s="91">
        <v>120.14241558465027</v>
      </c>
      <c r="AE8" s="11">
        <f>(Opti_Salidas__30_ALL_Data_1[[#This Row],[All: TS Index]]-Z$47) /ABS(Z$47)</f>
        <v>-0.2372466557146411</v>
      </c>
      <c r="AF8" s="11">
        <f>(Opti_Salidas__30_ALL_Data_1[[#This Row],[All: Expectancy Score]]-AA$47) /ABS(AA$47)</f>
        <v>-0.92085471592725876</v>
      </c>
      <c r="AG8" s="11"/>
      <c r="AH8" s="11">
        <f>(Opti_Salidas__30_ALL_Data_1[[#This Row],[All: Perfect Profit Correlation]]-AC$47) /ABS(AC$47)</f>
        <v>-0.1678408323939248</v>
      </c>
      <c r="AI8" s="11">
        <f>(Opti_Salidas__30_ALL_Data_1[[#This Row],[All: Robustness Index]]-AD$47) /ABS(AD$47)</f>
        <v>-0.54549209741329407</v>
      </c>
      <c r="AJ8" s="11">
        <f>SUM(Opti_Salidas__30_ALL_Data_1[[#This Row],[VAR TS Index]:[VAR Robustness Index]])</f>
        <v>-1.8714343014491188</v>
      </c>
      <c r="AK8" s="11">
        <f>Opti_Salidas__30_ALL_Data_1[[#This Row],[SUMA]]-Opti_Salidas__30_ALL_Data_1[[#This Row],[VAR Robustness Index]]</f>
        <v>-1.3259422040358246</v>
      </c>
      <c r="AL8" s="11"/>
    </row>
    <row r="9" spans="1:38" x14ac:dyDescent="0.25">
      <c r="A9" s="11"/>
      <c r="B9" s="96">
        <v>29</v>
      </c>
      <c r="C9" s="96">
        <v>30</v>
      </c>
      <c r="D9" s="96">
        <v>272850</v>
      </c>
      <c r="E9" s="10">
        <v>2355450</v>
      </c>
      <c r="F9" s="10">
        <v>-2082600</v>
      </c>
      <c r="G9" s="10">
        <v>5283</v>
      </c>
      <c r="H9" s="96">
        <v>35.77512776831346</v>
      </c>
      <c r="I9" s="11">
        <v>1890</v>
      </c>
      <c r="J9" s="96">
        <v>3367</v>
      </c>
      <c r="K9" s="96">
        <v>8220</v>
      </c>
      <c r="L9" s="12">
        <v>-6540</v>
      </c>
      <c r="M9" s="12">
        <v>1246.2698974609375</v>
      </c>
      <c r="N9" s="12">
        <v>-618.5328369140625</v>
      </c>
      <c r="O9" s="12">
        <v>2.0148807356432901</v>
      </c>
      <c r="P9" s="11">
        <v>51.64679159568427</v>
      </c>
      <c r="Q9" s="13">
        <v>9</v>
      </c>
      <c r="R9" s="96">
        <v>17</v>
      </c>
      <c r="S9" s="96">
        <v>67</v>
      </c>
      <c r="T9" s="96">
        <v>24</v>
      </c>
      <c r="U9" s="96">
        <v>-45225</v>
      </c>
      <c r="V9" s="12">
        <v>1.131014116969173</v>
      </c>
      <c r="W9" s="11">
        <v>1</v>
      </c>
      <c r="X9" s="96">
        <v>45225</v>
      </c>
      <c r="Y9" s="12">
        <v>603.31674958540634</v>
      </c>
      <c r="Z9" s="11">
        <v>11402.686567164179</v>
      </c>
      <c r="AA9" s="86">
        <v>1.1548955691512319</v>
      </c>
      <c r="AB9" s="11">
        <v>2.54560399056728</v>
      </c>
      <c r="AC9" s="11">
        <v>262267.49315380689</v>
      </c>
      <c r="AD9" s="81">
        <v>91.125178867503195</v>
      </c>
      <c r="AE9" s="11">
        <f>(Opti_Salidas__30_ALL_Data_1[[#This Row],[All: TS Index]]-Z$47) /ABS(Z$47)</f>
        <v>-0.27642725280500119</v>
      </c>
      <c r="AF9" s="11">
        <f>(Opti_Salidas__30_ALL_Data_1[[#This Row],[All: Expectancy Score]]-AA$47) /ABS(AA$47)</f>
        <v>-0.95752857527004809</v>
      </c>
      <c r="AG9" s="11"/>
      <c r="AH9" s="11">
        <f>(Opti_Salidas__30_ALL_Data_1[[#This Row],[All: Perfect Profit Correlation]]-AC$47) /ABS(AC$47)</f>
        <v>-0.16380165555995524</v>
      </c>
      <c r="AI9" s="11">
        <f>(Opti_Salidas__30_ALL_Data_1[[#This Row],[All: Robustness Index]]-AD$47) /ABS(AD$47)</f>
        <v>-0.65526651251051704</v>
      </c>
      <c r="AJ9" s="11">
        <f>SUM(Opti_Salidas__30_ALL_Data_1[[#This Row],[VAR TS Index]:[VAR Robustness Index]])</f>
        <v>-2.0530239961455217</v>
      </c>
      <c r="AK9" s="11">
        <f>Opti_Salidas__30_ALL_Data_1[[#This Row],[SUMA]]-Opti_Salidas__30_ALL_Data_1[[#This Row],[VAR Robustness Index]]</f>
        <v>-1.3977574836350046</v>
      </c>
      <c r="AL9" s="11"/>
    </row>
    <row r="10" spans="1:38" x14ac:dyDescent="0.25">
      <c r="A10" s="11"/>
      <c r="B10" s="96">
        <v>4</v>
      </c>
      <c r="C10" s="96">
        <v>5</v>
      </c>
      <c r="D10" s="96">
        <v>261090</v>
      </c>
      <c r="E10" s="10">
        <v>2347890</v>
      </c>
      <c r="F10" s="10">
        <v>-2086800</v>
      </c>
      <c r="G10" s="10">
        <v>5283</v>
      </c>
      <c r="H10" s="96">
        <v>35.794056407344314</v>
      </c>
      <c r="I10" s="11">
        <v>1891</v>
      </c>
      <c r="J10" s="96">
        <v>3366</v>
      </c>
      <c r="K10" s="96">
        <v>7470</v>
      </c>
      <c r="L10" s="12">
        <v>-5640</v>
      </c>
      <c r="M10" s="12">
        <v>1241.6129150390625</v>
      </c>
      <c r="N10" s="12">
        <v>-619.96435546875</v>
      </c>
      <c r="O10" s="12">
        <v>2.0027166144096928</v>
      </c>
      <c r="P10" s="11">
        <v>49.420783645655881</v>
      </c>
      <c r="Q10" s="13">
        <v>9</v>
      </c>
      <c r="R10" s="96">
        <v>17</v>
      </c>
      <c r="S10" s="96">
        <v>68</v>
      </c>
      <c r="T10" s="96">
        <v>24</v>
      </c>
      <c r="U10" s="96">
        <v>-45225</v>
      </c>
      <c r="V10" s="12">
        <v>1.125115008625647</v>
      </c>
      <c r="W10" s="11">
        <v>1</v>
      </c>
      <c r="X10" s="96">
        <v>45225</v>
      </c>
      <c r="Y10" s="12">
        <v>577.31343283582089</v>
      </c>
      <c r="Z10" s="11">
        <v>10916.997014925373</v>
      </c>
      <c r="AA10" s="86">
        <v>1.543727420941323</v>
      </c>
      <c r="AB10" s="11">
        <v>2.430663006386617</v>
      </c>
      <c r="AC10" s="11">
        <v>250042.30932706743</v>
      </c>
      <c r="AD10" s="81">
        <v>86.328904869802784</v>
      </c>
      <c r="AE10" s="11">
        <f>(Opti_Salidas__30_ALL_Data_1[[#This Row],[All: TS Index]]-Z$47) /ABS(Z$47)</f>
        <v>-0.3072473338032235</v>
      </c>
      <c r="AF10" s="11">
        <f>(Opti_Salidas__30_ALL_Data_1[[#This Row],[All: Expectancy Score]]-AA$47) /ABS(AA$47)</f>
        <v>-0.94322923672634973</v>
      </c>
      <c r="AG10" s="11"/>
      <c r="AH10" s="11">
        <f>(Opti_Salidas__30_ALL_Data_1[[#This Row],[All: Perfect Profit Correlation]]-AC$47) /ABS(AC$47)</f>
        <v>-0.20277971705536008</v>
      </c>
      <c r="AI10" s="11">
        <f>(Opti_Salidas__30_ALL_Data_1[[#This Row],[All: Robustness Index]]-AD$47) /ABS(AD$47)</f>
        <v>-0.67341118210383</v>
      </c>
      <c r="AJ10" s="11">
        <f>SUM(Opti_Salidas__30_ALL_Data_1[[#This Row],[VAR TS Index]:[VAR Robustness Index]])</f>
        <v>-2.1266674696887633</v>
      </c>
      <c r="AK10" s="11">
        <f>Opti_Salidas__30_ALL_Data_1[[#This Row],[SUMA]]-Opti_Salidas__30_ALL_Data_1[[#This Row],[VAR Robustness Index]]</f>
        <v>-1.4532562875849333</v>
      </c>
      <c r="AL10" s="11"/>
    </row>
    <row r="11" spans="1:38" x14ac:dyDescent="0.25">
      <c r="A11" s="11"/>
      <c r="B11" s="96">
        <v>16</v>
      </c>
      <c r="C11" s="96">
        <v>17</v>
      </c>
      <c r="D11" s="96">
        <v>228490</v>
      </c>
      <c r="E11" s="10">
        <v>2301780</v>
      </c>
      <c r="F11" s="10">
        <v>-2073290</v>
      </c>
      <c r="G11" s="10">
        <v>5283</v>
      </c>
      <c r="H11" s="96">
        <v>36.040128714745407</v>
      </c>
      <c r="I11" s="11">
        <v>1904</v>
      </c>
      <c r="J11" s="96">
        <v>3354</v>
      </c>
      <c r="K11" s="96">
        <v>3690</v>
      </c>
      <c r="L11" s="12">
        <v>-4990</v>
      </c>
      <c r="M11" s="12">
        <v>1208.9180908203125</v>
      </c>
      <c r="N11" s="12">
        <v>-618.1544189453125</v>
      </c>
      <c r="O11" s="12">
        <v>1.9556894746185809</v>
      </c>
      <c r="P11" s="11">
        <v>43.250047321597577</v>
      </c>
      <c r="Q11" s="13">
        <v>9</v>
      </c>
      <c r="R11" s="96">
        <v>17</v>
      </c>
      <c r="S11" s="96">
        <v>54</v>
      </c>
      <c r="T11" s="96">
        <v>24</v>
      </c>
      <c r="U11" s="96">
        <v>-40415</v>
      </c>
      <c r="V11" s="12">
        <v>1.1102064834152481</v>
      </c>
      <c r="W11" s="11">
        <v>1</v>
      </c>
      <c r="X11" s="96">
        <v>40415</v>
      </c>
      <c r="Y11" s="12">
        <v>565.35939626376341</v>
      </c>
      <c r="Z11" s="11">
        <v>10764.442904862057</v>
      </c>
      <c r="AA11" s="86">
        <v>1.9913213984601419</v>
      </c>
      <c r="AB11" s="11">
        <v>2.1153867216266811</v>
      </c>
      <c r="AC11" s="11">
        <v>216717.86767452871</v>
      </c>
      <c r="AD11" s="81">
        <v>103.75924446496177</v>
      </c>
      <c r="AE11" s="11">
        <f>(Opti_Salidas__30_ALL_Data_1[[#This Row],[All: TS Index]]-Z$47) /ABS(Z$47)</f>
        <v>-0.3169278591657525</v>
      </c>
      <c r="AF11" s="11">
        <f>(Opti_Salidas__30_ALL_Data_1[[#This Row],[All: Expectancy Score]]-AA$47) /ABS(AA$47)</f>
        <v>-0.92676891387677707</v>
      </c>
      <c r="AG11" s="11"/>
      <c r="AH11" s="11">
        <f>(Opti_Salidas__30_ALL_Data_1[[#This Row],[All: Perfect Profit Correlation]]-AC$47) /ABS(AC$47)</f>
        <v>-0.30902941885465934</v>
      </c>
      <c r="AI11" s="11">
        <f>(Opti_Salidas__30_ALL_Data_1[[#This Row],[All: Robustness Index]]-AD$47) /ABS(AD$47)</f>
        <v>-0.60747088073551048</v>
      </c>
      <c r="AJ11" s="11">
        <f>SUM(Opti_Salidas__30_ALL_Data_1[[#This Row],[VAR TS Index]:[VAR Robustness Index]])</f>
        <v>-2.1601970726326991</v>
      </c>
      <c r="AK11" s="11">
        <f>Opti_Salidas__30_ALL_Data_1[[#This Row],[SUMA]]-Opti_Salidas__30_ALL_Data_1[[#This Row],[VAR Robustness Index]]</f>
        <v>-1.5527261918971886</v>
      </c>
      <c r="AL11" s="11"/>
    </row>
    <row r="12" spans="1:38" x14ac:dyDescent="0.25">
      <c r="A12" s="11"/>
      <c r="B12" s="96">
        <v>15</v>
      </c>
      <c r="C12" s="96">
        <v>16</v>
      </c>
      <c r="D12" s="96">
        <v>245590</v>
      </c>
      <c r="E12" s="10">
        <v>2335390</v>
      </c>
      <c r="F12" s="10">
        <v>-2089800</v>
      </c>
      <c r="G12" s="10">
        <v>5283</v>
      </c>
      <c r="H12" s="96">
        <v>35.77512776831346</v>
      </c>
      <c r="I12" s="11">
        <v>1890</v>
      </c>
      <c r="J12" s="96">
        <v>3367</v>
      </c>
      <c r="K12" s="96">
        <v>7970</v>
      </c>
      <c r="L12" s="12">
        <v>-4030</v>
      </c>
      <c r="M12" s="12">
        <v>1235.6561279296875</v>
      </c>
      <c r="N12" s="12">
        <v>-620.67120361328125</v>
      </c>
      <c r="O12" s="12">
        <v>1.9908384998953199</v>
      </c>
      <c r="P12" s="11">
        <v>46.486844595873556</v>
      </c>
      <c r="Q12" s="13">
        <v>9</v>
      </c>
      <c r="R12" s="96">
        <v>17</v>
      </c>
      <c r="S12" s="96">
        <v>68</v>
      </c>
      <c r="T12" s="96">
        <v>24</v>
      </c>
      <c r="U12" s="96">
        <v>-46315</v>
      </c>
      <c r="V12" s="12">
        <v>1.1175184228155799</v>
      </c>
      <c r="W12" s="11">
        <v>1</v>
      </c>
      <c r="X12" s="96">
        <v>46315</v>
      </c>
      <c r="Y12" s="12">
        <v>530.26017488934474</v>
      </c>
      <c r="Z12" s="11">
        <v>10021.917305408615</v>
      </c>
      <c r="AA12" s="86">
        <v>1.446056399426197</v>
      </c>
      <c r="AB12" s="11">
        <v>2.2788590550928149</v>
      </c>
      <c r="AC12" s="11">
        <v>232615.04589643987</v>
      </c>
      <c r="AD12" s="81">
        <v>89.236631937280052</v>
      </c>
      <c r="AE12" s="11">
        <f>(Opti_Salidas__30_ALL_Data_1[[#This Row],[All: TS Index]]-Z$47) /ABS(Z$47)</f>
        <v>-0.36404581550827769</v>
      </c>
      <c r="AF12" s="11">
        <f>(Opti_Salidas__30_ALL_Data_1[[#This Row],[All: Expectancy Score]]-AA$47) /ABS(AA$47)</f>
        <v>-0.94682110039730127</v>
      </c>
      <c r="AG12" s="11"/>
      <c r="AH12" s="11">
        <f>(Opti_Salidas__30_ALL_Data_1[[#This Row],[All: Perfect Profit Correlation]]-AC$47) /ABS(AC$47)</f>
        <v>-0.25834378507451472</v>
      </c>
      <c r="AI12" s="11">
        <f>(Opti_Salidas__30_ALL_Data_1[[#This Row],[All: Robustness Index]]-AD$47) /ABS(AD$47)</f>
        <v>-0.66241102929100004</v>
      </c>
      <c r="AJ12" s="11">
        <f>SUM(Opti_Salidas__30_ALL_Data_1[[#This Row],[VAR TS Index]:[VAR Robustness Index]])</f>
        <v>-2.2316217302710939</v>
      </c>
      <c r="AK12" s="11">
        <f>Opti_Salidas__30_ALL_Data_1[[#This Row],[SUMA]]-Opti_Salidas__30_ALL_Data_1[[#This Row],[VAR Robustness Index]]</f>
        <v>-1.569210700980094</v>
      </c>
      <c r="AL12" s="11"/>
    </row>
    <row r="13" spans="1:38" x14ac:dyDescent="0.25">
      <c r="A13" s="11"/>
      <c r="B13" s="96">
        <v>14</v>
      </c>
      <c r="C13" s="96">
        <v>15</v>
      </c>
      <c r="D13" s="96">
        <v>245290</v>
      </c>
      <c r="E13" s="10">
        <v>2317450</v>
      </c>
      <c r="F13" s="10">
        <v>-2072160</v>
      </c>
      <c r="G13" s="10">
        <v>5283</v>
      </c>
      <c r="H13" s="96">
        <v>35.737270490251753</v>
      </c>
      <c r="I13" s="11">
        <v>1888</v>
      </c>
      <c r="J13" s="96">
        <v>3369</v>
      </c>
      <c r="K13" s="96">
        <v>22600</v>
      </c>
      <c r="L13" s="12">
        <v>-3940</v>
      </c>
      <c r="M13" s="12">
        <v>1227.462890625</v>
      </c>
      <c r="N13" s="12">
        <v>-615.0667724609375</v>
      </c>
      <c r="O13" s="12">
        <v>1.9956579441185069</v>
      </c>
      <c r="P13" s="11">
        <v>46.430058678780995</v>
      </c>
      <c r="Q13" s="13">
        <v>9</v>
      </c>
      <c r="R13" s="96">
        <v>17</v>
      </c>
      <c r="S13" s="96">
        <v>68</v>
      </c>
      <c r="T13" s="96">
        <v>23</v>
      </c>
      <c r="U13" s="96">
        <v>-46995</v>
      </c>
      <c r="V13" s="12">
        <v>1.1183740637788591</v>
      </c>
      <c r="W13" s="11">
        <v>1</v>
      </c>
      <c r="X13" s="96">
        <v>46995</v>
      </c>
      <c r="Y13" s="12">
        <v>521.94914352590706</v>
      </c>
      <c r="Z13" s="11">
        <v>9854.3998297691251</v>
      </c>
      <c r="AA13" s="86">
        <v>1.307392164432178</v>
      </c>
      <c r="AB13" s="11">
        <v>2.276557340022745</v>
      </c>
      <c r="AC13" s="11">
        <v>235005.55590275713</v>
      </c>
      <c r="AD13" s="81">
        <v>84.301080853352587</v>
      </c>
      <c r="AE13" s="11">
        <f>(Opti_Salidas__30_ALL_Data_1[[#This Row],[All: TS Index]]-Z$47) /ABS(Z$47)</f>
        <v>-0.37467586127316643</v>
      </c>
      <c r="AF13" s="11">
        <f>(Opti_Salidas__30_ALL_Data_1[[#This Row],[All: Expectancy Score]]-AA$47) /ABS(AA$47)</f>
        <v>-0.9519204944694537</v>
      </c>
      <c r="AG13" s="11"/>
      <c r="AH13" s="11">
        <f>(Opti_Salidas__30_ALL_Data_1[[#This Row],[All: Perfect Profit Correlation]]-AC$47) /ABS(AC$47)</f>
        <v>-0.25072202270658916</v>
      </c>
      <c r="AI13" s="11">
        <f>(Opti_Salidas__30_ALL_Data_1[[#This Row],[All: Robustness Index]]-AD$47) /ABS(AD$47)</f>
        <v>-0.68108259470234189</v>
      </c>
      <c r="AJ13" s="11">
        <f>SUM(Opti_Salidas__30_ALL_Data_1[[#This Row],[VAR TS Index]:[VAR Robustness Index]])</f>
        <v>-2.2584009731515513</v>
      </c>
      <c r="AK13" s="11">
        <f>Opti_Salidas__30_ALL_Data_1[[#This Row],[SUMA]]-Opti_Salidas__30_ALL_Data_1[[#This Row],[VAR Robustness Index]]</f>
        <v>-1.5773183784492093</v>
      </c>
      <c r="AL13" s="11"/>
    </row>
    <row r="14" spans="1:38" x14ac:dyDescent="0.25">
      <c r="A14" s="11"/>
      <c r="B14" s="96">
        <v>27</v>
      </c>
      <c r="C14" s="96">
        <v>28</v>
      </c>
      <c r="D14" s="96">
        <v>237660</v>
      </c>
      <c r="E14" s="10">
        <v>2307780</v>
      </c>
      <c r="F14" s="10">
        <v>-2070120</v>
      </c>
      <c r="G14" s="10">
        <v>5283</v>
      </c>
      <c r="H14" s="96">
        <v>35.415483626727237</v>
      </c>
      <c r="I14" s="11">
        <v>1871</v>
      </c>
      <c r="J14" s="96">
        <v>3387</v>
      </c>
      <c r="K14" s="96">
        <v>18780</v>
      </c>
      <c r="L14" s="12">
        <v>-5640</v>
      </c>
      <c r="M14" s="12">
        <v>1233.4473876953125</v>
      </c>
      <c r="N14" s="12">
        <v>-611.19573974609375</v>
      </c>
      <c r="O14" s="12">
        <v>2.018088981130199</v>
      </c>
      <c r="P14" s="11">
        <v>44.985803520726861</v>
      </c>
      <c r="Q14" s="13">
        <v>9</v>
      </c>
      <c r="R14" s="96">
        <v>17</v>
      </c>
      <c r="S14" s="96">
        <v>69</v>
      </c>
      <c r="T14" s="96">
        <v>24</v>
      </c>
      <c r="U14" s="96">
        <v>-45225</v>
      </c>
      <c r="V14" s="12">
        <v>1.114804938844125</v>
      </c>
      <c r="W14" s="11">
        <v>1</v>
      </c>
      <c r="X14" s="96">
        <v>45225</v>
      </c>
      <c r="Y14" s="12">
        <v>525.50580431177445</v>
      </c>
      <c r="Z14" s="11">
        <v>9832.213598673301</v>
      </c>
      <c r="AA14" s="86">
        <v>2.0444408555812692</v>
      </c>
      <c r="AB14" s="11">
        <v>2.198774960945777</v>
      </c>
      <c r="AC14" s="11">
        <v>225245.12998776548</v>
      </c>
      <c r="AD14" s="81">
        <v>103.54922312697556</v>
      </c>
      <c r="AE14" s="11">
        <f>(Opti_Salidas__30_ALL_Data_1[[#This Row],[All: TS Index]]-Z$47) /ABS(Z$47)</f>
        <v>-0.37608371828031567</v>
      </c>
      <c r="AF14" s="11">
        <f>(Opti_Salidas__30_ALL_Data_1[[#This Row],[All: Expectancy Score]]-AA$47) /ABS(AA$47)</f>
        <v>-0.92481543939382116</v>
      </c>
      <c r="AG14" s="11"/>
      <c r="AH14" s="11">
        <f>(Opti_Salidas__30_ALL_Data_1[[#This Row],[All: Perfect Profit Correlation]]-AC$47) /ABS(AC$47)</f>
        <v>-0.28184159415252252</v>
      </c>
      <c r="AI14" s="11">
        <f>(Opti_Salidas__30_ALL_Data_1[[#This Row],[All: Robustness Index]]-AD$47) /ABS(AD$47)</f>
        <v>-0.60826540744251945</v>
      </c>
      <c r="AJ14" s="11">
        <f>SUM(Opti_Salidas__30_ALL_Data_1[[#This Row],[VAR TS Index]:[VAR Robustness Index]])</f>
        <v>-2.191006159269179</v>
      </c>
      <c r="AK14" s="11">
        <f>Opti_Salidas__30_ALL_Data_1[[#This Row],[SUMA]]-Opti_Salidas__30_ALL_Data_1[[#This Row],[VAR Robustness Index]]</f>
        <v>-1.5827407518266594</v>
      </c>
      <c r="AL14" s="11"/>
    </row>
    <row r="15" spans="1:38" x14ac:dyDescent="0.25">
      <c r="A15" s="11"/>
      <c r="B15" s="96">
        <v>30</v>
      </c>
      <c r="C15" s="96">
        <v>31</v>
      </c>
      <c r="D15" s="96">
        <v>240530</v>
      </c>
      <c r="E15" s="10">
        <v>2314570</v>
      </c>
      <c r="F15" s="10">
        <v>-2074040</v>
      </c>
      <c r="G15" s="10">
        <v>5283</v>
      </c>
      <c r="H15" s="96">
        <v>35.453340904788945</v>
      </c>
      <c r="I15" s="11">
        <v>1873</v>
      </c>
      <c r="J15" s="96">
        <v>3384</v>
      </c>
      <c r="K15" s="96">
        <v>7970</v>
      </c>
      <c r="L15" s="12">
        <v>-4030</v>
      </c>
      <c r="M15" s="12">
        <v>1235.7554931640625</v>
      </c>
      <c r="N15" s="12">
        <v>-612.89599609375</v>
      </c>
      <c r="O15" s="12">
        <v>2.016256430193808</v>
      </c>
      <c r="P15" s="11">
        <v>45.52905546091236</v>
      </c>
      <c r="Q15" s="13">
        <v>9</v>
      </c>
      <c r="R15" s="96">
        <v>17</v>
      </c>
      <c r="S15" s="96">
        <v>68</v>
      </c>
      <c r="T15" s="96">
        <v>24</v>
      </c>
      <c r="U15" s="96">
        <v>-45225</v>
      </c>
      <c r="V15" s="12">
        <v>1.1159717266783671</v>
      </c>
      <c r="W15" s="11">
        <v>1</v>
      </c>
      <c r="X15" s="96">
        <v>45225</v>
      </c>
      <c r="Y15" s="12">
        <v>531.85185185185185</v>
      </c>
      <c r="Z15" s="11">
        <v>9961.5851851851858</v>
      </c>
      <c r="AA15" s="86">
        <v>1.52426755896735</v>
      </c>
      <c r="AB15" s="11">
        <v>2.227022465883338</v>
      </c>
      <c r="AC15" s="11">
        <v>227759.66801745052</v>
      </c>
      <c r="AD15" s="81">
        <v>96.477417888952971</v>
      </c>
      <c r="AE15" s="11">
        <f>(Opti_Salidas__30_ALL_Data_1[[#This Row],[All: TS Index]]-Z$47) /ABS(Z$47)</f>
        <v>-0.36787427099699349</v>
      </c>
      <c r="AF15" s="11">
        <f>(Opti_Salidas__30_ALL_Data_1[[#This Row],[All: Expectancy Score]]-AA$47) /ABS(AA$47)</f>
        <v>-0.94394487551236594</v>
      </c>
      <c r="AG15" s="11"/>
      <c r="AH15" s="11">
        <f>(Opti_Salidas__30_ALL_Data_1[[#This Row],[All: Perfect Profit Correlation]]-AC$47) /ABS(AC$47)</f>
        <v>-0.27382438808489501</v>
      </c>
      <c r="AI15" s="11">
        <f>(Opti_Salidas__30_ALL_Data_1[[#This Row],[All: Robustness Index]]-AD$47) /ABS(AD$47)</f>
        <v>-0.63501858491605423</v>
      </c>
      <c r="AJ15" s="11">
        <f>SUM(Opti_Salidas__30_ALL_Data_1[[#This Row],[VAR TS Index]:[VAR Robustness Index]])</f>
        <v>-2.2206621195103087</v>
      </c>
      <c r="AK15" s="11">
        <f>Opti_Salidas__30_ALL_Data_1[[#This Row],[SUMA]]-Opti_Salidas__30_ALL_Data_1[[#This Row],[VAR Robustness Index]]</f>
        <v>-1.5856435345942543</v>
      </c>
      <c r="AL15" s="11"/>
    </row>
    <row r="16" spans="1:38" x14ac:dyDescent="0.25">
      <c r="A16" s="11"/>
      <c r="B16" s="96">
        <v>0</v>
      </c>
      <c r="C16" s="96">
        <v>1</v>
      </c>
      <c r="D16" s="96">
        <v>239240</v>
      </c>
      <c r="E16" s="10">
        <v>2326160</v>
      </c>
      <c r="F16" s="10">
        <v>-2086920</v>
      </c>
      <c r="G16" s="10">
        <v>5283</v>
      </c>
      <c r="H16" s="96">
        <v>35.77512776831346</v>
      </c>
      <c r="I16" s="11">
        <v>1890</v>
      </c>
      <c r="J16" s="96">
        <v>3367</v>
      </c>
      <c r="K16" s="96">
        <v>18780</v>
      </c>
      <c r="L16" s="12">
        <v>-5640</v>
      </c>
      <c r="M16" s="12">
        <v>1230.7724609375</v>
      </c>
      <c r="N16" s="12">
        <v>-619.81585693359375</v>
      </c>
      <c r="O16" s="12">
        <v>1.98570663717202</v>
      </c>
      <c r="P16" s="11">
        <v>45.284876017414348</v>
      </c>
      <c r="Q16" s="13">
        <v>9</v>
      </c>
      <c r="R16" s="96">
        <v>17</v>
      </c>
      <c r="S16" s="96">
        <v>69</v>
      </c>
      <c r="T16" s="96">
        <v>24</v>
      </c>
      <c r="U16" s="96">
        <v>-46315</v>
      </c>
      <c r="V16" s="12">
        <v>1.114637839495525</v>
      </c>
      <c r="W16" s="11">
        <v>1</v>
      </c>
      <c r="X16" s="96">
        <v>46315</v>
      </c>
      <c r="Y16" s="12">
        <v>516.54971391557808</v>
      </c>
      <c r="Z16" s="11">
        <v>9762.7895930044269</v>
      </c>
      <c r="AA16" s="86">
        <v>1.3434797656299751</v>
      </c>
      <c r="AB16" s="11">
        <v>2.2169858263362321</v>
      </c>
      <c r="AC16" s="11">
        <v>226952.72748230037</v>
      </c>
      <c r="AD16" s="81">
        <v>102.50413621313122</v>
      </c>
      <c r="AE16" s="11">
        <f>(Opti_Salidas__30_ALL_Data_1[[#This Row],[All: TS Index]]-Z$47) /ABS(Z$47)</f>
        <v>-0.38048911153630177</v>
      </c>
      <c r="AF16" s="11">
        <f>(Opti_Salidas__30_ALL_Data_1[[#This Row],[All: Expectancy Score]]-AA$47) /ABS(AA$47)</f>
        <v>-0.95059336855530441</v>
      </c>
      <c r="AG16" s="11"/>
      <c r="AH16" s="11">
        <f>(Opti_Salidas__30_ALL_Data_1[[#This Row],[All: Perfect Profit Correlation]]-AC$47) /ABS(AC$47)</f>
        <v>-0.27639719011781183</v>
      </c>
      <c r="AI16" s="11">
        <f>(Opti_Salidas__30_ALL_Data_1[[#This Row],[All: Robustness Index]]-AD$47) /ABS(AD$47)</f>
        <v>-0.61221905078255634</v>
      </c>
      <c r="AJ16" s="11">
        <f>SUM(Opti_Salidas__30_ALL_Data_1[[#This Row],[VAR TS Index]:[VAR Robustness Index]])</f>
        <v>-2.2196987209919743</v>
      </c>
      <c r="AK16" s="11">
        <f>Opti_Salidas__30_ALL_Data_1[[#This Row],[SUMA]]-Opti_Salidas__30_ALL_Data_1[[#This Row],[VAR Robustness Index]]</f>
        <v>-1.6074796702094178</v>
      </c>
      <c r="AL16" s="11"/>
    </row>
    <row r="17" spans="1:38" x14ac:dyDescent="0.25">
      <c r="A17" s="11"/>
      <c r="B17" s="96">
        <v>3</v>
      </c>
      <c r="C17" s="96">
        <v>4</v>
      </c>
      <c r="D17" s="96">
        <v>239040</v>
      </c>
      <c r="E17" s="10">
        <v>2326160</v>
      </c>
      <c r="F17" s="10">
        <v>-2087120</v>
      </c>
      <c r="G17" s="10">
        <v>5283</v>
      </c>
      <c r="H17" s="96">
        <v>35.77512776831346</v>
      </c>
      <c r="I17" s="11">
        <v>1890</v>
      </c>
      <c r="J17" s="96">
        <v>3367</v>
      </c>
      <c r="K17" s="96">
        <v>18780</v>
      </c>
      <c r="L17" s="12">
        <v>-5640</v>
      </c>
      <c r="M17" s="12">
        <v>1230.7724609375</v>
      </c>
      <c r="N17" s="12">
        <v>-619.875244140625</v>
      </c>
      <c r="O17" s="12">
        <v>1.985516396357792</v>
      </c>
      <c r="P17" s="11">
        <v>45.24701873935264</v>
      </c>
      <c r="Q17" s="13">
        <v>9</v>
      </c>
      <c r="R17" s="96">
        <v>17</v>
      </c>
      <c r="S17" s="96">
        <v>69</v>
      </c>
      <c r="T17" s="96">
        <v>24</v>
      </c>
      <c r="U17" s="96">
        <v>-46315</v>
      </c>
      <c r="V17" s="12">
        <v>1.114531028402775</v>
      </c>
      <c r="W17" s="11">
        <v>1</v>
      </c>
      <c r="X17" s="96">
        <v>46315</v>
      </c>
      <c r="Y17" s="12">
        <v>516.11788837309723</v>
      </c>
      <c r="Z17" s="11">
        <v>9754.6280902515391</v>
      </c>
      <c r="AA17" s="86">
        <v>1.3421315205083579</v>
      </c>
      <c r="AB17" s="11">
        <v>2.2150202937293431</v>
      </c>
      <c r="AC17" s="11">
        <v>226750.77100841072</v>
      </c>
      <c r="AD17" s="81">
        <v>102.66809791005937</v>
      </c>
      <c r="AE17" s="11">
        <f>(Opti_Salidas__30_ALL_Data_1[[#This Row],[All: TS Index]]-Z$47) /ABS(Z$47)</f>
        <v>-0.3810070106237986</v>
      </c>
      <c r="AF17" s="11">
        <f>(Opti_Salidas__30_ALL_Data_1[[#This Row],[All: Expectancy Score]]-AA$47) /ABS(AA$47)</f>
        <v>-0.95064295043329394</v>
      </c>
      <c r="AG17" s="11"/>
      <c r="AH17" s="11">
        <f>(Opti_Salidas__30_ALL_Data_1[[#This Row],[All: Perfect Profit Correlation]]-AC$47) /ABS(AC$47)</f>
        <v>-0.27704109633388424</v>
      </c>
      <c r="AI17" s="11">
        <f>(Opti_Salidas__30_ALL_Data_1[[#This Row],[All: Robustness Index]]-AD$47) /ABS(AD$47)</f>
        <v>-0.61159877120341921</v>
      </c>
      <c r="AJ17" s="11">
        <f>SUM(Opti_Salidas__30_ALL_Data_1[[#This Row],[VAR TS Index]:[VAR Robustness Index]])</f>
        <v>-2.2202898285943959</v>
      </c>
      <c r="AK17" s="11">
        <f>Opti_Salidas__30_ALL_Data_1[[#This Row],[SUMA]]-Opti_Salidas__30_ALL_Data_1[[#This Row],[VAR Robustness Index]]</f>
        <v>-1.6086910573909767</v>
      </c>
      <c r="AL17" s="11"/>
    </row>
    <row r="18" spans="1:38" x14ac:dyDescent="0.25">
      <c r="A18" s="11"/>
      <c r="B18" s="96">
        <v>2</v>
      </c>
      <c r="C18" s="96">
        <v>3</v>
      </c>
      <c r="D18" s="96">
        <v>238030</v>
      </c>
      <c r="E18" s="10">
        <v>2326160</v>
      </c>
      <c r="F18" s="10">
        <v>-2088130</v>
      </c>
      <c r="G18" s="10">
        <v>5283</v>
      </c>
      <c r="H18" s="96">
        <v>35.77512776831346</v>
      </c>
      <c r="I18" s="11">
        <v>1890</v>
      </c>
      <c r="J18" s="96">
        <v>3367</v>
      </c>
      <c r="K18" s="96">
        <v>18780</v>
      </c>
      <c r="L18" s="12">
        <v>-5640</v>
      </c>
      <c r="M18" s="12">
        <v>1230.7724609375</v>
      </c>
      <c r="N18" s="12">
        <v>-620.17523193359375</v>
      </c>
      <c r="O18" s="12">
        <v>1.9845559731564499</v>
      </c>
      <c r="P18" s="11">
        <v>45.055839485141021</v>
      </c>
      <c r="Q18" s="13">
        <v>9</v>
      </c>
      <c r="R18" s="96">
        <v>17</v>
      </c>
      <c r="S18" s="96">
        <v>69</v>
      </c>
      <c r="T18" s="96">
        <v>24</v>
      </c>
      <c r="U18" s="96">
        <v>-46315</v>
      </c>
      <c r="V18" s="12">
        <v>1.1139919449459561</v>
      </c>
      <c r="W18" s="11">
        <v>1</v>
      </c>
      <c r="X18" s="96">
        <v>46315</v>
      </c>
      <c r="Y18" s="12">
        <v>513.93716938356908</v>
      </c>
      <c r="Z18" s="11">
        <v>9713.412501349454</v>
      </c>
      <c r="AA18" s="86">
        <v>1.3353319289833969</v>
      </c>
      <c r="AB18" s="11">
        <v>2.2050943540645651</v>
      </c>
      <c r="AC18" s="11">
        <v>225765.00610960319</v>
      </c>
      <c r="AD18" s="81">
        <v>101.2887157053393</v>
      </c>
      <c r="AE18" s="11">
        <f>(Opti_Salidas__30_ALL_Data_1[[#This Row],[All: TS Index]]-Z$47) /ABS(Z$47)</f>
        <v>-0.38362240101565764</v>
      </c>
      <c r="AF18" s="11">
        <f>(Opti_Salidas__30_ALL_Data_1[[#This Row],[All: Expectancy Score]]-AA$47) /ABS(AA$47)</f>
        <v>-0.95089300623691864</v>
      </c>
      <c r="AG18" s="11"/>
      <c r="AH18" s="11">
        <f>(Opti_Salidas__30_ALL_Data_1[[#This Row],[All: Perfect Profit Correlation]]-AC$47) /ABS(AC$47)</f>
        <v>-0.28018405151478637</v>
      </c>
      <c r="AI18" s="11">
        <f>(Opti_Salidas__30_ALL_Data_1[[#This Row],[All: Robustness Index]]-AD$47) /ABS(AD$47)</f>
        <v>-0.61681707907314076</v>
      </c>
      <c r="AJ18" s="11">
        <f>SUM(Opti_Salidas__30_ALL_Data_1[[#This Row],[VAR TS Index]:[VAR Robustness Index]])</f>
        <v>-2.2315165378405033</v>
      </c>
      <c r="AK18" s="11">
        <f>Opti_Salidas__30_ALL_Data_1[[#This Row],[SUMA]]-Opti_Salidas__30_ALL_Data_1[[#This Row],[VAR Robustness Index]]</f>
        <v>-1.6146994587673626</v>
      </c>
      <c r="AL18" s="11"/>
    </row>
    <row r="19" spans="1:38" x14ac:dyDescent="0.25">
      <c r="A19" s="11"/>
      <c r="B19" s="96">
        <v>28</v>
      </c>
      <c r="C19" s="96">
        <v>29</v>
      </c>
      <c r="D19" s="96">
        <v>243430</v>
      </c>
      <c r="E19" s="10">
        <v>2323400</v>
      </c>
      <c r="F19" s="10">
        <v>-2079970</v>
      </c>
      <c r="G19" s="10">
        <v>5283</v>
      </c>
      <c r="H19" s="96">
        <v>35.699413212190045</v>
      </c>
      <c r="I19" s="11">
        <v>1886</v>
      </c>
      <c r="J19" s="96">
        <v>3371</v>
      </c>
      <c r="K19" s="96">
        <v>18780</v>
      </c>
      <c r="L19" s="12">
        <v>-5640</v>
      </c>
      <c r="M19" s="12">
        <v>1231.91943359375</v>
      </c>
      <c r="N19" s="12">
        <v>-617.0186767578125</v>
      </c>
      <c r="O19" s="12">
        <v>1.996567494629168</v>
      </c>
      <c r="P19" s="11">
        <v>46.077985992807115</v>
      </c>
      <c r="Q19" s="13">
        <v>9</v>
      </c>
      <c r="R19" s="96">
        <v>17</v>
      </c>
      <c r="S19" s="96">
        <v>69</v>
      </c>
      <c r="T19" s="96">
        <v>24</v>
      </c>
      <c r="U19" s="96">
        <v>-46455</v>
      </c>
      <c r="V19" s="12">
        <v>1.117035341855892</v>
      </c>
      <c r="W19" s="11">
        <v>1</v>
      </c>
      <c r="X19" s="96">
        <v>46455</v>
      </c>
      <c r="Y19" s="12">
        <v>524.01248520073193</v>
      </c>
      <c r="Z19" s="11">
        <v>9882.8754708858032</v>
      </c>
      <c r="AA19" s="86">
        <v>0.49085410768888199</v>
      </c>
      <c r="AB19" s="11">
        <v>2.257543774766535</v>
      </c>
      <c r="AC19" s="11">
        <v>230322.20934469509</v>
      </c>
      <c r="AD19" s="81">
        <v>110.78752124862797</v>
      </c>
      <c r="AE19" s="11">
        <f>(Opti_Salidas__30_ALL_Data_1[[#This Row],[All: TS Index]]-Z$47) /ABS(Z$47)</f>
        <v>-0.37286890133003631</v>
      </c>
      <c r="AF19" s="11">
        <f>(Opti_Salidas__30_ALL_Data_1[[#This Row],[All: Expectancy Score]]-AA$47) /ABS(AA$47)</f>
        <v>-0.98194878061276369</v>
      </c>
      <c r="AG19" s="11"/>
      <c r="AH19" s="11">
        <f>(Opti_Salidas__30_ALL_Data_1[[#This Row],[All: Perfect Profit Correlation]]-AC$47) /ABS(AC$47)</f>
        <v>-0.26565413110934039</v>
      </c>
      <c r="AI19" s="11">
        <f>(Opti_Salidas__30_ALL_Data_1[[#This Row],[All: Robustness Index]]-AD$47) /ABS(AD$47)</f>
        <v>-0.58088237471789816</v>
      </c>
      <c r="AJ19" s="11">
        <f>SUM(Opti_Salidas__30_ALL_Data_1[[#This Row],[VAR TS Index]:[VAR Robustness Index]])</f>
        <v>-2.2013541877700384</v>
      </c>
      <c r="AK19" s="11">
        <f>Opti_Salidas__30_ALL_Data_1[[#This Row],[SUMA]]-Opti_Salidas__30_ALL_Data_1[[#This Row],[VAR Robustness Index]]</f>
        <v>-1.6204718130521403</v>
      </c>
      <c r="AL19" s="11"/>
    </row>
    <row r="20" spans="1:38" x14ac:dyDescent="0.25">
      <c r="A20" s="11"/>
      <c r="B20" s="96">
        <v>1</v>
      </c>
      <c r="C20" s="96">
        <v>2</v>
      </c>
      <c r="D20" s="96">
        <v>235890</v>
      </c>
      <c r="E20" s="10">
        <v>2325810</v>
      </c>
      <c r="F20" s="10">
        <v>-2089920</v>
      </c>
      <c r="G20" s="10">
        <v>5283</v>
      </c>
      <c r="H20" s="96">
        <v>35.756199129282606</v>
      </c>
      <c r="I20" s="11">
        <v>1889</v>
      </c>
      <c r="J20" s="96">
        <v>3368</v>
      </c>
      <c r="K20" s="96">
        <v>18780</v>
      </c>
      <c r="L20" s="12">
        <v>-4030</v>
      </c>
      <c r="M20" s="12">
        <v>1231.23876953125</v>
      </c>
      <c r="N20" s="12">
        <v>-620.5225830078125</v>
      </c>
      <c r="O20" s="12">
        <v>1.984196551821142</v>
      </c>
      <c r="P20" s="11">
        <v>44.650766609880748</v>
      </c>
      <c r="Q20" s="13">
        <v>9</v>
      </c>
      <c r="R20" s="96">
        <v>17</v>
      </c>
      <c r="S20" s="96">
        <v>69</v>
      </c>
      <c r="T20" s="96">
        <v>24</v>
      </c>
      <c r="U20" s="96">
        <v>-47245</v>
      </c>
      <c r="V20" s="12">
        <v>1.112870349104272</v>
      </c>
      <c r="W20" s="11">
        <v>1</v>
      </c>
      <c r="X20" s="96">
        <v>47245</v>
      </c>
      <c r="Y20" s="12">
        <v>499.29093025717009</v>
      </c>
      <c r="Z20" s="11">
        <v>9431.6056725579419</v>
      </c>
      <c r="AA20" s="86">
        <v>1.322804257926435</v>
      </c>
      <c r="AB20" s="11">
        <v>2.183888284250374</v>
      </c>
      <c r="AC20" s="11">
        <v>223460.27252608197</v>
      </c>
      <c r="AD20" s="81">
        <v>100.20945255789803</v>
      </c>
      <c r="AE20" s="11">
        <f>(Opti_Salidas__30_ALL_Data_1[[#This Row],[All: TS Index]]-Z$47) /ABS(Z$47)</f>
        <v>-0.40150483074710086</v>
      </c>
      <c r="AF20" s="11">
        <f>(Opti_Salidas__30_ALL_Data_1[[#This Row],[All: Expectancy Score]]-AA$47) /ABS(AA$47)</f>
        <v>-0.95135371286057324</v>
      </c>
      <c r="AG20" s="11"/>
      <c r="AH20" s="11">
        <f>(Opti_Salidas__30_ALL_Data_1[[#This Row],[All: Perfect Profit Correlation]]-AC$47) /ABS(AC$47)</f>
        <v>-0.28753232935029227</v>
      </c>
      <c r="AI20" s="11">
        <f>(Opti_Salidas__30_ALL_Data_1[[#This Row],[All: Robustness Index]]-AD$47) /ABS(AD$47)</f>
        <v>-0.62090001370613923</v>
      </c>
      <c r="AJ20" s="11">
        <f>SUM(Opti_Salidas__30_ALL_Data_1[[#This Row],[VAR TS Index]:[VAR Robustness Index]])</f>
        <v>-2.2612908866641055</v>
      </c>
      <c r="AK20" s="11">
        <f>Opti_Salidas__30_ALL_Data_1[[#This Row],[SUMA]]-Opti_Salidas__30_ALL_Data_1[[#This Row],[VAR Robustness Index]]</f>
        <v>-1.6403908729579664</v>
      </c>
      <c r="AL20" s="11"/>
    </row>
    <row r="21" spans="1:38" x14ac:dyDescent="0.25">
      <c r="A21" s="11"/>
      <c r="B21" s="96">
        <v>7</v>
      </c>
      <c r="C21" s="96">
        <v>8</v>
      </c>
      <c r="D21" s="96">
        <v>230590</v>
      </c>
      <c r="E21" s="10">
        <v>2305690</v>
      </c>
      <c r="F21" s="10">
        <v>-2075100</v>
      </c>
      <c r="G21" s="10">
        <v>5283</v>
      </c>
      <c r="H21" s="96">
        <v>35.434412265758091</v>
      </c>
      <c r="I21" s="11">
        <v>1872</v>
      </c>
      <c r="J21" s="96">
        <v>3385</v>
      </c>
      <c r="K21" s="96">
        <v>18780</v>
      </c>
      <c r="L21" s="12">
        <v>-5640</v>
      </c>
      <c r="M21" s="12">
        <v>1231.6719970703125</v>
      </c>
      <c r="N21" s="12">
        <v>-613.028076171875</v>
      </c>
      <c r="O21" s="12">
        <v>2.009160827937329</v>
      </c>
      <c r="P21" s="11">
        <v>43.647548741245501</v>
      </c>
      <c r="Q21" s="13">
        <v>9</v>
      </c>
      <c r="R21" s="96">
        <v>17</v>
      </c>
      <c r="S21" s="96">
        <v>69</v>
      </c>
      <c r="T21" s="96">
        <v>24</v>
      </c>
      <c r="U21" s="96">
        <v>-45225</v>
      </c>
      <c r="V21" s="12">
        <v>1.1111223555491301</v>
      </c>
      <c r="W21" s="11">
        <v>1</v>
      </c>
      <c r="X21" s="96">
        <v>45225</v>
      </c>
      <c r="Y21" s="12">
        <v>509.87285793255944</v>
      </c>
      <c r="Z21" s="11">
        <v>9544.8199004975122</v>
      </c>
      <c r="AA21" s="86">
        <v>1.4440140653044029</v>
      </c>
      <c r="AB21" s="11">
        <v>2.129661553514572</v>
      </c>
      <c r="AC21" s="11">
        <v>217772.68549279458</v>
      </c>
      <c r="AD21" s="81">
        <v>113.45737711796322</v>
      </c>
      <c r="AE21" s="11">
        <f>(Opti_Salidas__30_ALL_Data_1[[#This Row],[All: TS Index]]-Z$47) /ABS(Z$47)</f>
        <v>-0.39432067029076651</v>
      </c>
      <c r="AF21" s="11">
        <f>(Opti_Salidas__30_ALL_Data_1[[#This Row],[All: Expectancy Score]]-AA$47) /ABS(AA$47)</f>
        <v>-0.94689620748251679</v>
      </c>
      <c r="AG21" s="11"/>
      <c r="AH21" s="11">
        <f>(Opti_Salidas__30_ALL_Data_1[[#This Row],[All: Perfect Profit Correlation]]-AC$47) /ABS(AC$47)</f>
        <v>-0.30566629938181444</v>
      </c>
      <c r="AI21" s="11">
        <f>(Opti_Salidas__30_ALL_Data_1[[#This Row],[All: Robustness Index]]-AD$47) /ABS(AD$47)</f>
        <v>-0.57078210675278973</v>
      </c>
      <c r="AJ21" s="11">
        <f>SUM(Opti_Salidas__30_ALL_Data_1[[#This Row],[VAR TS Index]:[VAR Robustness Index]])</f>
        <v>-2.2176652839078876</v>
      </c>
      <c r="AK21" s="11">
        <f>Opti_Salidas__30_ALL_Data_1[[#This Row],[SUMA]]-Opti_Salidas__30_ALL_Data_1[[#This Row],[VAR Robustness Index]]</f>
        <v>-1.646883177155098</v>
      </c>
      <c r="AL21" s="11"/>
    </row>
    <row r="22" spans="1:38" x14ac:dyDescent="0.25">
      <c r="A22" s="11"/>
      <c r="B22" s="96">
        <v>5</v>
      </c>
      <c r="C22" s="96">
        <v>6</v>
      </c>
      <c r="D22" s="96">
        <v>212020</v>
      </c>
      <c r="E22" s="10">
        <v>2281090</v>
      </c>
      <c r="F22" s="10">
        <v>-2069070</v>
      </c>
      <c r="G22" s="10">
        <v>5283</v>
      </c>
      <c r="H22" s="96">
        <v>36.077985992807115</v>
      </c>
      <c r="I22" s="11">
        <v>1906</v>
      </c>
      <c r="J22" s="96">
        <v>3352</v>
      </c>
      <c r="K22" s="96">
        <v>3510</v>
      </c>
      <c r="L22" s="12">
        <v>-5640</v>
      </c>
      <c r="M22" s="12">
        <v>1196.7943115234375</v>
      </c>
      <c r="N22" s="12">
        <v>-617.26434326171875</v>
      </c>
      <c r="O22" s="12">
        <v>1.938868370720062</v>
      </c>
      <c r="P22" s="11">
        <v>40.132500473215977</v>
      </c>
      <c r="Q22" s="13">
        <v>9</v>
      </c>
      <c r="R22" s="96">
        <v>17</v>
      </c>
      <c r="S22" s="96">
        <v>53</v>
      </c>
      <c r="T22" s="96">
        <v>24</v>
      </c>
      <c r="U22" s="96">
        <v>-40705</v>
      </c>
      <c r="V22" s="12">
        <v>1.102471158539827</v>
      </c>
      <c r="W22" s="11">
        <v>1</v>
      </c>
      <c r="X22" s="96">
        <v>40705</v>
      </c>
      <c r="Y22" s="12">
        <v>520.86967203046311</v>
      </c>
      <c r="Z22" s="11">
        <v>9927.7759489006257</v>
      </c>
      <c r="AA22" s="86">
        <v>1.9271012828706091</v>
      </c>
      <c r="AB22" s="11">
        <v>1.955080588952967</v>
      </c>
      <c r="AC22" s="11">
        <v>198841.06768521055</v>
      </c>
      <c r="AD22" s="81">
        <v>102.70486878900853</v>
      </c>
      <c r="AE22" s="11">
        <f>(Opti_Salidas__30_ALL_Data_1[[#This Row],[All: TS Index]]-Z$47) /ABS(Z$47)</f>
        <v>-0.37001968136453184</v>
      </c>
      <c r="AF22" s="11">
        <f>(Opti_Salidas__30_ALL_Data_1[[#This Row],[All: Expectancy Score]]-AA$47) /ABS(AA$47)</f>
        <v>-0.92913061642224115</v>
      </c>
      <c r="AG22" s="11"/>
      <c r="AH22" s="11">
        <f>(Opti_Salidas__30_ALL_Data_1[[#This Row],[All: Perfect Profit Correlation]]-AC$47) /ABS(AC$47)</f>
        <v>-0.36602676296008024</v>
      </c>
      <c r="AI22" s="11">
        <f>(Opti_Salidas__30_ALL_Data_1[[#This Row],[All: Robustness Index]]-AD$47) /ABS(AD$47)</f>
        <v>-0.6114596641696034</v>
      </c>
      <c r="AJ22" s="11">
        <f>SUM(Opti_Salidas__30_ALL_Data_1[[#This Row],[VAR TS Index]:[VAR Robustness Index]])</f>
        <v>-2.2766367249164565</v>
      </c>
      <c r="AK22" s="11">
        <f>Opti_Salidas__30_ALL_Data_1[[#This Row],[SUMA]]-Opti_Salidas__30_ALL_Data_1[[#This Row],[VAR Robustness Index]]</f>
        <v>-1.6651770607468532</v>
      </c>
      <c r="AL22" s="11"/>
    </row>
    <row r="23" spans="1:38" x14ac:dyDescent="0.25">
      <c r="A23" s="11"/>
      <c r="B23" s="96">
        <v>12</v>
      </c>
      <c r="C23" s="96">
        <v>13</v>
      </c>
      <c r="D23" s="96">
        <v>207800</v>
      </c>
      <c r="E23" s="10">
        <v>2183050</v>
      </c>
      <c r="F23" s="10">
        <v>-1975250</v>
      </c>
      <c r="G23" s="10">
        <v>5283</v>
      </c>
      <c r="H23" s="96">
        <v>33.768692031042967</v>
      </c>
      <c r="I23" s="11">
        <v>1784</v>
      </c>
      <c r="J23" s="96">
        <v>3471</v>
      </c>
      <c r="K23" s="96">
        <v>18780</v>
      </c>
      <c r="L23" s="12">
        <v>-5050</v>
      </c>
      <c r="M23" s="12">
        <v>1223.6827392578125</v>
      </c>
      <c r="N23" s="12">
        <v>-569.07232666015625</v>
      </c>
      <c r="O23" s="12">
        <v>2.1503114488794721</v>
      </c>
      <c r="P23" s="11">
        <v>39.333711906113948</v>
      </c>
      <c r="Q23" s="13">
        <v>9</v>
      </c>
      <c r="R23" s="96">
        <v>17</v>
      </c>
      <c r="S23" s="96">
        <v>67</v>
      </c>
      <c r="T23" s="96">
        <v>22</v>
      </c>
      <c r="U23" s="96">
        <v>-47065</v>
      </c>
      <c r="V23" s="12">
        <v>1.1052018731806099</v>
      </c>
      <c r="W23" s="11">
        <v>1</v>
      </c>
      <c r="X23" s="96">
        <v>47065</v>
      </c>
      <c r="Y23" s="12">
        <v>441.51705088707109</v>
      </c>
      <c r="Z23" s="11">
        <v>7876.6641878253477</v>
      </c>
      <c r="AA23" s="86">
        <v>5.4639688159566298</v>
      </c>
      <c r="AB23" s="11">
        <v>1.896417986030146</v>
      </c>
      <c r="AC23" s="11">
        <v>194235.10784183926</v>
      </c>
      <c r="AD23" s="81">
        <v>159.78277985250699</v>
      </c>
      <c r="AE23" s="11">
        <f>(Opti_Salidas__30_ALL_Data_1[[#This Row],[All: TS Index]]-Z$47) /ABS(Z$47)</f>
        <v>-0.50017572511995623</v>
      </c>
      <c r="AF23" s="11">
        <f>(Opti_Salidas__30_ALL_Data_1[[#This Row],[All: Expectancy Score]]-AA$47) /ABS(AA$47)</f>
        <v>-0.79906188360887365</v>
      </c>
      <c r="AG23" s="11"/>
      <c r="AH23" s="11">
        <f>(Opti_Salidas__30_ALL_Data_1[[#This Row],[All: Perfect Profit Correlation]]-AC$47) /ABS(AC$47)</f>
        <v>-0.38071213608531806</v>
      </c>
      <c r="AI23" s="11">
        <f>(Opti_Salidas__30_ALL_Data_1[[#This Row],[All: Robustness Index]]-AD$47) /ABS(AD$47)</f>
        <v>-0.39552958223095042</v>
      </c>
      <c r="AJ23" s="11">
        <f>SUM(Opti_Salidas__30_ALL_Data_1[[#This Row],[VAR TS Index]:[VAR Robustness Index]])</f>
        <v>-2.0754793270450982</v>
      </c>
      <c r="AK23" s="11">
        <f>Opti_Salidas__30_ALL_Data_1[[#This Row],[SUMA]]-Opti_Salidas__30_ALL_Data_1[[#This Row],[VAR Robustness Index]]</f>
        <v>-1.6799497448141478</v>
      </c>
      <c r="AL23" s="11"/>
    </row>
    <row r="24" spans="1:38" x14ac:dyDescent="0.25">
      <c r="A24" s="11"/>
      <c r="B24" s="96">
        <v>25</v>
      </c>
      <c r="C24" s="96">
        <v>26</v>
      </c>
      <c r="D24" s="96">
        <v>217360</v>
      </c>
      <c r="E24" s="4">
        <v>2300170</v>
      </c>
      <c r="F24" s="4">
        <v>-2082810</v>
      </c>
      <c r="G24" s="4">
        <v>5283</v>
      </c>
      <c r="H24" s="96">
        <v>35.37762634866553</v>
      </c>
      <c r="I24" s="5">
        <v>1869</v>
      </c>
      <c r="J24" s="96">
        <v>3388</v>
      </c>
      <c r="K24" s="96">
        <v>18780</v>
      </c>
      <c r="L24" s="6">
        <v>-3410</v>
      </c>
      <c r="M24" s="6">
        <v>1230.695556640625</v>
      </c>
      <c r="N24" s="6">
        <v>-614.76092529296875</v>
      </c>
      <c r="O24" s="6">
        <v>2.001909207313604</v>
      </c>
      <c r="P24" s="5">
        <v>41.143289797463559</v>
      </c>
      <c r="Q24" s="7">
        <v>9</v>
      </c>
      <c r="R24" s="96">
        <v>17</v>
      </c>
      <c r="S24" s="96">
        <v>69</v>
      </c>
      <c r="T24" s="96">
        <v>24</v>
      </c>
      <c r="U24" s="96">
        <v>-45365</v>
      </c>
      <c r="V24" s="6">
        <v>1.1043590149845639</v>
      </c>
      <c r="W24" s="5">
        <v>1</v>
      </c>
      <c r="X24" s="96">
        <v>45365</v>
      </c>
      <c r="Y24" s="6">
        <v>479.13589771850548</v>
      </c>
      <c r="Z24" s="5">
        <v>8955.049928358867</v>
      </c>
      <c r="AA24" s="88">
        <v>1.1002618556015771</v>
      </c>
      <c r="AB24" s="5">
        <v>1.999377517586874</v>
      </c>
      <c r="AC24" s="5">
        <v>206332.12616644418</v>
      </c>
      <c r="AD24" s="80">
        <v>85.344157589246223</v>
      </c>
      <c r="AE24" s="5">
        <f>(Opti_Salidas__30_ALL_Data_1[[#This Row],[All: TS Index]]-Z$47) /ABS(Z$47)</f>
        <v>-0.43174531372368752</v>
      </c>
      <c r="AF24" s="11">
        <f>(Opti_Salidas__30_ALL_Data_1[[#This Row],[All: Expectancy Score]]-AA$47) /ABS(AA$47)</f>
        <v>-0.95953773671695475</v>
      </c>
      <c r="AG24" s="11"/>
      <c r="AH24" s="11">
        <f>(Opti_Salidas__30_ALL_Data_1[[#This Row],[All: Perfect Profit Correlation]]-AC$47) /ABS(AC$47)</f>
        <v>-0.34214270998506063</v>
      </c>
      <c r="AI24" s="11">
        <f>(Opti_Salidas__30_ALL_Data_1[[#This Row],[All: Robustness Index]]-AD$47) /ABS(AD$47)</f>
        <v>-0.67713655601849365</v>
      </c>
      <c r="AJ24" s="11">
        <f>SUM(Opti_Salidas__30_ALL_Data_1[[#This Row],[VAR TS Index]:[VAR Robustness Index]])</f>
        <v>-2.4105623164441967</v>
      </c>
      <c r="AK24" s="11">
        <f>Opti_Salidas__30_ALL_Data_1[[#This Row],[SUMA]]-Opti_Salidas__30_ALL_Data_1[[#This Row],[VAR Robustness Index]]</f>
        <v>-1.7334257604257031</v>
      </c>
      <c r="AL24" s="11"/>
    </row>
    <row r="25" spans="1:38" x14ac:dyDescent="0.25">
      <c r="A25" s="11"/>
      <c r="B25" s="96">
        <v>8</v>
      </c>
      <c r="C25" s="96">
        <v>9</v>
      </c>
      <c r="D25" s="96">
        <v>165430</v>
      </c>
      <c r="E25" s="10">
        <v>2025030</v>
      </c>
      <c r="F25" s="10">
        <v>-1859600</v>
      </c>
      <c r="G25" s="10">
        <v>5283</v>
      </c>
      <c r="H25" s="96">
        <v>35.093696763202729</v>
      </c>
      <c r="I25" s="11">
        <v>1854</v>
      </c>
      <c r="J25" s="96">
        <v>3404</v>
      </c>
      <c r="K25" s="96">
        <v>18780</v>
      </c>
      <c r="L25" s="12">
        <v>-4270</v>
      </c>
      <c r="M25" s="12">
        <v>1092.2491455078125</v>
      </c>
      <c r="N25" s="12">
        <v>-546.2984619140625</v>
      </c>
      <c r="O25" s="12">
        <v>1.999363391361026</v>
      </c>
      <c r="P25" s="11">
        <v>31.313647548741244</v>
      </c>
      <c r="Q25" s="13">
        <v>9</v>
      </c>
      <c r="R25" s="96">
        <v>17</v>
      </c>
      <c r="S25" s="96">
        <v>57</v>
      </c>
      <c r="T25" s="96">
        <v>20</v>
      </c>
      <c r="U25" s="96">
        <v>-38015</v>
      </c>
      <c r="V25" s="12">
        <v>1.0889599913959991</v>
      </c>
      <c r="W25" s="11">
        <v>1</v>
      </c>
      <c r="X25" s="96">
        <v>38015</v>
      </c>
      <c r="Y25" s="12">
        <v>435.17032750230175</v>
      </c>
      <c r="Z25" s="11">
        <v>8068.0578718926736</v>
      </c>
      <c r="AA25" s="86">
        <v>0.74289037113683898</v>
      </c>
      <c r="AB25" s="11">
        <v>1.5027295830448371</v>
      </c>
      <c r="AC25" s="11">
        <v>157182.88237374226</v>
      </c>
      <c r="AD25" s="81">
        <v>132.82611018227226</v>
      </c>
      <c r="AE25" s="11">
        <f>(Opti_Salidas__30_ALL_Data_1[[#This Row],[All: TS Index]]-Z$47) /ABS(Z$47)</f>
        <v>-0.48803058257300924</v>
      </c>
      <c r="AF25" s="11">
        <f>(Opti_Salidas__30_ALL_Data_1[[#This Row],[All: Expectancy Score]]-AA$47) /ABS(AA$47)</f>
        <v>-0.97268011643378938</v>
      </c>
      <c r="AG25" s="11"/>
      <c r="AH25" s="11">
        <f>(Opti_Salidas__30_ALL_Data_1[[#This Row],[All: Perfect Profit Correlation]]-AC$47) /ABS(AC$47)</f>
        <v>-0.49884728589617156</v>
      </c>
      <c r="AI25" s="11">
        <f>(Opti_Salidas__30_ALL_Data_1[[#This Row],[All: Robustness Index]]-AD$47) /ABS(AD$47)</f>
        <v>-0.49750871535324476</v>
      </c>
      <c r="AJ25" s="11">
        <f>SUM(Opti_Salidas__30_ALL_Data_1[[#This Row],[VAR TS Index]:[VAR Robustness Index]])</f>
        <v>-2.457066700256215</v>
      </c>
      <c r="AK25" s="11">
        <f>Opti_Salidas__30_ALL_Data_1[[#This Row],[SUMA]]-Opti_Salidas__30_ALL_Data_1[[#This Row],[VAR Robustness Index]]</f>
        <v>-1.9595579849029703</v>
      </c>
      <c r="AL25" s="11"/>
    </row>
    <row r="26" spans="1:38" x14ac:dyDescent="0.25">
      <c r="A26" s="11"/>
      <c r="B26" s="96">
        <v>18</v>
      </c>
      <c r="C26" s="96">
        <v>19</v>
      </c>
      <c r="D26" s="96">
        <v>140960</v>
      </c>
      <c r="E26" s="10">
        <v>2068210</v>
      </c>
      <c r="F26" s="10">
        <v>-1927250</v>
      </c>
      <c r="G26" s="10">
        <v>5283</v>
      </c>
      <c r="H26" s="96">
        <v>33.465833806549313</v>
      </c>
      <c r="I26" s="11">
        <v>1768</v>
      </c>
      <c r="J26" s="96">
        <v>3485</v>
      </c>
      <c r="K26" s="96">
        <v>3510</v>
      </c>
      <c r="L26" s="12">
        <v>-4630</v>
      </c>
      <c r="M26" s="12">
        <v>1169.802001953125</v>
      </c>
      <c r="N26" s="12">
        <v>-553.012939453125</v>
      </c>
      <c r="O26" s="12">
        <v>2.1153248296684399</v>
      </c>
      <c r="P26" s="11">
        <v>26.68180957789135</v>
      </c>
      <c r="Q26" s="13">
        <v>9</v>
      </c>
      <c r="R26" s="96">
        <v>17</v>
      </c>
      <c r="S26" s="96">
        <v>51</v>
      </c>
      <c r="T26" s="96">
        <v>21</v>
      </c>
      <c r="U26" s="96">
        <v>-39625</v>
      </c>
      <c r="V26" s="12">
        <v>1.073140485147231</v>
      </c>
      <c r="W26" s="11">
        <v>1</v>
      </c>
      <c r="X26" s="96">
        <v>39625</v>
      </c>
      <c r="Y26" s="12">
        <v>355.73501577287067</v>
      </c>
      <c r="Z26" s="11">
        <v>6289.3950788643533</v>
      </c>
      <c r="AA26" s="86">
        <v>5.2695165332106946</v>
      </c>
      <c r="AB26" s="11">
        <v>1.24419143818402</v>
      </c>
      <c r="AC26" s="11">
        <v>123062.52425606189</v>
      </c>
      <c r="AD26" s="81">
        <v>264.33515215223537</v>
      </c>
      <c r="AE26" s="11">
        <f>(Opti_Salidas__30_ALL_Data_1[[#This Row],[All: TS Index]]-Z$47) /ABS(Z$47)</f>
        <v>-0.6008980121830737</v>
      </c>
      <c r="AF26" s="11">
        <f>(Opti_Salidas__30_ALL_Data_1[[#This Row],[All: Expectancy Score]]-AA$47) /ABS(AA$47)</f>
        <v>-0.80621288990832707</v>
      </c>
      <c r="AG26" s="11"/>
      <c r="AH26" s="11">
        <f>(Opti_Salidas__30_ALL_Data_1[[#This Row],[All: Perfect Profit Correlation]]-AC$47) /ABS(AC$47)</f>
        <v>-0.60763464122797983</v>
      </c>
      <c r="AI26" s="11">
        <f>(Opti_Salidas__30_ALL_Data_1[[#This Row],[All: Robustness Index]]-AD$47) /ABS(AD$47)</f>
        <v>0</v>
      </c>
      <c r="AJ26" s="11">
        <f>SUM(Opti_Salidas__30_ALL_Data_1[[#This Row],[VAR TS Index]:[VAR Robustness Index]])</f>
        <v>-2.0147455433193806</v>
      </c>
      <c r="AK26" s="11">
        <f>Opti_Salidas__30_ALL_Data_1[[#This Row],[SUMA]]-Opti_Salidas__30_ALL_Data_1[[#This Row],[VAR Robustness Index]]</f>
        <v>-2.0147455433193806</v>
      </c>
      <c r="AL26" s="11"/>
    </row>
    <row r="27" spans="1:38" x14ac:dyDescent="0.25">
      <c r="A27" s="11"/>
      <c r="B27" s="96">
        <v>11</v>
      </c>
      <c r="C27" s="96">
        <v>12</v>
      </c>
      <c r="D27" s="96">
        <v>165320</v>
      </c>
      <c r="E27" s="10">
        <v>2221590</v>
      </c>
      <c r="F27" s="10">
        <v>-2056270</v>
      </c>
      <c r="G27" s="10">
        <v>5283</v>
      </c>
      <c r="H27" s="96">
        <v>35.964414158621992</v>
      </c>
      <c r="I27" s="11">
        <v>1900</v>
      </c>
      <c r="J27" s="96">
        <v>3358</v>
      </c>
      <c r="K27" s="96">
        <v>7410</v>
      </c>
      <c r="L27" s="12">
        <v>-5370</v>
      </c>
      <c r="M27" s="12">
        <v>1169.2579345703125</v>
      </c>
      <c r="N27" s="12">
        <v>-612.349609375</v>
      </c>
      <c r="O27" s="12">
        <v>1.909461387202853</v>
      </c>
      <c r="P27" s="11">
        <v>31.292826045807306</v>
      </c>
      <c r="Q27" s="13">
        <v>9</v>
      </c>
      <c r="R27" s="96">
        <v>17</v>
      </c>
      <c r="S27" s="96">
        <v>42</v>
      </c>
      <c r="T27" s="96">
        <v>23</v>
      </c>
      <c r="U27" s="96">
        <v>-51865</v>
      </c>
      <c r="V27" s="12">
        <v>1.080398002207881</v>
      </c>
      <c r="W27" s="11">
        <v>1</v>
      </c>
      <c r="X27" s="96">
        <v>51865</v>
      </c>
      <c r="Y27" s="12">
        <v>318.75060252578811</v>
      </c>
      <c r="Z27" s="11">
        <v>6056.2614479899739</v>
      </c>
      <c r="AA27" s="86">
        <v>2.110607793194974</v>
      </c>
      <c r="AB27" s="11">
        <v>1.4983782013372819</v>
      </c>
      <c r="AC27" s="11">
        <v>144007.92438661197</v>
      </c>
      <c r="AD27" s="81">
        <v>228.36544165457684</v>
      </c>
      <c r="AE27" s="11">
        <f>(Opti_Salidas__30_ALL_Data_1[[#This Row],[All: TS Index]]-Z$47) /ABS(Z$47)</f>
        <v>-0.61569181895498726</v>
      </c>
      <c r="AF27" s="11">
        <f>(Opti_Salidas__30_ALL_Data_1[[#This Row],[All: Expectancy Score]]-AA$47) /ABS(AA$47)</f>
        <v>-0.92238214223212434</v>
      </c>
      <c r="AG27" s="11"/>
      <c r="AH27" s="11">
        <f>(Opti_Salidas__30_ALL_Data_1[[#This Row],[All: Perfect Profit Correlation]]-AC$47) /ABS(AC$47)</f>
        <v>-0.54085355180593353</v>
      </c>
      <c r="AI27" s="11">
        <f>(Opti_Salidas__30_ALL_Data_1[[#This Row],[All: Robustness Index]]-AD$47) /ABS(AD$47)</f>
        <v>-0.13607615258428785</v>
      </c>
      <c r="AJ27" s="11">
        <f>SUM(Opti_Salidas__30_ALL_Data_1[[#This Row],[VAR TS Index]:[VAR Robustness Index]])</f>
        <v>-2.2150036655773331</v>
      </c>
      <c r="AK27" s="11">
        <f>Opti_Salidas__30_ALL_Data_1[[#This Row],[SUMA]]-Opti_Salidas__30_ALL_Data_1[[#This Row],[VAR Robustness Index]]</f>
        <v>-2.0789275129930451</v>
      </c>
      <c r="AL27" s="11"/>
    </row>
    <row r="28" spans="1:38" x14ac:dyDescent="0.25">
      <c r="A28" s="11"/>
      <c r="B28" s="96">
        <v>31</v>
      </c>
      <c r="C28" s="96">
        <v>32</v>
      </c>
      <c r="D28" s="96">
        <v>141550</v>
      </c>
      <c r="E28" s="10">
        <v>2075200</v>
      </c>
      <c r="F28" s="10">
        <v>-1933650</v>
      </c>
      <c r="G28" s="10">
        <v>5283</v>
      </c>
      <c r="H28" s="96">
        <v>33.484762445580159</v>
      </c>
      <c r="I28" s="11">
        <v>1769</v>
      </c>
      <c r="J28" s="96">
        <v>3492</v>
      </c>
      <c r="K28" s="96">
        <v>7660</v>
      </c>
      <c r="L28" s="12">
        <v>-3490</v>
      </c>
      <c r="M28" s="12">
        <v>1173.0921630859375</v>
      </c>
      <c r="N28" s="12">
        <v>-553.73712158203125</v>
      </c>
      <c r="O28" s="12">
        <v>2.118500128245699</v>
      </c>
      <c r="P28" s="11">
        <v>26.793488548173386</v>
      </c>
      <c r="Q28" s="13">
        <v>9</v>
      </c>
      <c r="R28" s="96">
        <v>17</v>
      </c>
      <c r="S28" s="96">
        <v>42</v>
      </c>
      <c r="T28" s="96">
        <v>19</v>
      </c>
      <c r="U28" s="96">
        <v>-41855</v>
      </c>
      <c r="V28" s="12">
        <v>1.073203527008507</v>
      </c>
      <c r="W28" s="11">
        <v>1</v>
      </c>
      <c r="X28" s="96">
        <v>41855</v>
      </c>
      <c r="Y28" s="12">
        <v>338.19137498506751</v>
      </c>
      <c r="Z28" s="11">
        <v>5982.6054234858439</v>
      </c>
      <c r="AA28" s="86">
        <v>2.0963995980305219</v>
      </c>
      <c r="AB28" s="11">
        <v>1.249324210510822</v>
      </c>
      <c r="AC28" s="11">
        <v>121804.14643735204</v>
      </c>
      <c r="AD28" s="81">
        <v>228.15277769208637</v>
      </c>
      <c r="AE28" s="11">
        <f>(Opti_Salidas__30_ALL_Data_1[[#This Row],[All: TS Index]]-Z$47) /ABS(Z$47)</f>
        <v>-0.62036576063390592</v>
      </c>
      <c r="AF28" s="11">
        <f>(Opti_Salidas__30_ALL_Data_1[[#This Row],[All: Expectancy Score]]-AA$47) /ABS(AA$47)</f>
        <v>-0.92290465033380398</v>
      </c>
      <c r="AG28" s="11"/>
      <c r="AH28" s="11">
        <f>(Opti_Salidas__30_ALL_Data_1[[#This Row],[All: Perfect Profit Correlation]]-AC$47) /ABS(AC$47)</f>
        <v>-0.61164677950722945</v>
      </c>
      <c r="AI28" s="11">
        <f>(Opti_Salidas__30_ALL_Data_1[[#This Row],[All: Robustness Index]]-AD$47) /ABS(AD$47)</f>
        <v>-0.13688067654093508</v>
      </c>
      <c r="AJ28" s="11">
        <f>SUM(Opti_Salidas__30_ALL_Data_1[[#This Row],[VAR TS Index]:[VAR Robustness Index]])</f>
        <v>-2.2917978670158741</v>
      </c>
      <c r="AK28" s="11">
        <f>Opti_Salidas__30_ALL_Data_1[[#This Row],[SUMA]]-Opti_Salidas__30_ALL_Data_1[[#This Row],[VAR Robustness Index]]</f>
        <v>-2.1549171904749391</v>
      </c>
      <c r="AL28" s="11"/>
    </row>
    <row r="29" spans="1:38" x14ac:dyDescent="0.25">
      <c r="A29" s="11"/>
      <c r="B29" s="96">
        <v>32</v>
      </c>
      <c r="C29" s="96">
        <v>33</v>
      </c>
      <c r="D29" s="96">
        <v>50870</v>
      </c>
      <c r="E29" s="10">
        <v>1551370</v>
      </c>
      <c r="F29" s="10">
        <v>-1500500</v>
      </c>
      <c r="G29" s="10">
        <v>5283</v>
      </c>
      <c r="H29" s="96">
        <v>28.184743516941133</v>
      </c>
      <c r="I29" s="11">
        <v>1489</v>
      </c>
      <c r="J29" s="96">
        <v>3767</v>
      </c>
      <c r="K29" s="96">
        <v>18440</v>
      </c>
      <c r="L29" s="12">
        <v>-3660</v>
      </c>
      <c r="M29" s="12">
        <v>1041.88720703125</v>
      </c>
      <c r="N29" s="12">
        <v>-398.32757568359375</v>
      </c>
      <c r="O29" s="12">
        <v>2.615654226909109</v>
      </c>
      <c r="P29" s="11">
        <v>9.6289986749952678</v>
      </c>
      <c r="Q29" s="13">
        <v>6</v>
      </c>
      <c r="R29" s="96">
        <v>18</v>
      </c>
      <c r="S29" s="96">
        <v>51</v>
      </c>
      <c r="T29" s="96">
        <v>13</v>
      </c>
      <c r="U29" s="96">
        <v>-50485</v>
      </c>
      <c r="V29" s="12">
        <v>1.033902032655782</v>
      </c>
      <c r="W29" s="11">
        <v>1</v>
      </c>
      <c r="X29" s="96">
        <v>50485</v>
      </c>
      <c r="Y29" s="12">
        <v>100.76260275329305</v>
      </c>
      <c r="Z29" s="11">
        <v>1500.3551549965337</v>
      </c>
      <c r="AA29" s="86">
        <v>3.130728432110486</v>
      </c>
      <c r="AB29" s="11">
        <v>0.35113823580464099</v>
      </c>
      <c r="AC29" s="11">
        <v>44088.607055392713</v>
      </c>
      <c r="AD29" s="81">
        <v>98.501046994808789</v>
      </c>
      <c r="AE29" s="11">
        <f>(Opti_Salidas__30_ALL_Data_1[[#This Row],[All: TS Index]]-Z$47) /ABS(Z$47)</f>
        <v>-0.90479295428542061</v>
      </c>
      <c r="AF29" s="11">
        <f>(Opti_Salidas__30_ALL_Data_1[[#This Row],[All: Expectancy Score]]-AA$47) /ABS(AA$47)</f>
        <v>-0.88486708191977737</v>
      </c>
      <c r="AG29" s="11"/>
      <c r="AH29" s="11">
        <f>(Opti_Salidas__30_ALL_Data_1[[#This Row],[All: Perfect Profit Correlation]]-AC$47) /ABS(AC$47)</f>
        <v>-0.85943046244481969</v>
      </c>
      <c r="AI29" s="11">
        <f>(Opti_Salidas__30_ALL_Data_1[[#This Row],[All: Robustness Index]]-AD$47) /ABS(AD$47)</f>
        <v>-0.62736304198360926</v>
      </c>
      <c r="AJ29" s="11">
        <f>SUM(Opti_Salidas__30_ALL_Data_1[[#This Row],[VAR TS Index]:[VAR Robustness Index]])</f>
        <v>-3.2764535406336268</v>
      </c>
      <c r="AK29" s="11">
        <f>Opti_Salidas__30_ALL_Data_1[[#This Row],[SUMA]]-Opti_Salidas__30_ALL_Data_1[[#This Row],[VAR Robustness Index]]</f>
        <v>-2.6490904986500174</v>
      </c>
      <c r="AL29" s="11"/>
    </row>
    <row r="30" spans="1:38" x14ac:dyDescent="0.25">
      <c r="A30" s="11"/>
      <c r="B30" s="96">
        <v>10</v>
      </c>
      <c r="C30" s="96">
        <v>11</v>
      </c>
      <c r="D30" s="96">
        <v>7720</v>
      </c>
      <c r="E30" s="10">
        <v>1650140</v>
      </c>
      <c r="F30" s="10">
        <v>-1642420</v>
      </c>
      <c r="G30" s="10">
        <v>5284</v>
      </c>
      <c r="H30" s="96">
        <v>41.180923542770628</v>
      </c>
      <c r="I30" s="11">
        <v>2176</v>
      </c>
      <c r="J30" s="96">
        <v>3051</v>
      </c>
      <c r="K30" s="96">
        <v>10570</v>
      </c>
      <c r="L30" s="12">
        <v>-5640</v>
      </c>
      <c r="M30" s="12">
        <v>758.33642578125</v>
      </c>
      <c r="N30" s="12">
        <v>-538.32183837890625</v>
      </c>
      <c r="O30" s="12">
        <v>1.4087045550016919</v>
      </c>
      <c r="P30" s="11">
        <v>1.461014383043149</v>
      </c>
      <c r="Q30" s="13">
        <v>10</v>
      </c>
      <c r="R30" s="96">
        <v>17</v>
      </c>
      <c r="S30" s="96">
        <v>21</v>
      </c>
      <c r="T30" s="96">
        <v>14</v>
      </c>
      <c r="U30" s="96">
        <v>-75115</v>
      </c>
      <c r="V30" s="12">
        <v>1.004700381144896</v>
      </c>
      <c r="W30" s="11">
        <v>1</v>
      </c>
      <c r="X30" s="96">
        <v>75115</v>
      </c>
      <c r="Y30" s="12">
        <v>10.277574385941556</v>
      </c>
      <c r="Z30" s="11">
        <v>223.64001863808826</v>
      </c>
      <c r="AA30" s="86">
        <v>-8.6918367295100996E-2</v>
      </c>
      <c r="AB30" s="11">
        <v>2.0800854555910998E-2</v>
      </c>
      <c r="AC30" s="11">
        <v>-785.07853350403479</v>
      </c>
      <c r="AD30" s="81">
        <v>-183.86230862148284</v>
      </c>
      <c r="AE30" s="11">
        <f>(Opti_Salidas__30_ALL_Data_1[[#This Row],[All: TS Index]]-Z$47) /ABS(Z$47)</f>
        <v>-0.98580862310688355</v>
      </c>
      <c r="AF30" s="11">
        <f>(Opti_Salidas__30_ALL_Data_1[[#This Row],[All: Expectancy Score]]-AA$47) /ABS(AA$47)</f>
        <v>-1.0031964335069163</v>
      </c>
      <c r="AG30" s="11"/>
      <c r="AH30" s="11">
        <f>(Opti_Salidas__30_ALL_Data_1[[#This Row],[All: Perfect Profit Correlation]]-AC$47) /ABS(AC$47)</f>
        <v>-1.0025030985048022</v>
      </c>
      <c r="AI30" s="11">
        <f>(Opti_Salidas__30_ALL_Data_1[[#This Row],[All: Robustness Index]]-AD$47) /ABS(AD$47)</f>
        <v>-1.6955651078733305</v>
      </c>
      <c r="AJ30" s="11">
        <f>SUM(Opti_Salidas__30_ALL_Data_1[[#This Row],[VAR TS Index]:[VAR Robustness Index]])</f>
        <v>-4.6870732629919321</v>
      </c>
      <c r="AK30" s="11">
        <f>Opti_Salidas__30_ALL_Data_1[[#This Row],[SUMA]]-Opti_Salidas__30_ALL_Data_1[[#This Row],[VAR Robustness Index]]</f>
        <v>-2.9915081551186016</v>
      </c>
      <c r="AL30" s="11"/>
    </row>
    <row r="31" spans="1:38" x14ac:dyDescent="0.25">
      <c r="A31" s="11"/>
      <c r="B31" s="96">
        <v>23</v>
      </c>
      <c r="C31" s="96">
        <v>24</v>
      </c>
      <c r="D31" s="96">
        <v>-57890</v>
      </c>
      <c r="E31" s="10">
        <v>1103250</v>
      </c>
      <c r="F31" s="10">
        <v>-1161140</v>
      </c>
      <c r="G31" s="10">
        <v>5283</v>
      </c>
      <c r="H31" s="96">
        <v>32.424758659852358</v>
      </c>
      <c r="I31" s="11">
        <v>1713</v>
      </c>
      <c r="J31" s="96">
        <v>3518</v>
      </c>
      <c r="K31" s="96">
        <v>9760</v>
      </c>
      <c r="L31" s="12">
        <v>-4170</v>
      </c>
      <c r="M31" s="12">
        <v>644.0455322265625</v>
      </c>
      <c r="N31" s="12">
        <v>-330.05685424804688</v>
      </c>
      <c r="O31" s="12">
        <v>1.9513169441484901</v>
      </c>
      <c r="P31" s="11">
        <v>-10.957789134961196</v>
      </c>
      <c r="Q31" s="13">
        <v>9</v>
      </c>
      <c r="R31" s="96">
        <v>17</v>
      </c>
      <c r="S31" s="96">
        <v>18</v>
      </c>
      <c r="T31" s="96">
        <v>8</v>
      </c>
      <c r="U31" s="96">
        <v>-67955</v>
      </c>
      <c r="V31" s="12">
        <v>0.95014382417279597</v>
      </c>
      <c r="W31" s="11">
        <v>1</v>
      </c>
      <c r="X31" s="96">
        <v>67955</v>
      </c>
      <c r="Y31" s="12">
        <v>-85.188727834596421</v>
      </c>
      <c r="Z31" s="11">
        <v>-1459.2829078066368</v>
      </c>
      <c r="AA31" s="86">
        <v>-2.652607193859053</v>
      </c>
      <c r="AB31" s="11">
        <v>-0.64969443849182196</v>
      </c>
      <c r="AC31" s="11">
        <v>-32785.808958491085</v>
      </c>
      <c r="AD31" s="81">
        <v>-49795.75590553553</v>
      </c>
      <c r="AE31" s="11">
        <f>(Opti_Salidas__30_ALL_Data_1[[#This Row],[All: TS Index]]-Z$47) /ABS(Z$47)</f>
        <v>-1.092600751263038</v>
      </c>
      <c r="AF31" s="11">
        <f>(Opti_Salidas__30_ALL_Data_1[[#This Row],[All: Expectancy Score]]-AA$47) /ABS(AA$47)</f>
        <v>-1.0975499515119891</v>
      </c>
      <c r="AG31" s="11"/>
      <c r="AH31" s="11">
        <f>(Opti_Salidas__30_ALL_Data_1[[#This Row],[All: Perfect Profit Correlation]]-AC$47) /ABS(AC$47)</f>
        <v>-1.1045323568031362</v>
      </c>
      <c r="AI31" s="11">
        <f>(Opti_Salidas__30_ALL_Data_1[[#This Row],[All: Robustness Index]]-AD$47) /ABS(AD$47)</f>
        <v>-189.38113470756721</v>
      </c>
      <c r="AJ31" s="11">
        <f>SUM(Opti_Salidas__30_ALL_Data_1[[#This Row],[VAR TS Index]:[VAR Robustness Index]])</f>
        <v>-192.67581776714539</v>
      </c>
      <c r="AK31" s="11">
        <f>Opti_Salidas__30_ALL_Data_1[[#This Row],[SUMA]]-Opti_Salidas__30_ALL_Data_1[[#This Row],[VAR Robustness Index]]</f>
        <v>-3.2946830595781762</v>
      </c>
      <c r="AL31" s="11"/>
    </row>
    <row r="32" spans="1:38" x14ac:dyDescent="0.25">
      <c r="A32" s="11"/>
      <c r="B32" s="96">
        <v>22</v>
      </c>
      <c r="C32" s="96">
        <v>23</v>
      </c>
      <c r="D32" s="96">
        <v>-45700</v>
      </c>
      <c r="E32" s="10">
        <v>785630</v>
      </c>
      <c r="F32" s="10">
        <v>-831330</v>
      </c>
      <c r="G32" s="10">
        <v>5284</v>
      </c>
      <c r="H32" s="96">
        <v>53.406510219530659</v>
      </c>
      <c r="I32" s="11">
        <v>2822</v>
      </c>
      <c r="J32" s="96">
        <v>2399</v>
      </c>
      <c r="K32" s="96">
        <v>3840</v>
      </c>
      <c r="L32" s="12">
        <v>-4440</v>
      </c>
      <c r="M32" s="12">
        <v>278.39474487304688</v>
      </c>
      <c r="N32" s="12">
        <v>-346.53189086914063</v>
      </c>
      <c r="O32" s="12">
        <v>0.80337409689711903</v>
      </c>
      <c r="P32" s="11">
        <v>-8.6487509462528394</v>
      </c>
      <c r="Q32" s="13">
        <v>15</v>
      </c>
      <c r="R32" s="96">
        <v>10</v>
      </c>
      <c r="S32" s="96">
        <v>7</v>
      </c>
      <c r="T32" s="96">
        <v>8</v>
      </c>
      <c r="U32" s="96">
        <v>-75885</v>
      </c>
      <c r="V32" s="12">
        <v>0.94502784694405395</v>
      </c>
      <c r="W32" s="11">
        <v>1</v>
      </c>
      <c r="X32" s="96">
        <v>75885</v>
      </c>
      <c r="Y32" s="12">
        <v>-60.222705409501216</v>
      </c>
      <c r="Z32" s="11">
        <v>-1699.4847466561243</v>
      </c>
      <c r="AA32" s="86">
        <v>-39.605535423232993</v>
      </c>
      <c r="AB32" s="11">
        <v>-0.435160364089268</v>
      </c>
      <c r="AC32" s="11">
        <v>-40472.574690591937</v>
      </c>
      <c r="AD32" s="81">
        <v>-311.8312046115625</v>
      </c>
      <c r="AE32" s="11">
        <f>(Opti_Salidas__30_ALL_Data_1[[#This Row],[All: TS Index]]-Z$47) /ABS(Z$47)</f>
        <v>-1.1078430806381265</v>
      </c>
      <c r="AF32" s="11">
        <f>(Opti_Salidas__30_ALL_Data_1[[#This Row],[All: Expectancy Score]]-AA$47) /ABS(AA$47)</f>
        <v>-2.4564983722757829</v>
      </c>
      <c r="AG32" s="11"/>
      <c r="AH32" s="11">
        <f>(Opti_Salidas__30_ALL_Data_1[[#This Row],[All: Perfect Profit Correlation]]-AC$47) /ABS(AC$47)</f>
        <v>-1.1290403913368392</v>
      </c>
      <c r="AI32" s="11">
        <f>(Opti_Salidas__30_ALL_Data_1[[#This Row],[All: Robustness Index]]-AD$47) /ABS(AD$47)</f>
        <v>-2.1796811815326529</v>
      </c>
      <c r="AJ32" s="11">
        <f>SUM(Opti_Salidas__30_ALL_Data_1[[#This Row],[VAR TS Index]:[VAR Robustness Index]])</f>
        <v>-6.8730630257834022</v>
      </c>
      <c r="AK32" s="11">
        <f>Opti_Salidas__30_ALL_Data_1[[#This Row],[SUMA]]-Opti_Salidas__30_ALL_Data_1[[#This Row],[VAR Robustness Index]]</f>
        <v>-4.6933818442507498</v>
      </c>
      <c r="AL32" s="11"/>
    </row>
    <row r="33" spans="1:38" x14ac:dyDescent="0.25">
      <c r="A33" s="11"/>
      <c r="B33" s="96">
        <v>13</v>
      </c>
      <c r="C33" s="96">
        <v>14</v>
      </c>
      <c r="D33" s="96">
        <v>-51580</v>
      </c>
      <c r="E33" s="10">
        <v>786820</v>
      </c>
      <c r="F33" s="10">
        <v>-838400</v>
      </c>
      <c r="G33" s="10">
        <v>5284</v>
      </c>
      <c r="H33" s="96">
        <v>53.444360333081001</v>
      </c>
      <c r="I33" s="11">
        <v>2824</v>
      </c>
      <c r="J33" s="96">
        <v>2397</v>
      </c>
      <c r="K33" s="96">
        <v>3840</v>
      </c>
      <c r="L33" s="12">
        <v>-5640</v>
      </c>
      <c r="M33" s="12">
        <v>278.61898803710938</v>
      </c>
      <c r="N33" s="12">
        <v>-349.77053833007813</v>
      </c>
      <c r="O33" s="12">
        <v>0.79657649088265103</v>
      </c>
      <c r="P33" s="11">
        <v>-9.7615442846328531</v>
      </c>
      <c r="Q33" s="13">
        <v>15</v>
      </c>
      <c r="R33" s="96">
        <v>10</v>
      </c>
      <c r="S33" s="96">
        <v>7</v>
      </c>
      <c r="T33" s="96">
        <v>8</v>
      </c>
      <c r="U33" s="96">
        <v>-79635</v>
      </c>
      <c r="V33" s="12">
        <v>0.93847805343511403</v>
      </c>
      <c r="W33" s="11">
        <v>1</v>
      </c>
      <c r="X33" s="96">
        <v>79635</v>
      </c>
      <c r="Y33" s="12">
        <v>-64.770515476863181</v>
      </c>
      <c r="Z33" s="11">
        <v>-1829.1193570666164</v>
      </c>
      <c r="AA33" s="86">
        <v>-43.677350689340294</v>
      </c>
      <c r="AB33" s="11">
        <v>-0.49261706188620302</v>
      </c>
      <c r="AC33" s="11">
        <v>-46792.657627060384</v>
      </c>
      <c r="AD33" s="81">
        <v>-244.83191261283883</v>
      </c>
      <c r="AE33" s="11">
        <f>(Opti_Salidas__30_ALL_Data_1[[#This Row],[All: TS Index]]-Z$47) /ABS(Z$47)</f>
        <v>-1.1160692184551901</v>
      </c>
      <c r="AF33" s="11">
        <f>(Opti_Salidas__30_ALL_Data_1[[#This Row],[All: Expectancy Score]]-AA$47) /ABS(AA$47)</f>
        <v>-2.6062398728998097</v>
      </c>
      <c r="AG33" s="11"/>
      <c r="AH33" s="11">
        <f>(Opti_Salidas__30_ALL_Data_1[[#This Row],[All: Perfect Profit Correlation]]-AC$47) /ABS(AC$47)</f>
        <v>-1.1491909743337925</v>
      </c>
      <c r="AI33" s="11">
        <f>(Opti_Salidas__30_ALL_Data_1[[#This Row],[All: Robustness Index]]-AD$47) /ABS(AD$47)</f>
        <v>-1.9262177603674737</v>
      </c>
      <c r="AJ33" s="11">
        <f>SUM(Opti_Salidas__30_ALL_Data_1[[#This Row],[VAR TS Index]:[VAR Robustness Index]])</f>
        <v>-6.7977178260562656</v>
      </c>
      <c r="AK33" s="11">
        <f>Opti_Salidas__30_ALL_Data_1[[#This Row],[SUMA]]-Opti_Salidas__30_ALL_Data_1[[#This Row],[VAR Robustness Index]]</f>
        <v>-4.8715000656887923</v>
      </c>
      <c r="AL33" s="11"/>
    </row>
    <row r="34" spans="1:38" x14ac:dyDescent="0.25">
      <c r="A34" s="11"/>
      <c r="B34" s="96">
        <v>21</v>
      </c>
      <c r="C34" s="96">
        <v>22</v>
      </c>
      <c r="D34" s="96">
        <v>-94470</v>
      </c>
      <c r="E34" s="10">
        <v>626670</v>
      </c>
      <c r="F34" s="10">
        <v>-721140</v>
      </c>
      <c r="G34" s="10">
        <v>5284</v>
      </c>
      <c r="H34" s="96">
        <v>48.031794095382288</v>
      </c>
      <c r="I34" s="11">
        <v>2538</v>
      </c>
      <c r="J34" s="96">
        <v>2675</v>
      </c>
      <c r="K34" s="96">
        <v>2990</v>
      </c>
      <c r="L34" s="12">
        <v>-5640</v>
      </c>
      <c r="M34" s="12">
        <v>246.91488647460938</v>
      </c>
      <c r="N34" s="12">
        <v>-269.58505249023438</v>
      </c>
      <c r="O34" s="12">
        <v>0.91590718474108901</v>
      </c>
      <c r="P34" s="11">
        <v>-17.878501135503406</v>
      </c>
      <c r="Q34" s="13">
        <v>15</v>
      </c>
      <c r="R34" s="96">
        <v>11</v>
      </c>
      <c r="S34" s="96">
        <v>5</v>
      </c>
      <c r="T34" s="96">
        <v>6</v>
      </c>
      <c r="U34" s="96">
        <v>-108215</v>
      </c>
      <c r="V34" s="12">
        <v>0.86899908478242804</v>
      </c>
      <c r="W34" s="11">
        <v>1</v>
      </c>
      <c r="X34" s="96">
        <v>108215</v>
      </c>
      <c r="Y34" s="12">
        <v>-87.298433673705119</v>
      </c>
      <c r="Z34" s="11">
        <v>-2215.6342466386359</v>
      </c>
      <c r="AA34" s="86">
        <v>-104.86467094680725</v>
      </c>
      <c r="AB34" s="11">
        <v>-0.92966171445382295</v>
      </c>
      <c r="AC34" s="11">
        <v>-91142.026605546649</v>
      </c>
      <c r="AD34" s="81">
        <v>-217.63123901389335</v>
      </c>
      <c r="AE34" s="11">
        <f>(Opti_Salidas__30_ALL_Data_1[[#This Row],[All: TS Index]]-Z$47) /ABS(Z$47)</f>
        <v>-1.1405960384139844</v>
      </c>
      <c r="AF34" s="11">
        <f>(Opti_Salidas__30_ALL_Data_1[[#This Row],[All: Expectancy Score]]-AA$47) /ABS(AA$47)</f>
        <v>-4.8564110019243518</v>
      </c>
      <c r="AG34" s="11"/>
      <c r="AH34" s="11">
        <f>(Opti_Salidas__30_ALL_Data_1[[#This Row],[All: Perfect Profit Correlation]]-AC$47) /ABS(AC$47)</f>
        <v>-1.2905919099618404</v>
      </c>
      <c r="AI34" s="11">
        <f>(Opti_Salidas__30_ALL_Data_1[[#This Row],[All: Robustness Index]]-AD$47) /ABS(AD$47)</f>
        <v>-1.8233155418109339</v>
      </c>
      <c r="AJ34" s="11">
        <f>SUM(Opti_Salidas__30_ALL_Data_1[[#This Row],[VAR TS Index]:[VAR Robustness Index]])</f>
        <v>-9.1109144921111103</v>
      </c>
      <c r="AK34" s="11">
        <f>Opti_Salidas__30_ALL_Data_1[[#This Row],[SUMA]]-Opti_Salidas__30_ALL_Data_1[[#This Row],[VAR Robustness Index]]</f>
        <v>-7.2875989503001763</v>
      </c>
      <c r="AL34" s="11"/>
    </row>
    <row r="35" spans="1:38" x14ac:dyDescent="0.25">
      <c r="A35" s="11"/>
      <c r="B35" s="96"/>
      <c r="C35" s="96"/>
      <c r="D35" s="96"/>
      <c r="E35" s="10"/>
      <c r="F35" s="10"/>
      <c r="G35" s="10"/>
      <c r="H35" s="96"/>
      <c r="I35" s="11"/>
      <c r="J35" s="96"/>
      <c r="K35" s="96"/>
      <c r="L35" s="12"/>
      <c r="M35" s="12"/>
      <c r="N35" s="12"/>
      <c r="O35" s="12"/>
      <c r="P35" s="11"/>
      <c r="Q35" s="13"/>
      <c r="R35" s="96"/>
      <c r="S35" s="96"/>
      <c r="T35" s="96"/>
      <c r="U35" s="96"/>
      <c r="V35" s="12"/>
      <c r="W35" s="11"/>
      <c r="X35" s="96"/>
      <c r="Y35" s="12"/>
      <c r="Z35" s="11"/>
      <c r="AA35" s="14"/>
      <c r="AB35" s="11"/>
      <c r="AC35" s="11"/>
      <c r="AD35" s="15"/>
      <c r="AE35" s="11"/>
      <c r="AF35" s="11"/>
      <c r="AG35" s="11"/>
      <c r="AH35" s="11"/>
      <c r="AI35" s="11"/>
      <c r="AJ35" s="11"/>
      <c r="AK35" s="11"/>
      <c r="AL35" s="11"/>
    </row>
    <row r="36" spans="1:38" x14ac:dyDescent="0.25">
      <c r="A36" s="11"/>
      <c r="B36" s="96"/>
      <c r="C36" s="96"/>
      <c r="D36" s="96"/>
      <c r="E36" s="10"/>
      <c r="F36" s="10"/>
      <c r="G36" s="10"/>
      <c r="H36" s="96"/>
      <c r="I36" s="11"/>
      <c r="J36" s="96"/>
      <c r="K36" s="96"/>
      <c r="L36" s="12"/>
      <c r="M36" s="12"/>
      <c r="N36" s="12"/>
      <c r="O36" s="12"/>
      <c r="P36" s="11"/>
      <c r="Q36" s="13"/>
      <c r="R36" s="96"/>
      <c r="S36" s="96"/>
      <c r="T36" s="96"/>
      <c r="U36" s="96"/>
      <c r="V36" s="12"/>
      <c r="W36" s="11"/>
      <c r="X36" s="96"/>
      <c r="Y36" s="12"/>
      <c r="Z36" s="11"/>
      <c r="AA36" s="14"/>
      <c r="AB36" s="11"/>
      <c r="AC36" s="11"/>
      <c r="AD36" s="15"/>
      <c r="AE36" s="11"/>
      <c r="AF36" s="11"/>
      <c r="AG36" s="11"/>
      <c r="AH36" s="11"/>
      <c r="AI36" s="11"/>
      <c r="AJ36" s="11"/>
      <c r="AK36" s="11"/>
      <c r="AL36" s="11"/>
    </row>
    <row r="37" spans="1:38" customFormat="1" ht="30" customHeight="1" x14ac:dyDescent="0.25">
      <c r="A37" s="39" t="s">
        <v>36</v>
      </c>
      <c r="B37" s="40">
        <v>16</v>
      </c>
      <c r="C37" s="47"/>
      <c r="D37" s="48">
        <v>185911.81818181818</v>
      </c>
      <c r="E37" s="48">
        <v>2055435.7575757576</v>
      </c>
      <c r="F37" s="48">
        <v>-1869523.9393939395</v>
      </c>
      <c r="G37" s="40">
        <v>5283.121212121212</v>
      </c>
      <c r="H37" s="40">
        <v>36.657913240363946</v>
      </c>
      <c r="I37" s="40">
        <v>1936.6969696969697</v>
      </c>
      <c r="J37" s="40">
        <v>3315.4545454545455</v>
      </c>
      <c r="K37" s="49">
        <v>12326.060606060606</v>
      </c>
      <c r="L37" s="49">
        <v>-5015.757575757576</v>
      </c>
      <c r="M37" s="49">
        <v>1094.3158893007221</v>
      </c>
      <c r="N37" s="49">
        <v>-559.41972582267988</v>
      </c>
      <c r="O37" s="50">
        <v>1.9186008293784285</v>
      </c>
      <c r="P37" s="49">
        <v>35.190776749791972</v>
      </c>
      <c r="Q37" s="40">
        <v>9.3939393939393945</v>
      </c>
      <c r="R37" s="40">
        <v>16.545454545454547</v>
      </c>
      <c r="S37" s="40">
        <v>53.606060606060609</v>
      </c>
      <c r="T37" s="40">
        <v>20.545454545454547</v>
      </c>
      <c r="U37" s="49">
        <v>-49521.666666666664</v>
      </c>
      <c r="V37" s="50">
        <v>1.0858495779822697</v>
      </c>
      <c r="W37" s="47"/>
      <c r="X37" s="47"/>
      <c r="Y37" s="40">
        <v>437.4278481117579</v>
      </c>
      <c r="Z37" s="47">
        <v>8125.6169705062248</v>
      </c>
      <c r="AA37" s="50">
        <v>-3.4286449531251968</v>
      </c>
      <c r="AB37" s="50">
        <v>1.7084470877713138</v>
      </c>
      <c r="AC37" s="50">
        <v>176519.2881345943</v>
      </c>
      <c r="AD37" s="50">
        <v>-1433.7356324554817</v>
      </c>
      <c r="AE37" s="11"/>
      <c r="AF37" s="11"/>
      <c r="AG37" s="11"/>
      <c r="AH37" s="11"/>
      <c r="AI37" s="11"/>
      <c r="AJ37" s="11"/>
      <c r="AK37" s="11"/>
      <c r="AL37" s="11"/>
    </row>
    <row r="38" spans="1:38" customFormat="1" ht="30" customHeight="1" x14ac:dyDescent="0.25">
      <c r="A38" s="41" t="s">
        <v>37</v>
      </c>
      <c r="B38" s="42">
        <v>1.6832508230603462</v>
      </c>
      <c r="C38" s="51"/>
      <c r="D38" s="52">
        <v>20027.004394325446</v>
      </c>
      <c r="E38" s="52">
        <v>88747.223017832803</v>
      </c>
      <c r="F38" s="52">
        <v>69865.04875599753</v>
      </c>
      <c r="G38" s="42">
        <v>5.7695250801999304E-2</v>
      </c>
      <c r="H38" s="42">
        <v>0.91765252047998513</v>
      </c>
      <c r="I38" s="42">
        <v>48.505632382426469</v>
      </c>
      <c r="J38" s="42">
        <v>50.315257846664252</v>
      </c>
      <c r="K38" s="53">
        <v>1152.6340830596112</v>
      </c>
      <c r="L38" s="53">
        <v>145.92509903059522</v>
      </c>
      <c r="M38" s="53">
        <v>51.683554723554728</v>
      </c>
      <c r="N38" s="53">
        <v>17.820972694624317</v>
      </c>
      <c r="O38" s="54">
        <v>6.7848607145697792E-2</v>
      </c>
      <c r="P38" s="53">
        <v>3.7907581571312172</v>
      </c>
      <c r="Q38" s="42">
        <v>0.33972859582997988</v>
      </c>
      <c r="R38" s="42">
        <v>0.36950752721991487</v>
      </c>
      <c r="S38" s="42">
        <v>3.4730944726273005</v>
      </c>
      <c r="T38" s="42">
        <v>0.99343575562336395</v>
      </c>
      <c r="U38" s="53">
        <v>2643.0504453312374</v>
      </c>
      <c r="V38" s="54">
        <v>1.192843623474759E-2</v>
      </c>
      <c r="W38" s="51"/>
      <c r="X38" s="51"/>
      <c r="Y38" s="42">
        <v>44.313077089170413</v>
      </c>
      <c r="Z38" s="51">
        <v>860.20950342629067</v>
      </c>
      <c r="AA38" s="54">
        <v>3.7640005003707082</v>
      </c>
      <c r="AB38" s="54">
        <v>0.1905760920407851</v>
      </c>
      <c r="AC38" s="55">
        <v>19032.648698329751</v>
      </c>
      <c r="AD38" s="54">
        <v>1511.4773874402963</v>
      </c>
      <c r="AE38" s="11"/>
      <c r="AF38" s="11"/>
      <c r="AG38" s="11"/>
      <c r="AH38" s="11"/>
      <c r="AI38" s="11"/>
      <c r="AJ38" s="11"/>
      <c r="AK38" s="11"/>
      <c r="AL38" s="11"/>
    </row>
    <row r="39" spans="1:38" customFormat="1" ht="30" customHeight="1" x14ac:dyDescent="0.25">
      <c r="A39" s="43" t="s">
        <v>38</v>
      </c>
      <c r="B39" s="44">
        <v>16</v>
      </c>
      <c r="C39" s="56"/>
      <c r="D39" s="57">
        <v>235890</v>
      </c>
      <c r="E39" s="57">
        <v>2307780</v>
      </c>
      <c r="F39" s="57">
        <v>-2069310</v>
      </c>
      <c r="G39" s="44">
        <v>5283</v>
      </c>
      <c r="H39" s="44">
        <v>35.77512776831346</v>
      </c>
      <c r="I39" s="44">
        <v>1890</v>
      </c>
      <c r="J39" s="44">
        <v>3367</v>
      </c>
      <c r="K39" s="58">
        <v>11410</v>
      </c>
      <c r="L39" s="58">
        <v>-5640</v>
      </c>
      <c r="M39" s="58">
        <v>1230.695556640625</v>
      </c>
      <c r="N39" s="58">
        <v>-613.028076171875</v>
      </c>
      <c r="O39" s="59">
        <v>1.999363391361026</v>
      </c>
      <c r="P39" s="58">
        <v>44.650766609880748</v>
      </c>
      <c r="Q39" s="44">
        <v>9</v>
      </c>
      <c r="R39" s="44">
        <v>17</v>
      </c>
      <c r="S39" s="44">
        <v>60</v>
      </c>
      <c r="T39" s="44">
        <v>24</v>
      </c>
      <c r="U39" s="58">
        <v>-45225</v>
      </c>
      <c r="V39" s="59">
        <v>1.112870349104272</v>
      </c>
      <c r="W39" s="56"/>
      <c r="X39" s="56"/>
      <c r="Y39" s="44">
        <v>516.11788837309723</v>
      </c>
      <c r="Z39" s="60">
        <v>9754.6280902515391</v>
      </c>
      <c r="AA39" s="61">
        <v>1.37793705516673</v>
      </c>
      <c r="AB39" s="59">
        <v>2.183888284250374</v>
      </c>
      <c r="AC39" s="62">
        <v>223460.27252608197</v>
      </c>
      <c r="AD39" s="63">
        <v>102.70486878900853</v>
      </c>
      <c r="AE39" s="11"/>
      <c r="AF39" s="11"/>
      <c r="AG39" s="11"/>
      <c r="AH39" s="11"/>
      <c r="AI39" s="11"/>
      <c r="AJ39" s="11"/>
      <c r="AK39" s="11"/>
      <c r="AL39" s="11"/>
    </row>
    <row r="40" spans="1:38" customFormat="1" ht="30" customHeight="1" x14ac:dyDescent="0.25">
      <c r="A40" s="41" t="s">
        <v>39</v>
      </c>
      <c r="B40" s="42" t="e">
        <v>#N/A</v>
      </c>
      <c r="C40" s="51"/>
      <c r="D40" s="52" t="e">
        <v>#N/A</v>
      </c>
      <c r="E40" s="52">
        <v>2326160</v>
      </c>
      <c r="F40" s="52" t="e">
        <v>#N/A</v>
      </c>
      <c r="G40" s="42">
        <v>5283</v>
      </c>
      <c r="H40" s="42">
        <v>35.77512776831346</v>
      </c>
      <c r="I40" s="42">
        <v>1890</v>
      </c>
      <c r="J40" s="42">
        <v>3367</v>
      </c>
      <c r="K40" s="53">
        <v>18780</v>
      </c>
      <c r="L40" s="53">
        <v>-5640</v>
      </c>
      <c r="M40" s="53">
        <v>1230.7724609375</v>
      </c>
      <c r="N40" s="53" t="e">
        <v>#N/A</v>
      </c>
      <c r="O40" s="54" t="e">
        <v>#N/A</v>
      </c>
      <c r="P40" s="53" t="e">
        <v>#N/A</v>
      </c>
      <c r="Q40" s="42">
        <v>9</v>
      </c>
      <c r="R40" s="42">
        <v>17</v>
      </c>
      <c r="S40" s="42">
        <v>69</v>
      </c>
      <c r="T40" s="42">
        <v>24</v>
      </c>
      <c r="U40" s="53">
        <v>-45225</v>
      </c>
      <c r="V40" s="54" t="e">
        <v>#N/A</v>
      </c>
      <c r="W40" s="51"/>
      <c r="X40" s="51"/>
      <c r="Y40" s="42" t="e">
        <v>#N/A</v>
      </c>
      <c r="Z40" s="51" t="e">
        <v>#N/A</v>
      </c>
      <c r="AA40" s="54" t="e">
        <v>#N/A</v>
      </c>
      <c r="AB40" s="54" t="e">
        <v>#N/A</v>
      </c>
      <c r="AC40" s="55" t="e">
        <v>#N/A</v>
      </c>
      <c r="AD40" s="54" t="e">
        <v>#N/A</v>
      </c>
      <c r="AE40" s="11"/>
      <c r="AF40" s="11"/>
      <c r="AG40" s="11"/>
      <c r="AH40" s="11"/>
      <c r="AI40" s="11"/>
      <c r="AJ40" s="11"/>
      <c r="AK40" s="11"/>
      <c r="AL40" s="11"/>
    </row>
    <row r="41" spans="1:38" customFormat="1" ht="30" customHeight="1" x14ac:dyDescent="0.25">
      <c r="A41" s="43" t="s">
        <v>40</v>
      </c>
      <c r="B41" s="44">
        <v>9.6695398029068578</v>
      </c>
      <c r="C41" s="59"/>
      <c r="D41" s="57">
        <v>115046.38136569491</v>
      </c>
      <c r="E41" s="57">
        <v>509813.98233222228</v>
      </c>
      <c r="F41" s="57">
        <v>401344.14938226156</v>
      </c>
      <c r="G41" s="44">
        <v>0.33143398263980844</v>
      </c>
      <c r="H41" s="44">
        <v>5.2715123916507958</v>
      </c>
      <c r="I41" s="44">
        <v>278.64364393079251</v>
      </c>
      <c r="J41" s="44">
        <v>289.03915077687691</v>
      </c>
      <c r="K41" s="58">
        <v>6621.3786986708537</v>
      </c>
      <c r="L41" s="58">
        <v>838.27587308351997</v>
      </c>
      <c r="M41" s="58">
        <v>296.89941790523659</v>
      </c>
      <c r="N41" s="58">
        <v>102.37369406651301</v>
      </c>
      <c r="O41" s="59">
        <v>0.38976057422880872</v>
      </c>
      <c r="P41" s="58">
        <v>21.776247711515325</v>
      </c>
      <c r="Q41" s="44">
        <v>1.9515922015657177</v>
      </c>
      <c r="R41" s="44">
        <v>2.1226591384821569</v>
      </c>
      <c r="S41" s="44">
        <v>19.951408775352483</v>
      </c>
      <c r="T41" s="44">
        <v>5.7068539334892581</v>
      </c>
      <c r="U41" s="58">
        <v>15183.168861165528</v>
      </c>
      <c r="V41" s="59">
        <v>6.8523649225741737E-2</v>
      </c>
      <c r="W41" s="59"/>
      <c r="X41" s="59"/>
      <c r="Y41" s="44">
        <v>254.55924739960847</v>
      </c>
      <c r="Z41" s="59">
        <v>4941.5273815796954</v>
      </c>
      <c r="AA41" s="59">
        <v>21.622536675980019</v>
      </c>
      <c r="AB41" s="59">
        <v>1.0947762996606873</v>
      </c>
      <c r="AC41" s="50">
        <v>109334.24277710571</v>
      </c>
      <c r="AD41" s="59">
        <v>8682.7765409764143</v>
      </c>
      <c r="AE41" s="11"/>
      <c r="AF41" s="11"/>
      <c r="AG41" s="11"/>
      <c r="AH41" s="11"/>
      <c r="AI41" s="11"/>
      <c r="AJ41" s="11"/>
      <c r="AK41" s="11"/>
      <c r="AL41" s="11"/>
    </row>
    <row r="42" spans="1:38" customFormat="1" ht="30" customHeight="1" x14ac:dyDescent="0.25">
      <c r="A42" s="41" t="s">
        <v>41</v>
      </c>
      <c r="B42" s="42">
        <v>93.5</v>
      </c>
      <c r="C42" s="54"/>
      <c r="D42" s="52">
        <v>13235669865.340912</v>
      </c>
      <c r="E42" s="52">
        <v>259910296581.43945</v>
      </c>
      <c r="F42" s="52">
        <v>161077126243.37109</v>
      </c>
      <c r="G42" s="42">
        <v>0.10984848484848483</v>
      </c>
      <c r="H42" s="42">
        <v>27.788842895327889</v>
      </c>
      <c r="I42" s="42">
        <v>77642.280303030275</v>
      </c>
      <c r="J42" s="42">
        <v>83543.630681818177</v>
      </c>
      <c r="K42" s="52">
        <v>43842655.871212125</v>
      </c>
      <c r="L42" s="52">
        <v>702706.43939393759</v>
      </c>
      <c r="M42" s="52">
        <v>88149.264352468308</v>
      </c>
      <c r="N42" s="52">
        <v>10480.373236824002</v>
      </c>
      <c r="O42" s="54">
        <v>0.1519133052231707</v>
      </c>
      <c r="P42" s="52">
        <v>474.20496439327644</v>
      </c>
      <c r="Q42" s="42">
        <v>3.8087121212121247</v>
      </c>
      <c r="R42" s="42">
        <v>4.505681818181813</v>
      </c>
      <c r="S42" s="42">
        <v>398.05871212121201</v>
      </c>
      <c r="T42" s="42">
        <v>32.568181818181813</v>
      </c>
      <c r="U42" s="52">
        <v>230528616.66666651</v>
      </c>
      <c r="V42" s="54">
        <v>4.6954905032124952E-3</v>
      </c>
      <c r="W42" s="51"/>
      <c r="X42" s="51"/>
      <c r="Y42" s="42">
        <v>64800.410436655075</v>
      </c>
      <c r="Z42" s="51">
        <v>24418692.862901881</v>
      </c>
      <c r="AA42" s="54">
        <v>467.53409230410102</v>
      </c>
      <c r="AB42" s="54">
        <v>1.198535146298747</v>
      </c>
      <c r="AC42" s="64">
        <v>11953976643.643093</v>
      </c>
      <c r="AD42" s="54">
        <v>75390608.460530341</v>
      </c>
      <c r="AE42" s="11"/>
      <c r="AF42" s="11"/>
      <c r="AG42" s="11"/>
      <c r="AH42" s="11"/>
      <c r="AI42" s="11"/>
      <c r="AJ42" s="11"/>
      <c r="AK42" s="11"/>
      <c r="AL42" s="11"/>
    </row>
    <row r="43" spans="1:38" customFormat="1" ht="30" customHeight="1" x14ac:dyDescent="0.25">
      <c r="A43" s="43" t="s">
        <v>42</v>
      </c>
      <c r="B43" s="44">
        <v>-1.1999999999999997</v>
      </c>
      <c r="C43" s="59"/>
      <c r="D43" s="57">
        <v>0.63492808913020493</v>
      </c>
      <c r="E43" s="57">
        <v>2.5042566529162031</v>
      </c>
      <c r="F43" s="57">
        <v>3.01390033448738</v>
      </c>
      <c r="G43" s="44">
        <v>4.1699666295920998</v>
      </c>
      <c r="H43" s="44">
        <v>5.6026369711354835</v>
      </c>
      <c r="I43" s="44">
        <v>5.6026800361320017</v>
      </c>
      <c r="J43" s="44">
        <v>5.5973514065739671</v>
      </c>
      <c r="K43" s="58">
        <v>-1.5926259261737385</v>
      </c>
      <c r="L43" s="58">
        <v>-1.0310921693507793</v>
      </c>
      <c r="M43" s="58">
        <v>3.8030701812418308</v>
      </c>
      <c r="N43" s="58">
        <v>1.7952913835274305</v>
      </c>
      <c r="O43" s="59">
        <v>4.1170814187195024</v>
      </c>
      <c r="P43" s="58">
        <v>0.63478245340986295</v>
      </c>
      <c r="Q43" s="44">
        <v>5.0896566916957759</v>
      </c>
      <c r="R43" s="44">
        <v>6.0123357168824469</v>
      </c>
      <c r="S43" s="44">
        <v>1.099251164824937</v>
      </c>
      <c r="T43" s="44">
        <v>1.2177587856412901</v>
      </c>
      <c r="U43" s="58">
        <v>6.5262028994705226</v>
      </c>
      <c r="V43" s="59">
        <v>2.7721735067740325</v>
      </c>
      <c r="W43" s="59"/>
      <c r="X43" s="59"/>
      <c r="Y43" s="44">
        <v>0.21128127491796755</v>
      </c>
      <c r="Z43" s="59">
        <v>0.14101755827924345</v>
      </c>
      <c r="AA43" s="59">
        <v>15.861598856094185</v>
      </c>
      <c r="AB43" s="59">
        <v>0.52322085241855909</v>
      </c>
      <c r="AC43" s="50">
        <v>0.43789121116998198</v>
      </c>
      <c r="AD43" s="59">
        <v>32.984265254628426</v>
      </c>
      <c r="AE43" s="11"/>
      <c r="AF43" s="11"/>
      <c r="AG43" s="11"/>
      <c r="AH43" s="11"/>
      <c r="AI43" s="11"/>
      <c r="AJ43" s="11"/>
      <c r="AK43" s="11"/>
      <c r="AL43" s="11"/>
    </row>
    <row r="44" spans="1:38" customFormat="1" ht="30" customHeight="1" x14ac:dyDescent="0.25">
      <c r="A44" s="41" t="s">
        <v>43</v>
      </c>
      <c r="B44" s="42">
        <v>1.1079846717529283E-17</v>
      </c>
      <c r="C44" s="54"/>
      <c r="D44" s="52">
        <v>-1.3000085132273036</v>
      </c>
      <c r="E44" s="52">
        <v>-1.9131589534152966</v>
      </c>
      <c r="F44" s="52">
        <v>2.0393992434847452</v>
      </c>
      <c r="G44" s="42">
        <v>2.4332194498595001</v>
      </c>
      <c r="H44" s="42">
        <v>2.263758239893217</v>
      </c>
      <c r="I44" s="42">
        <v>2.264211361843806</v>
      </c>
      <c r="J44" s="42">
        <v>-2.302332605996269</v>
      </c>
      <c r="K44" s="53">
        <v>-7.7912622854781665E-3</v>
      </c>
      <c r="L44" s="53">
        <v>0.52617403181296907</v>
      </c>
      <c r="M44" s="53">
        <v>-2.2370022413805253</v>
      </c>
      <c r="N44" s="53">
        <v>1.757220176928489</v>
      </c>
      <c r="O44" s="54">
        <v>-1.9065931146627366</v>
      </c>
      <c r="P44" s="53">
        <v>-1.2999657972096565</v>
      </c>
      <c r="Q44" s="42">
        <v>2.0092186611787133</v>
      </c>
      <c r="R44" s="42">
        <v>-2.2166549009725336</v>
      </c>
      <c r="S44" s="42">
        <v>-1.4750884009473864</v>
      </c>
      <c r="T44" s="42">
        <v>-1.6163504131236244</v>
      </c>
      <c r="U44" s="53">
        <v>-2.4515086978914549</v>
      </c>
      <c r="V44" s="54">
        <v>-1.8349500576562452</v>
      </c>
      <c r="W44" s="54"/>
      <c r="X44" s="54"/>
      <c r="Y44" s="42">
        <v>-0.90942564657926428</v>
      </c>
      <c r="Z44" s="54">
        <v>-0.89453509275467291</v>
      </c>
      <c r="AA44" s="54">
        <v>-3.6948879131122121</v>
      </c>
      <c r="AB44" s="54">
        <v>-1.2553127429539008</v>
      </c>
      <c r="AC44" s="55">
        <v>-1.2069004915755792</v>
      </c>
      <c r="AD44" s="54">
        <v>-5.7425753930310837</v>
      </c>
      <c r="AE44" s="11"/>
      <c r="AF44" s="11"/>
      <c r="AG44" s="11"/>
      <c r="AH44" s="11"/>
      <c r="AI44" s="11"/>
      <c r="AJ44" s="11"/>
      <c r="AK44" s="11"/>
      <c r="AL44" s="11"/>
    </row>
    <row r="45" spans="1:38" customFormat="1" ht="30" customHeight="1" x14ac:dyDescent="0.25">
      <c r="A45" s="43" t="s">
        <v>44</v>
      </c>
      <c r="B45" s="44">
        <v>32</v>
      </c>
      <c r="C45" s="56"/>
      <c r="D45" s="57">
        <v>417540</v>
      </c>
      <c r="E45" s="57">
        <v>1772100</v>
      </c>
      <c r="F45" s="57">
        <v>1368780</v>
      </c>
      <c r="G45" s="44">
        <v>1</v>
      </c>
      <c r="H45" s="44">
        <v>25.259616816139868</v>
      </c>
      <c r="I45" s="44">
        <v>1335</v>
      </c>
      <c r="J45" s="44">
        <v>1370</v>
      </c>
      <c r="K45" s="58">
        <v>19950</v>
      </c>
      <c r="L45" s="58">
        <v>3130</v>
      </c>
      <c r="M45" s="58">
        <v>1024.1642150878906</v>
      </c>
      <c r="N45" s="58">
        <v>351.08615112304688</v>
      </c>
      <c r="O45" s="59">
        <v>1.8190777360264581</v>
      </c>
      <c r="P45" s="58">
        <v>79.031255252482396</v>
      </c>
      <c r="Q45" s="44">
        <v>9</v>
      </c>
      <c r="R45" s="44">
        <v>11</v>
      </c>
      <c r="S45" s="44">
        <v>64</v>
      </c>
      <c r="T45" s="44">
        <v>18</v>
      </c>
      <c r="U45" s="58">
        <v>72220</v>
      </c>
      <c r="V45" s="59">
        <v>0.28810632810131498</v>
      </c>
      <c r="W45" s="56"/>
      <c r="X45" s="56"/>
      <c r="Y45" s="44">
        <v>926.76835702046355</v>
      </c>
      <c r="Z45" s="56">
        <v>17974.501079818601</v>
      </c>
      <c r="AA45" s="59">
        <v>132.05696733183458</v>
      </c>
      <c r="AB45" s="59">
        <v>3.9638051340665692</v>
      </c>
      <c r="AC45" s="50">
        <v>404784.71066208201</v>
      </c>
      <c r="AD45" s="59">
        <v>50060.091057687765</v>
      </c>
      <c r="AE45" s="11"/>
      <c r="AF45" s="11"/>
      <c r="AG45" s="11"/>
      <c r="AH45" s="11"/>
      <c r="AI45" s="11"/>
      <c r="AJ45" s="11"/>
      <c r="AK45" s="11"/>
      <c r="AL45" s="11"/>
    </row>
    <row r="46" spans="1:38" customFormat="1" ht="30" customHeight="1" x14ac:dyDescent="0.25">
      <c r="A46" s="41" t="s">
        <v>45</v>
      </c>
      <c r="B46" s="42">
        <v>0</v>
      </c>
      <c r="C46" s="51"/>
      <c r="D46" s="52">
        <v>-94470</v>
      </c>
      <c r="E46" s="52">
        <v>626670</v>
      </c>
      <c r="F46" s="52">
        <v>-2089920</v>
      </c>
      <c r="G46" s="42">
        <v>5283</v>
      </c>
      <c r="H46" s="42">
        <v>28.184743516941133</v>
      </c>
      <c r="I46" s="42">
        <v>1489</v>
      </c>
      <c r="J46" s="42">
        <v>2397</v>
      </c>
      <c r="K46" s="53">
        <v>2990</v>
      </c>
      <c r="L46" s="53">
        <v>-6540</v>
      </c>
      <c r="M46" s="53">
        <v>246.91488647460938</v>
      </c>
      <c r="N46" s="53">
        <v>-620.67120361328125</v>
      </c>
      <c r="O46" s="54">
        <v>0.79657649088265103</v>
      </c>
      <c r="P46" s="53">
        <v>-17.878501135503406</v>
      </c>
      <c r="Q46" s="42">
        <v>6</v>
      </c>
      <c r="R46" s="42">
        <v>10</v>
      </c>
      <c r="S46" s="42">
        <v>5</v>
      </c>
      <c r="T46" s="42">
        <v>6</v>
      </c>
      <c r="U46" s="53">
        <v>-108215</v>
      </c>
      <c r="V46" s="54">
        <v>0.86899908478242804</v>
      </c>
      <c r="W46" s="51"/>
      <c r="X46" s="51"/>
      <c r="Y46" s="51">
        <v>-87.298433673705119</v>
      </c>
      <c r="Z46" s="60">
        <v>-2215.6342466386359</v>
      </c>
      <c r="AA46" s="61">
        <v>-104.86467094680725</v>
      </c>
      <c r="AB46" s="54">
        <v>-0.92966171445382295</v>
      </c>
      <c r="AC46" s="62">
        <v>-91142.026605546649</v>
      </c>
      <c r="AD46" s="63">
        <v>-49795.75590553553</v>
      </c>
      <c r="AE46" s="5"/>
      <c r="AF46" s="11"/>
      <c r="AG46" s="11"/>
      <c r="AH46" s="11"/>
      <c r="AI46" s="11"/>
      <c r="AJ46" s="11"/>
      <c r="AK46" s="11"/>
      <c r="AL46" s="11"/>
    </row>
    <row r="47" spans="1:38" customFormat="1" ht="30" customHeight="1" x14ac:dyDescent="0.25">
      <c r="A47" s="43" t="s">
        <v>46</v>
      </c>
      <c r="B47" s="44">
        <v>32</v>
      </c>
      <c r="C47" s="56"/>
      <c r="D47" s="57">
        <v>323070</v>
      </c>
      <c r="E47" s="57">
        <v>2398770</v>
      </c>
      <c r="F47" s="57">
        <v>-721140</v>
      </c>
      <c r="G47" s="44">
        <v>5284</v>
      </c>
      <c r="H47" s="44">
        <v>53.444360333081001</v>
      </c>
      <c r="I47" s="44">
        <v>2824</v>
      </c>
      <c r="J47" s="44">
        <v>3767</v>
      </c>
      <c r="K47" s="58">
        <v>22940</v>
      </c>
      <c r="L47" s="58">
        <v>-3410</v>
      </c>
      <c r="M47" s="58">
        <v>1271.0791015625</v>
      </c>
      <c r="N47" s="58">
        <v>-269.58505249023438</v>
      </c>
      <c r="O47" s="59">
        <v>2.615654226909109</v>
      </c>
      <c r="P47" s="58">
        <v>61.15275411697899</v>
      </c>
      <c r="Q47" s="44">
        <v>15</v>
      </c>
      <c r="R47" s="44">
        <v>21</v>
      </c>
      <c r="S47" s="44">
        <v>69</v>
      </c>
      <c r="T47" s="44">
        <v>24</v>
      </c>
      <c r="U47" s="58">
        <v>-35995</v>
      </c>
      <c r="V47" s="59">
        <v>1.157105412883743</v>
      </c>
      <c r="W47" s="56"/>
      <c r="X47" s="56"/>
      <c r="Y47" s="44">
        <v>839.46992334675849</v>
      </c>
      <c r="Z47" s="60">
        <v>15758.866833179965</v>
      </c>
      <c r="AA47" s="61">
        <v>27.192296385027348</v>
      </c>
      <c r="AB47" s="59">
        <v>3.0341434196127461</v>
      </c>
      <c r="AC47" s="62">
        <v>313642.68405653536</v>
      </c>
      <c r="AD47" s="65">
        <v>264.33515215223537</v>
      </c>
      <c r="AE47" s="11"/>
      <c r="AF47" s="11"/>
      <c r="AG47" s="11"/>
      <c r="AH47" s="11"/>
      <c r="AI47" s="11"/>
      <c r="AJ47" s="11"/>
      <c r="AK47" s="11"/>
      <c r="AL47" s="11"/>
    </row>
    <row r="48" spans="1:38" customFormat="1" ht="30" customHeight="1" x14ac:dyDescent="0.25">
      <c r="A48" s="45" t="s">
        <v>47</v>
      </c>
      <c r="B48" s="46">
        <v>3.4286697268982782</v>
      </c>
      <c r="C48" s="66"/>
      <c r="D48" s="67">
        <v>40793.67302042347</v>
      </c>
      <c r="E48" s="67">
        <v>180772.17770451342</v>
      </c>
      <c r="F48" s="67">
        <v>142310.44735355701</v>
      </c>
      <c r="G48" s="46">
        <v>0.11752138011788553</v>
      </c>
      <c r="H48" s="46">
        <v>1.8691970166758851</v>
      </c>
      <c r="I48" s="46">
        <v>98.802739945382498</v>
      </c>
      <c r="J48" s="46">
        <v>102.4888263926629</v>
      </c>
      <c r="K48" s="68">
        <v>2347.8387965926818</v>
      </c>
      <c r="L48" s="68">
        <v>297.23969986313671</v>
      </c>
      <c r="M48" s="68">
        <v>105.27595592495344</v>
      </c>
      <c r="N48" s="68">
        <v>36.300133494572279</v>
      </c>
      <c r="O48" s="66">
        <v>0.1382030902023971</v>
      </c>
      <c r="P48" s="68">
        <v>7.7215216872539418</v>
      </c>
      <c r="Q48" s="46">
        <v>0.69200450457296625</v>
      </c>
      <c r="R48" s="46">
        <v>0.75266220285373553</v>
      </c>
      <c r="S48" s="46">
        <v>7.0744619362815238</v>
      </c>
      <c r="T48" s="46">
        <v>2.0235624152147107</v>
      </c>
      <c r="U48" s="68">
        <v>5383.7175805422667</v>
      </c>
      <c r="V48" s="66">
        <v>2.4297429501895028E-2</v>
      </c>
      <c r="W48" s="66"/>
      <c r="X48" s="66"/>
      <c r="Y48" s="46">
        <v>90.2627842742491</v>
      </c>
      <c r="Z48" s="66">
        <v>1752.1894198902676</v>
      </c>
      <c r="AA48" s="66">
        <v>7.6670181240056001</v>
      </c>
      <c r="AB48" s="66">
        <v>0.38819079634419634</v>
      </c>
      <c r="AC48" s="69">
        <v>38768.236747990362</v>
      </c>
      <c r="AD48" s="66">
        <v>3078.7786883631015</v>
      </c>
      <c r="AE48" s="11"/>
      <c r="AF48" s="11"/>
      <c r="AG48" s="11"/>
      <c r="AH48" s="11"/>
      <c r="AI48" s="11"/>
      <c r="AJ48" s="11"/>
      <c r="AK48" s="11"/>
      <c r="AL48" s="11"/>
    </row>
    <row r="49" spans="1:38" x14ac:dyDescent="0.25">
      <c r="A49" s="11"/>
      <c r="B49" s="96"/>
      <c r="C49" s="96"/>
      <c r="D49" s="96"/>
      <c r="E49" s="10"/>
      <c r="F49" s="10"/>
      <c r="G49" s="10"/>
      <c r="H49" s="96"/>
      <c r="I49" s="11"/>
      <c r="J49" s="96"/>
      <c r="K49" s="96"/>
      <c r="L49" s="12"/>
      <c r="M49" s="12"/>
      <c r="N49" s="12"/>
      <c r="O49" s="12"/>
      <c r="P49" s="11"/>
      <c r="Q49" s="13"/>
      <c r="R49" s="96"/>
      <c r="S49" s="96"/>
      <c r="T49" s="96"/>
      <c r="U49" s="96"/>
      <c r="V49" s="12"/>
      <c r="W49" s="11"/>
      <c r="X49" s="96"/>
      <c r="Y49" s="12"/>
      <c r="Z49" s="11"/>
      <c r="AA49" s="14"/>
      <c r="AB49" s="11"/>
      <c r="AC49" s="11"/>
      <c r="AD49" s="15"/>
      <c r="AE49" s="11"/>
      <c r="AF49" s="11"/>
      <c r="AG49" s="11"/>
      <c r="AH49" s="11"/>
      <c r="AI49" s="11"/>
      <c r="AJ49" s="11"/>
      <c r="AK49" s="11"/>
      <c r="AL49" s="11"/>
    </row>
    <row r="50" spans="1:38" x14ac:dyDescent="0.25">
      <c r="A50" s="11"/>
      <c r="B50" s="96"/>
      <c r="C50" s="96"/>
      <c r="D50" s="96"/>
      <c r="E50" s="10"/>
      <c r="F50" s="10"/>
      <c r="G50" s="10"/>
      <c r="H50" s="96"/>
      <c r="I50" s="11"/>
      <c r="J50" s="96"/>
      <c r="K50" s="96"/>
      <c r="L50" s="12"/>
      <c r="M50" s="12"/>
      <c r="N50" s="12"/>
      <c r="O50" s="12"/>
      <c r="P50" s="11"/>
      <c r="Q50" s="13"/>
      <c r="R50" s="96"/>
      <c r="S50" s="96"/>
      <c r="T50" s="96"/>
      <c r="U50" s="96"/>
      <c r="V50" s="12"/>
      <c r="W50" s="11"/>
      <c r="X50" s="96"/>
      <c r="Y50" s="12"/>
      <c r="Z50" s="11"/>
      <c r="AA50" s="14"/>
      <c r="AB50" s="11"/>
      <c r="AC50" s="11"/>
      <c r="AD50" s="15"/>
      <c r="AE50" s="11"/>
      <c r="AF50" s="11"/>
      <c r="AG50" s="11"/>
      <c r="AH50" s="11"/>
      <c r="AI50" s="11"/>
      <c r="AJ50" s="11"/>
      <c r="AK50" s="11"/>
      <c r="AL50" s="11"/>
    </row>
    <row r="51" spans="1:38" x14ac:dyDescent="0.25">
      <c r="A51" s="11"/>
      <c r="B51" s="96"/>
      <c r="C51" s="96"/>
      <c r="D51" s="96"/>
      <c r="E51" s="10"/>
      <c r="F51" s="10"/>
      <c r="G51" s="10"/>
      <c r="H51" s="96"/>
      <c r="I51" s="11"/>
      <c r="J51" s="96"/>
      <c r="K51" s="96"/>
      <c r="L51" s="12"/>
      <c r="M51" s="12"/>
      <c r="N51" s="12"/>
      <c r="O51" s="12"/>
      <c r="P51" s="11"/>
      <c r="Q51" s="13"/>
      <c r="R51" s="96"/>
      <c r="S51" s="96"/>
      <c r="T51" s="96"/>
      <c r="U51" s="96"/>
      <c r="V51" s="12"/>
      <c r="W51" s="11"/>
      <c r="X51" s="96"/>
      <c r="Y51" s="12"/>
      <c r="Z51" s="11"/>
      <c r="AA51" s="14"/>
      <c r="AB51" s="11"/>
      <c r="AC51" s="11"/>
      <c r="AD51" s="15"/>
      <c r="AE51" s="11"/>
      <c r="AF51" s="11"/>
      <c r="AG51" s="11"/>
      <c r="AH51" s="11"/>
      <c r="AI51" s="11"/>
      <c r="AJ51" s="11"/>
      <c r="AK51" s="11"/>
      <c r="AL51" s="11"/>
    </row>
    <row r="52" spans="1:38" x14ac:dyDescent="0.25">
      <c r="A52" s="11"/>
      <c r="B52" s="96"/>
      <c r="C52" s="96"/>
      <c r="D52" s="96"/>
      <c r="E52" s="4"/>
      <c r="F52" s="4"/>
      <c r="G52" s="4"/>
      <c r="H52" s="96"/>
      <c r="I52" s="5"/>
      <c r="J52" s="96"/>
      <c r="K52" s="96"/>
      <c r="L52" s="6"/>
      <c r="M52" s="6"/>
      <c r="N52" s="6"/>
      <c r="O52" s="6"/>
      <c r="P52" s="5"/>
      <c r="Q52" s="7"/>
      <c r="R52" s="96"/>
      <c r="S52" s="96"/>
      <c r="T52" s="96"/>
      <c r="U52" s="96"/>
      <c r="V52" s="6"/>
      <c r="W52" s="5"/>
      <c r="X52" s="96"/>
      <c r="Y52" s="6"/>
      <c r="Z52" s="5"/>
      <c r="AA52" s="8"/>
      <c r="AB52" s="5"/>
      <c r="AC52" s="5"/>
      <c r="AD52" s="9"/>
      <c r="AE52" s="5"/>
      <c r="AF52" s="11"/>
      <c r="AG52" s="11"/>
      <c r="AH52" s="11"/>
      <c r="AI52" s="11"/>
      <c r="AJ52" s="11"/>
      <c r="AK52" s="11"/>
      <c r="AL52" s="11"/>
    </row>
    <row r="53" spans="1:38" x14ac:dyDescent="0.25">
      <c r="A53" s="11"/>
      <c r="B53" s="96"/>
      <c r="C53" s="96"/>
      <c r="D53" s="96"/>
      <c r="E53" s="10"/>
      <c r="F53" s="10"/>
      <c r="G53" s="10"/>
      <c r="H53" s="96"/>
      <c r="I53" s="11"/>
      <c r="J53" s="96"/>
      <c r="K53" s="96"/>
      <c r="L53" s="12"/>
      <c r="M53" s="12"/>
      <c r="N53" s="12"/>
      <c r="O53" s="12"/>
      <c r="P53" s="11"/>
      <c r="Q53" s="13"/>
      <c r="R53" s="96"/>
      <c r="S53" s="96"/>
      <c r="T53" s="96"/>
      <c r="U53" s="96"/>
      <c r="V53" s="12"/>
      <c r="W53" s="11"/>
      <c r="X53" s="96"/>
      <c r="Y53" s="12"/>
      <c r="Z53" s="11"/>
      <c r="AA53" s="14"/>
      <c r="AB53" s="11"/>
      <c r="AC53" s="11"/>
      <c r="AD53" s="15"/>
      <c r="AE53" s="11"/>
      <c r="AF53" s="11"/>
      <c r="AG53" s="11"/>
      <c r="AH53" s="11"/>
      <c r="AI53" s="11"/>
      <c r="AJ53" s="11"/>
      <c r="AK53" s="11"/>
      <c r="AL53" s="11"/>
    </row>
    <row r="54" spans="1:38" x14ac:dyDescent="0.25">
      <c r="A54" s="11"/>
      <c r="B54" s="96"/>
      <c r="C54" s="96"/>
      <c r="D54" s="96"/>
      <c r="E54" s="10"/>
      <c r="F54" s="10"/>
      <c r="G54" s="10"/>
      <c r="H54" s="96"/>
      <c r="I54" s="11"/>
      <c r="J54" s="96"/>
      <c r="K54" s="96"/>
      <c r="L54" s="12"/>
      <c r="M54" s="12"/>
      <c r="N54" s="12"/>
      <c r="O54" s="12"/>
      <c r="P54" s="11"/>
      <c r="Q54" s="13"/>
      <c r="R54" s="96"/>
      <c r="S54" s="96"/>
      <c r="T54" s="96"/>
      <c r="U54" s="96"/>
      <c r="V54" s="12"/>
      <c r="W54" s="11"/>
      <c r="X54" s="96"/>
      <c r="Y54" s="12"/>
      <c r="Z54" s="11"/>
      <c r="AA54" s="14"/>
      <c r="AB54" s="11"/>
      <c r="AC54" s="11"/>
      <c r="AD54" s="15"/>
      <c r="AE54" s="11"/>
      <c r="AF54" s="11"/>
      <c r="AG54" s="11"/>
      <c r="AH54" s="11"/>
      <c r="AI54" s="11"/>
      <c r="AJ54" s="11"/>
      <c r="AK54" s="11"/>
      <c r="AL54" s="11"/>
    </row>
    <row r="55" spans="1:38" x14ac:dyDescent="0.25">
      <c r="A55" s="11"/>
      <c r="B55" s="96"/>
      <c r="C55" s="96"/>
      <c r="D55" s="96"/>
      <c r="E55" s="10"/>
      <c r="F55" s="10"/>
      <c r="G55" s="10"/>
      <c r="H55" s="96"/>
      <c r="I55" s="11"/>
      <c r="J55" s="96"/>
      <c r="K55" s="96"/>
      <c r="L55" s="12"/>
      <c r="M55" s="12"/>
      <c r="N55" s="12"/>
      <c r="O55" s="12"/>
      <c r="P55" s="11"/>
      <c r="Q55" s="13"/>
      <c r="R55" s="96"/>
      <c r="S55" s="96"/>
      <c r="T55" s="96"/>
      <c r="U55" s="96"/>
      <c r="V55" s="12"/>
      <c r="W55" s="11"/>
      <c r="X55" s="96"/>
      <c r="Y55" s="12"/>
      <c r="Z55" s="11"/>
      <c r="AA55" s="14"/>
      <c r="AB55" s="11"/>
      <c r="AC55" s="11"/>
      <c r="AD55" s="15"/>
      <c r="AE55" s="11"/>
      <c r="AF55" s="11"/>
      <c r="AG55" s="11"/>
      <c r="AH55" s="11"/>
      <c r="AI55" s="11"/>
      <c r="AJ55" s="11"/>
      <c r="AK55" s="11"/>
      <c r="AL55" s="11"/>
    </row>
    <row r="56" spans="1:38" x14ac:dyDescent="0.25">
      <c r="A56" s="11"/>
      <c r="B56" s="96"/>
      <c r="C56" s="96"/>
      <c r="D56" s="96"/>
      <c r="E56" s="10"/>
      <c r="F56" s="10"/>
      <c r="G56" s="10"/>
      <c r="H56" s="96"/>
      <c r="I56" s="11"/>
      <c r="J56" s="96"/>
      <c r="K56" s="96"/>
      <c r="L56" s="12"/>
      <c r="M56" s="12"/>
      <c r="N56" s="12"/>
      <c r="O56" s="12"/>
      <c r="P56" s="11"/>
      <c r="Q56" s="13"/>
      <c r="R56" s="96"/>
      <c r="S56" s="96"/>
      <c r="T56" s="96"/>
      <c r="U56" s="96"/>
      <c r="V56" s="12"/>
      <c r="W56" s="11"/>
      <c r="X56" s="96"/>
      <c r="Y56" s="12"/>
      <c r="Z56" s="11"/>
      <c r="AA56" s="14"/>
      <c r="AB56" s="11"/>
      <c r="AC56" s="11"/>
      <c r="AD56" s="15"/>
      <c r="AE56" s="11"/>
      <c r="AF56" s="11"/>
      <c r="AG56" s="11"/>
      <c r="AH56" s="11"/>
      <c r="AI56" s="11"/>
      <c r="AJ56" s="11"/>
      <c r="AK56" s="11"/>
      <c r="AL56" s="11"/>
    </row>
    <row r="57" spans="1:38" x14ac:dyDescent="0.25">
      <c r="A57" s="11"/>
      <c r="B57" s="96"/>
      <c r="C57" s="96"/>
      <c r="D57" s="96"/>
      <c r="E57" s="10"/>
      <c r="F57" s="10"/>
      <c r="G57" s="10"/>
      <c r="H57" s="96"/>
      <c r="I57" s="11"/>
      <c r="J57" s="96"/>
      <c r="K57" s="96"/>
      <c r="L57" s="12"/>
      <c r="M57" s="12"/>
      <c r="N57" s="12"/>
      <c r="O57" s="12"/>
      <c r="P57" s="11"/>
      <c r="Q57" s="13"/>
      <c r="R57" s="96"/>
      <c r="S57" s="96"/>
      <c r="T57" s="96"/>
      <c r="U57" s="96"/>
      <c r="V57" s="12"/>
      <c r="W57" s="11"/>
      <c r="X57" s="96"/>
      <c r="Y57" s="12"/>
      <c r="Z57" s="11"/>
      <c r="AA57" s="14"/>
      <c r="AB57" s="11"/>
      <c r="AC57" s="11"/>
      <c r="AD57" s="15"/>
      <c r="AE57" s="11"/>
      <c r="AF57" s="11"/>
      <c r="AG57" s="11"/>
      <c r="AH57" s="11"/>
      <c r="AI57" s="11"/>
      <c r="AJ57" s="11"/>
      <c r="AK57" s="11"/>
      <c r="AL57" s="11"/>
    </row>
    <row r="58" spans="1:38" x14ac:dyDescent="0.25">
      <c r="A58" s="11"/>
      <c r="B58" s="96"/>
      <c r="C58" s="96"/>
      <c r="D58" s="96"/>
      <c r="E58" s="10"/>
      <c r="F58" s="10"/>
      <c r="G58" s="10"/>
      <c r="H58" s="96"/>
      <c r="I58" s="11"/>
      <c r="J58" s="96"/>
      <c r="K58" s="96"/>
      <c r="L58" s="12"/>
      <c r="M58" s="12"/>
      <c r="N58" s="12"/>
      <c r="O58" s="12"/>
      <c r="P58" s="11"/>
      <c r="Q58" s="13"/>
      <c r="R58" s="96"/>
      <c r="S58" s="96"/>
      <c r="T58" s="96"/>
      <c r="U58" s="96"/>
      <c r="V58" s="12"/>
      <c r="W58" s="11"/>
      <c r="X58" s="96"/>
      <c r="Y58" s="12"/>
      <c r="Z58" s="11"/>
      <c r="AA58" s="14"/>
      <c r="AB58" s="11"/>
      <c r="AC58" s="11"/>
      <c r="AD58" s="15"/>
      <c r="AE58" s="11"/>
      <c r="AF58" s="11"/>
      <c r="AG58" s="11"/>
      <c r="AH58" s="11"/>
      <c r="AI58" s="11"/>
      <c r="AJ58" s="11"/>
      <c r="AK58" s="11"/>
      <c r="AL58" s="11"/>
    </row>
    <row r="59" spans="1:38" x14ac:dyDescent="0.25">
      <c r="A59" s="11"/>
      <c r="B59" s="96"/>
      <c r="C59" s="96"/>
      <c r="D59" s="96"/>
      <c r="E59" s="10"/>
      <c r="F59" s="10"/>
      <c r="G59" s="10"/>
      <c r="H59" s="96"/>
      <c r="I59" s="11"/>
      <c r="J59" s="96"/>
      <c r="K59" s="96"/>
      <c r="L59" s="12"/>
      <c r="M59" s="12"/>
      <c r="N59" s="12"/>
      <c r="O59" s="12"/>
      <c r="P59" s="11"/>
      <c r="Q59" s="13"/>
      <c r="R59" s="96"/>
      <c r="S59" s="96"/>
      <c r="T59" s="96"/>
      <c r="U59" s="96"/>
      <c r="V59" s="12"/>
      <c r="W59" s="11"/>
      <c r="X59" s="96"/>
      <c r="Y59" s="12"/>
      <c r="Z59" s="11"/>
      <c r="AA59" s="14"/>
      <c r="AB59" s="11"/>
      <c r="AC59" s="11"/>
      <c r="AD59" s="15"/>
      <c r="AE59" s="11"/>
      <c r="AF59" s="11"/>
      <c r="AG59" s="11"/>
      <c r="AH59" s="11"/>
      <c r="AI59" s="11"/>
      <c r="AJ59" s="11"/>
      <c r="AK59" s="11"/>
      <c r="AL59" s="11"/>
    </row>
    <row r="60" spans="1:38" x14ac:dyDescent="0.25">
      <c r="A60" s="11"/>
      <c r="B60" s="96"/>
      <c r="C60" s="96"/>
      <c r="D60" s="96"/>
      <c r="E60" s="10"/>
      <c r="F60" s="10"/>
      <c r="G60" s="10"/>
      <c r="H60" s="96"/>
      <c r="I60" s="11"/>
      <c r="J60" s="96"/>
      <c r="K60" s="96"/>
      <c r="L60" s="12"/>
      <c r="M60" s="12"/>
      <c r="N60" s="12"/>
      <c r="O60" s="12"/>
      <c r="P60" s="11"/>
      <c r="Q60" s="13"/>
      <c r="R60" s="96"/>
      <c r="S60" s="96"/>
      <c r="T60" s="96"/>
      <c r="U60" s="96"/>
      <c r="V60" s="12"/>
      <c r="W60" s="11"/>
      <c r="X60" s="96"/>
      <c r="Y60" s="12"/>
      <c r="Z60" s="11"/>
      <c r="AA60" s="14"/>
      <c r="AB60" s="11"/>
      <c r="AC60" s="11"/>
      <c r="AD60" s="15"/>
      <c r="AE60" s="11"/>
      <c r="AF60" s="11"/>
      <c r="AG60" s="11"/>
      <c r="AH60" s="11"/>
      <c r="AI60" s="11"/>
      <c r="AJ60" s="11"/>
      <c r="AK60" s="11"/>
      <c r="AL60" s="11"/>
    </row>
    <row r="61" spans="1:38" x14ac:dyDescent="0.25">
      <c r="A61" s="11"/>
      <c r="B61" s="96"/>
      <c r="C61" s="96"/>
      <c r="D61" s="96"/>
      <c r="E61" s="10"/>
      <c r="F61" s="10"/>
      <c r="G61" s="10"/>
      <c r="H61" s="96"/>
      <c r="I61" s="11"/>
      <c r="J61" s="96"/>
      <c r="K61" s="96"/>
      <c r="L61" s="12"/>
      <c r="M61" s="12"/>
      <c r="N61" s="12"/>
      <c r="O61" s="12"/>
      <c r="P61" s="11"/>
      <c r="Q61" s="13"/>
      <c r="R61" s="96"/>
      <c r="S61" s="96"/>
      <c r="T61" s="96"/>
      <c r="U61" s="96"/>
      <c r="V61" s="12"/>
      <c r="W61" s="11"/>
      <c r="X61" s="96"/>
      <c r="Y61" s="12"/>
      <c r="Z61" s="11"/>
      <c r="AA61" s="14"/>
      <c r="AB61" s="11"/>
      <c r="AC61" s="11"/>
      <c r="AD61" s="15"/>
      <c r="AE61" s="11"/>
      <c r="AF61" s="11"/>
      <c r="AG61" s="11"/>
      <c r="AH61" s="11"/>
      <c r="AI61" s="11"/>
      <c r="AJ61" s="11"/>
      <c r="AK61" s="11"/>
      <c r="AL61" s="11"/>
    </row>
    <row r="62" spans="1:38" x14ac:dyDescent="0.25">
      <c r="A62" s="11"/>
      <c r="B62" s="96"/>
      <c r="C62" s="96"/>
      <c r="D62" s="96"/>
      <c r="E62" s="10"/>
      <c r="F62" s="10"/>
      <c r="G62" s="10"/>
      <c r="H62" s="96"/>
      <c r="I62" s="11"/>
      <c r="J62" s="96"/>
      <c r="K62" s="96"/>
      <c r="L62" s="12"/>
      <c r="M62" s="12"/>
      <c r="N62" s="12"/>
      <c r="O62" s="12"/>
      <c r="P62" s="11"/>
      <c r="Q62" s="13"/>
      <c r="R62" s="96"/>
      <c r="S62" s="96"/>
      <c r="T62" s="96"/>
      <c r="U62" s="96"/>
      <c r="V62" s="12"/>
      <c r="W62" s="11"/>
      <c r="X62" s="96"/>
      <c r="Y62" s="12"/>
      <c r="Z62" s="11"/>
      <c r="AA62" s="14"/>
      <c r="AB62" s="11"/>
      <c r="AC62" s="11"/>
      <c r="AD62" s="15"/>
      <c r="AE62" s="11"/>
      <c r="AF62" s="11"/>
      <c r="AG62" s="11"/>
      <c r="AH62" s="11"/>
      <c r="AI62" s="11"/>
      <c r="AJ62" s="11"/>
      <c r="AK62" s="11"/>
      <c r="AL62" s="11"/>
    </row>
    <row r="63" spans="1:38" x14ac:dyDescent="0.25">
      <c r="A63" s="11"/>
      <c r="B63" s="96"/>
      <c r="C63" s="96"/>
      <c r="D63" s="96"/>
      <c r="E63" s="10"/>
      <c r="F63" s="10"/>
      <c r="G63" s="10"/>
      <c r="H63" s="96"/>
      <c r="I63" s="11"/>
      <c r="J63" s="96"/>
      <c r="K63" s="96"/>
      <c r="L63" s="12"/>
      <c r="M63" s="12"/>
      <c r="N63" s="12"/>
      <c r="O63" s="12"/>
      <c r="P63" s="11"/>
      <c r="Q63" s="13"/>
      <c r="R63" s="96"/>
      <c r="S63" s="96"/>
      <c r="T63" s="96"/>
      <c r="U63" s="96"/>
      <c r="V63" s="12"/>
      <c r="W63" s="11"/>
      <c r="X63" s="96"/>
      <c r="Y63" s="12"/>
      <c r="Z63" s="11"/>
      <c r="AA63" s="14"/>
      <c r="AB63" s="11"/>
      <c r="AC63" s="11"/>
      <c r="AD63" s="15"/>
      <c r="AE63" s="11"/>
      <c r="AF63" s="11"/>
      <c r="AG63" s="11"/>
      <c r="AH63" s="11"/>
      <c r="AI63" s="11"/>
      <c r="AJ63" s="11"/>
      <c r="AK63" s="11"/>
      <c r="AL63" s="11"/>
    </row>
    <row r="64" spans="1:38" x14ac:dyDescent="0.25">
      <c r="A64" s="11"/>
      <c r="B64" s="96"/>
      <c r="C64" s="96"/>
      <c r="D64" s="96"/>
      <c r="E64" s="10"/>
      <c r="F64" s="10"/>
      <c r="G64" s="10"/>
      <c r="H64" s="96"/>
      <c r="I64" s="11"/>
      <c r="J64" s="96"/>
      <c r="K64" s="96"/>
      <c r="L64" s="12"/>
      <c r="M64" s="12"/>
      <c r="N64" s="12"/>
      <c r="O64" s="12"/>
      <c r="P64" s="11"/>
      <c r="Q64" s="13"/>
      <c r="R64" s="96"/>
      <c r="S64" s="96"/>
      <c r="T64" s="96"/>
      <c r="U64" s="96"/>
      <c r="V64" s="12"/>
      <c r="W64" s="11"/>
      <c r="X64" s="96"/>
      <c r="Y64" s="12"/>
      <c r="Z64" s="11"/>
      <c r="AA64" s="14"/>
      <c r="AB64" s="11"/>
      <c r="AC64" s="11"/>
      <c r="AD64" s="15"/>
      <c r="AE64" s="11"/>
      <c r="AF64" s="11"/>
      <c r="AG64" s="11"/>
      <c r="AH64" s="11"/>
      <c r="AI64" s="11"/>
      <c r="AJ64" s="11"/>
      <c r="AK64" s="11"/>
      <c r="AL64" s="11"/>
    </row>
    <row r="65" spans="1:38" x14ac:dyDescent="0.25">
      <c r="A65" s="11"/>
      <c r="B65" s="96"/>
      <c r="C65" s="96"/>
      <c r="D65" s="96"/>
      <c r="E65" s="10"/>
      <c r="F65" s="10"/>
      <c r="G65" s="10"/>
      <c r="H65" s="96"/>
      <c r="I65" s="11"/>
      <c r="J65" s="96"/>
      <c r="K65" s="96"/>
      <c r="L65" s="12"/>
      <c r="M65" s="12"/>
      <c r="N65" s="12"/>
      <c r="O65" s="12"/>
      <c r="P65" s="11"/>
      <c r="Q65" s="13"/>
      <c r="R65" s="96"/>
      <c r="S65" s="96"/>
      <c r="T65" s="96"/>
      <c r="U65" s="96"/>
      <c r="V65" s="12"/>
      <c r="W65" s="11"/>
      <c r="X65" s="96"/>
      <c r="Y65" s="12"/>
      <c r="Z65" s="11"/>
      <c r="AA65" s="14"/>
      <c r="AB65" s="11"/>
      <c r="AC65" s="11"/>
      <c r="AD65" s="15"/>
      <c r="AE65" s="11"/>
      <c r="AF65" s="11"/>
      <c r="AG65" s="11"/>
      <c r="AH65" s="11"/>
      <c r="AI65" s="11"/>
      <c r="AJ65" s="11"/>
      <c r="AK65" s="11"/>
      <c r="AL65" s="11"/>
    </row>
    <row r="66" spans="1:38" x14ac:dyDescent="0.25">
      <c r="A66" s="11"/>
      <c r="B66" s="96"/>
      <c r="C66" s="96"/>
      <c r="D66" s="96"/>
      <c r="E66" s="10"/>
      <c r="F66" s="10"/>
      <c r="G66" s="10"/>
      <c r="H66" s="96"/>
      <c r="I66" s="11"/>
      <c r="J66" s="96"/>
      <c r="K66" s="96"/>
      <c r="L66" s="12"/>
      <c r="M66" s="12"/>
      <c r="N66" s="12"/>
      <c r="O66" s="12"/>
      <c r="P66" s="11"/>
      <c r="Q66" s="13"/>
      <c r="R66" s="96"/>
      <c r="S66" s="96"/>
      <c r="T66" s="96"/>
      <c r="U66" s="96"/>
      <c r="V66" s="12"/>
      <c r="W66" s="11"/>
      <c r="X66" s="96"/>
      <c r="Y66" s="12"/>
      <c r="Z66" s="11"/>
      <c r="AA66" s="14"/>
      <c r="AB66" s="11"/>
      <c r="AC66" s="11"/>
      <c r="AD66" s="15"/>
      <c r="AE66" s="11"/>
      <c r="AF66" s="11"/>
      <c r="AG66" s="11"/>
      <c r="AH66" s="11"/>
      <c r="AI66" s="11"/>
      <c r="AJ66" s="11"/>
      <c r="AK66" s="11"/>
      <c r="AL66" s="11"/>
    </row>
    <row r="67" spans="1:38" x14ac:dyDescent="0.25">
      <c r="A67" s="11"/>
      <c r="B67" s="96"/>
      <c r="C67" s="96"/>
      <c r="D67" s="96"/>
      <c r="E67" s="10"/>
      <c r="F67" s="10"/>
      <c r="G67" s="10"/>
      <c r="H67" s="96"/>
      <c r="I67" s="11"/>
      <c r="J67" s="96"/>
      <c r="K67" s="96"/>
      <c r="L67" s="12"/>
      <c r="M67" s="12"/>
      <c r="N67" s="12"/>
      <c r="O67" s="12"/>
      <c r="P67" s="11"/>
      <c r="Q67" s="13"/>
      <c r="R67" s="96"/>
      <c r="S67" s="96"/>
      <c r="T67" s="96"/>
      <c r="U67" s="96"/>
      <c r="V67" s="12"/>
      <c r="W67" s="11"/>
      <c r="X67" s="96"/>
      <c r="Y67" s="12"/>
      <c r="Z67" s="11"/>
      <c r="AA67" s="14"/>
      <c r="AB67" s="11"/>
      <c r="AC67" s="11"/>
      <c r="AD67" s="15"/>
      <c r="AE67" s="11"/>
      <c r="AF67" s="11"/>
      <c r="AG67" s="11"/>
      <c r="AH67" s="11"/>
      <c r="AI67" s="11"/>
      <c r="AJ67" s="11"/>
      <c r="AK67" s="11"/>
      <c r="AL67" s="11"/>
    </row>
    <row r="68" spans="1:38" x14ac:dyDescent="0.25">
      <c r="A68" s="11"/>
      <c r="B68" s="96"/>
      <c r="C68" s="96"/>
      <c r="D68" s="96"/>
      <c r="E68" s="10"/>
      <c r="F68" s="10"/>
      <c r="G68" s="10"/>
      <c r="H68" s="96"/>
      <c r="I68" s="11"/>
      <c r="J68" s="96"/>
      <c r="K68" s="96"/>
      <c r="L68" s="12"/>
      <c r="M68" s="12"/>
      <c r="N68" s="12"/>
      <c r="O68" s="12"/>
      <c r="P68" s="11"/>
      <c r="Q68" s="13"/>
      <c r="R68" s="96"/>
      <c r="S68" s="96"/>
      <c r="T68" s="96"/>
      <c r="U68" s="96"/>
      <c r="V68" s="12"/>
      <c r="W68" s="11"/>
      <c r="X68" s="96"/>
      <c r="Y68" s="12"/>
      <c r="Z68" s="11"/>
      <c r="AA68" s="14"/>
      <c r="AB68" s="11"/>
      <c r="AC68" s="11"/>
      <c r="AD68" s="15"/>
      <c r="AE68" s="11"/>
      <c r="AF68" s="11"/>
      <c r="AG68" s="11"/>
      <c r="AH68" s="11"/>
      <c r="AI68" s="11"/>
      <c r="AJ68" s="11"/>
      <c r="AK68" s="11"/>
      <c r="AL68" s="11"/>
    </row>
    <row r="69" spans="1:38" x14ac:dyDescent="0.25">
      <c r="A69" s="11"/>
      <c r="B69" s="96"/>
      <c r="C69" s="96"/>
      <c r="D69" s="96"/>
      <c r="E69" s="10"/>
      <c r="F69" s="10"/>
      <c r="G69" s="10"/>
      <c r="H69" s="96"/>
      <c r="I69" s="11"/>
      <c r="J69" s="96"/>
      <c r="K69" s="96"/>
      <c r="L69" s="12"/>
      <c r="M69" s="12"/>
      <c r="N69" s="12"/>
      <c r="O69" s="12"/>
      <c r="P69" s="11"/>
      <c r="Q69" s="13"/>
      <c r="R69" s="96"/>
      <c r="S69" s="96"/>
      <c r="T69" s="96"/>
      <c r="U69" s="96"/>
      <c r="V69" s="12"/>
      <c r="W69" s="11"/>
      <c r="X69" s="96"/>
      <c r="Y69" s="12"/>
      <c r="Z69" s="11"/>
      <c r="AA69" s="14"/>
      <c r="AB69" s="11"/>
      <c r="AC69" s="11"/>
      <c r="AD69" s="15"/>
      <c r="AE69" s="11"/>
      <c r="AF69" s="11"/>
      <c r="AG69" s="11"/>
      <c r="AH69" s="11"/>
      <c r="AI69" s="11"/>
      <c r="AJ69" s="11"/>
      <c r="AK69" s="11"/>
      <c r="AL69" s="11"/>
    </row>
    <row r="70" spans="1:38" x14ac:dyDescent="0.25">
      <c r="A70" s="11"/>
      <c r="B70" s="96"/>
      <c r="C70" s="96"/>
      <c r="D70" s="96"/>
      <c r="E70" s="10"/>
      <c r="F70" s="10"/>
      <c r="G70" s="10"/>
      <c r="H70" s="96"/>
      <c r="I70" s="11"/>
      <c r="J70" s="96"/>
      <c r="K70" s="96"/>
      <c r="L70" s="12"/>
      <c r="M70" s="12"/>
      <c r="N70" s="12"/>
      <c r="O70" s="12"/>
      <c r="P70" s="11"/>
      <c r="Q70" s="13"/>
      <c r="R70" s="96"/>
      <c r="S70" s="96"/>
      <c r="T70" s="96"/>
      <c r="U70" s="96"/>
      <c r="V70" s="12"/>
      <c r="W70" s="11"/>
      <c r="X70" s="96"/>
      <c r="Y70" s="12"/>
      <c r="Z70" s="11"/>
      <c r="AA70" s="14"/>
      <c r="AB70" s="11"/>
      <c r="AC70" s="11"/>
      <c r="AD70" s="15"/>
      <c r="AE70" s="11"/>
      <c r="AF70" s="11"/>
      <c r="AG70" s="11"/>
      <c r="AH70" s="11"/>
      <c r="AI70" s="11"/>
      <c r="AJ70" s="11"/>
      <c r="AK70" s="11"/>
      <c r="AL70" s="11"/>
    </row>
    <row r="71" spans="1:38" x14ac:dyDescent="0.25">
      <c r="A71" s="11"/>
      <c r="B71" s="96"/>
      <c r="C71" s="96"/>
      <c r="D71" s="96"/>
      <c r="E71" s="10"/>
      <c r="F71" s="10"/>
      <c r="G71" s="10"/>
      <c r="H71" s="96"/>
      <c r="I71" s="11"/>
      <c r="J71" s="96"/>
      <c r="K71" s="96"/>
      <c r="L71" s="12"/>
      <c r="M71" s="12"/>
      <c r="N71" s="12"/>
      <c r="O71" s="12"/>
      <c r="P71" s="11"/>
      <c r="Q71" s="13"/>
      <c r="R71" s="96"/>
      <c r="S71" s="96"/>
      <c r="T71" s="96"/>
      <c r="U71" s="96"/>
      <c r="V71" s="12"/>
      <c r="W71" s="11"/>
      <c r="X71" s="96"/>
      <c r="Y71" s="12"/>
      <c r="Z71" s="11"/>
      <c r="AA71" s="14"/>
      <c r="AB71" s="11"/>
      <c r="AC71" s="11"/>
      <c r="AD71" s="15"/>
      <c r="AE71" s="11"/>
      <c r="AF71" s="11"/>
      <c r="AG71" s="11"/>
      <c r="AH71" s="11"/>
      <c r="AI71" s="11"/>
      <c r="AJ71" s="11"/>
      <c r="AK71" s="11"/>
      <c r="AL71" s="11"/>
    </row>
    <row r="72" spans="1:38" x14ac:dyDescent="0.25">
      <c r="A72" s="11"/>
      <c r="B72" s="96"/>
      <c r="C72" s="96"/>
      <c r="D72" s="96"/>
      <c r="E72" s="10"/>
      <c r="F72" s="10"/>
      <c r="G72" s="10"/>
      <c r="H72" s="96"/>
      <c r="I72" s="11"/>
      <c r="J72" s="96"/>
      <c r="K72" s="96"/>
      <c r="L72" s="12"/>
      <c r="M72" s="12"/>
      <c r="N72" s="12"/>
      <c r="O72" s="12"/>
      <c r="P72" s="11"/>
      <c r="Q72" s="13"/>
      <c r="R72" s="96"/>
      <c r="S72" s="96"/>
      <c r="T72" s="96"/>
      <c r="U72" s="96"/>
      <c r="V72" s="12"/>
      <c r="W72" s="11"/>
      <c r="X72" s="96"/>
      <c r="Y72" s="12"/>
      <c r="Z72" s="11"/>
      <c r="AA72" s="14"/>
      <c r="AB72" s="11"/>
      <c r="AC72" s="11"/>
      <c r="AD72" s="15"/>
      <c r="AE72" s="11"/>
      <c r="AF72" s="11"/>
      <c r="AG72" s="11"/>
      <c r="AH72" s="11"/>
      <c r="AI72" s="11"/>
      <c r="AJ72" s="11"/>
      <c r="AK72" s="11"/>
      <c r="AL72" s="11"/>
    </row>
    <row r="73" spans="1:38" x14ac:dyDescent="0.25">
      <c r="A73" s="11"/>
      <c r="B73" s="96"/>
      <c r="C73" s="96"/>
      <c r="D73" s="96"/>
      <c r="E73" s="10"/>
      <c r="F73" s="10"/>
      <c r="G73" s="10"/>
      <c r="H73" s="96"/>
      <c r="I73" s="11"/>
      <c r="J73" s="96"/>
      <c r="K73" s="96"/>
      <c r="L73" s="12"/>
      <c r="M73" s="12"/>
      <c r="N73" s="12"/>
      <c r="O73" s="12"/>
      <c r="P73" s="11"/>
      <c r="Q73" s="13"/>
      <c r="R73" s="96"/>
      <c r="S73" s="96"/>
      <c r="T73" s="96"/>
      <c r="U73" s="96"/>
      <c r="V73" s="12"/>
      <c r="W73" s="11"/>
      <c r="X73" s="96"/>
      <c r="Y73" s="12"/>
      <c r="Z73" s="11"/>
      <c r="AA73" s="14"/>
      <c r="AB73" s="11"/>
      <c r="AC73" s="11"/>
      <c r="AD73" s="15"/>
      <c r="AE73" s="11"/>
      <c r="AF73" s="11"/>
      <c r="AG73" s="11"/>
      <c r="AH73" s="11"/>
      <c r="AI73" s="11"/>
      <c r="AJ73" s="11"/>
      <c r="AK73" s="11"/>
      <c r="AL73" s="11"/>
    </row>
    <row r="74" spans="1:38" x14ac:dyDescent="0.25">
      <c r="A74" s="11"/>
      <c r="B74" s="96"/>
      <c r="C74" s="96"/>
      <c r="D74" s="96"/>
      <c r="E74" s="10"/>
      <c r="F74" s="10"/>
      <c r="G74" s="10"/>
      <c r="H74" s="96"/>
      <c r="I74" s="11"/>
      <c r="J74" s="96"/>
      <c r="K74" s="96"/>
      <c r="L74" s="12"/>
      <c r="M74" s="12"/>
      <c r="N74" s="12"/>
      <c r="O74" s="12"/>
      <c r="P74" s="11"/>
      <c r="Q74" s="13"/>
      <c r="R74" s="96"/>
      <c r="S74" s="96"/>
      <c r="T74" s="96"/>
      <c r="U74" s="96"/>
      <c r="V74" s="12"/>
      <c r="W74" s="11"/>
      <c r="X74" s="96"/>
      <c r="Y74" s="12"/>
      <c r="Z74" s="11"/>
      <c r="AA74" s="14"/>
      <c r="AB74" s="11"/>
      <c r="AC74" s="11"/>
      <c r="AD74" s="15"/>
      <c r="AE74" s="11"/>
      <c r="AF74" s="11"/>
      <c r="AG74" s="11"/>
      <c r="AH74" s="11"/>
      <c r="AI74" s="11"/>
      <c r="AJ74" s="11"/>
      <c r="AK74" s="11"/>
      <c r="AL74" s="11"/>
    </row>
    <row r="75" spans="1:38" x14ac:dyDescent="0.25">
      <c r="A75" s="11"/>
      <c r="B75" s="96"/>
      <c r="C75" s="96"/>
      <c r="D75" s="96"/>
      <c r="E75" s="10"/>
      <c r="F75" s="10"/>
      <c r="G75" s="10"/>
      <c r="H75" s="96"/>
      <c r="I75" s="11"/>
      <c r="J75" s="96"/>
      <c r="K75" s="96"/>
      <c r="L75" s="12"/>
      <c r="M75" s="12"/>
      <c r="N75" s="12"/>
      <c r="O75" s="12"/>
      <c r="P75" s="11"/>
      <c r="Q75" s="13"/>
      <c r="R75" s="96"/>
      <c r="S75" s="96"/>
      <c r="T75" s="96"/>
      <c r="U75" s="96"/>
      <c r="V75" s="12"/>
      <c r="W75" s="11"/>
      <c r="X75" s="96"/>
      <c r="Y75" s="12"/>
      <c r="Z75" s="11"/>
      <c r="AA75" s="14"/>
      <c r="AB75" s="11"/>
      <c r="AC75" s="11"/>
      <c r="AD75" s="15"/>
      <c r="AE75" s="11"/>
      <c r="AF75" s="11"/>
      <c r="AG75" s="11"/>
      <c r="AH75" s="11"/>
      <c r="AI75" s="11"/>
      <c r="AJ75" s="11"/>
      <c r="AK75" s="11"/>
      <c r="AL75" s="11"/>
    </row>
    <row r="76" spans="1:38" x14ac:dyDescent="0.25">
      <c r="A76" s="11"/>
      <c r="B76" s="96"/>
      <c r="C76" s="96"/>
      <c r="D76" s="96"/>
      <c r="E76" s="10"/>
      <c r="F76" s="10"/>
      <c r="G76" s="10"/>
      <c r="H76" s="96"/>
      <c r="I76" s="11"/>
      <c r="J76" s="96"/>
      <c r="K76" s="96"/>
      <c r="L76" s="12"/>
      <c r="M76" s="12"/>
      <c r="N76" s="12"/>
      <c r="O76" s="12"/>
      <c r="P76" s="11"/>
      <c r="Q76" s="13"/>
      <c r="R76" s="96"/>
      <c r="S76" s="96"/>
      <c r="T76" s="96"/>
      <c r="U76" s="96"/>
      <c r="V76" s="12"/>
      <c r="W76" s="11"/>
      <c r="X76" s="96"/>
      <c r="Y76" s="12"/>
      <c r="Z76" s="11"/>
      <c r="AA76" s="14"/>
      <c r="AB76" s="11"/>
      <c r="AC76" s="11"/>
      <c r="AD76" s="15"/>
      <c r="AE76" s="11"/>
      <c r="AF76" s="11"/>
      <c r="AG76" s="11"/>
      <c r="AH76" s="11"/>
      <c r="AI76" s="11"/>
      <c r="AJ76" s="11"/>
      <c r="AK76" s="11"/>
      <c r="AL76" s="11"/>
    </row>
    <row r="77" spans="1:38" x14ac:dyDescent="0.25">
      <c r="A77" s="11"/>
      <c r="B77" s="96"/>
      <c r="C77" s="96"/>
      <c r="D77" s="96"/>
      <c r="E77" s="10"/>
      <c r="F77" s="10"/>
      <c r="G77" s="10"/>
      <c r="H77" s="96"/>
      <c r="I77" s="11"/>
      <c r="J77" s="96"/>
      <c r="K77" s="96"/>
      <c r="L77" s="12"/>
      <c r="M77" s="12"/>
      <c r="N77" s="12"/>
      <c r="O77" s="12"/>
      <c r="P77" s="11"/>
      <c r="Q77" s="13"/>
      <c r="R77" s="96"/>
      <c r="S77" s="96"/>
      <c r="T77" s="96"/>
      <c r="U77" s="96"/>
      <c r="V77" s="12"/>
      <c r="W77" s="11"/>
      <c r="X77" s="96"/>
      <c r="Y77" s="12"/>
      <c r="Z77" s="11"/>
      <c r="AA77" s="14"/>
      <c r="AB77" s="11"/>
      <c r="AC77" s="11"/>
      <c r="AD77" s="15"/>
      <c r="AE77" s="11"/>
      <c r="AF77" s="11"/>
      <c r="AG77" s="11"/>
      <c r="AH77" s="11"/>
      <c r="AI77" s="11"/>
      <c r="AJ77" s="11"/>
      <c r="AK77" s="11"/>
      <c r="AL77" s="11"/>
    </row>
    <row r="78" spans="1:38" x14ac:dyDescent="0.25">
      <c r="A78" s="11"/>
      <c r="B78" s="96"/>
      <c r="C78" s="96"/>
      <c r="D78" s="96"/>
      <c r="E78" s="10"/>
      <c r="F78" s="10"/>
      <c r="G78" s="10"/>
      <c r="H78" s="96"/>
      <c r="I78" s="11"/>
      <c r="J78" s="96"/>
      <c r="K78" s="96"/>
      <c r="L78" s="12"/>
      <c r="M78" s="12"/>
      <c r="N78" s="12"/>
      <c r="O78" s="12"/>
      <c r="P78" s="11"/>
      <c r="Q78" s="13"/>
      <c r="R78" s="96"/>
      <c r="S78" s="96"/>
      <c r="T78" s="96"/>
      <c r="U78" s="96"/>
      <c r="V78" s="12"/>
      <c r="W78" s="11"/>
      <c r="X78" s="96"/>
      <c r="Y78" s="12"/>
      <c r="Z78" s="11"/>
      <c r="AA78" s="14"/>
      <c r="AB78" s="11"/>
      <c r="AC78" s="11"/>
      <c r="AD78" s="15"/>
      <c r="AE78" s="11"/>
      <c r="AF78" s="11"/>
      <c r="AG78" s="11"/>
      <c r="AH78" s="11"/>
      <c r="AI78" s="11"/>
      <c r="AJ78" s="11"/>
      <c r="AK78" s="11"/>
      <c r="AL78" s="11"/>
    </row>
    <row r="79" spans="1:38" x14ac:dyDescent="0.25">
      <c r="A79" s="11"/>
      <c r="B79" s="96"/>
      <c r="C79" s="96"/>
      <c r="D79" s="96"/>
      <c r="E79" s="10"/>
      <c r="F79" s="10"/>
      <c r="G79" s="10"/>
      <c r="H79" s="96"/>
      <c r="I79" s="11"/>
      <c r="J79" s="96"/>
      <c r="K79" s="96"/>
      <c r="L79" s="12"/>
      <c r="M79" s="12"/>
      <c r="N79" s="12"/>
      <c r="O79" s="12"/>
      <c r="P79" s="11"/>
      <c r="Q79" s="13"/>
      <c r="R79" s="96"/>
      <c r="S79" s="96"/>
      <c r="T79" s="96"/>
      <c r="U79" s="96"/>
      <c r="V79" s="12"/>
      <c r="W79" s="11"/>
      <c r="X79" s="96"/>
      <c r="Y79" s="12"/>
      <c r="Z79" s="11"/>
      <c r="AA79" s="14"/>
      <c r="AB79" s="11"/>
      <c r="AC79" s="11"/>
      <c r="AD79" s="15"/>
      <c r="AE79" s="11"/>
      <c r="AF79" s="11"/>
      <c r="AG79" s="11"/>
      <c r="AH79" s="11"/>
      <c r="AI79" s="11"/>
      <c r="AJ79" s="11"/>
      <c r="AK79" s="11"/>
      <c r="AL79" s="11"/>
    </row>
    <row r="80" spans="1:38" x14ac:dyDescent="0.25">
      <c r="A80" s="11"/>
      <c r="B80" s="96"/>
      <c r="C80" s="96"/>
      <c r="D80" s="96"/>
      <c r="E80" s="10"/>
      <c r="F80" s="10"/>
      <c r="G80" s="10"/>
      <c r="H80" s="96"/>
      <c r="I80" s="11"/>
      <c r="J80" s="96"/>
      <c r="K80" s="96"/>
      <c r="L80" s="12"/>
      <c r="M80" s="12"/>
      <c r="N80" s="12"/>
      <c r="O80" s="12"/>
      <c r="P80" s="11"/>
      <c r="Q80" s="13"/>
      <c r="R80" s="96"/>
      <c r="S80" s="96"/>
      <c r="T80" s="96"/>
      <c r="U80" s="96"/>
      <c r="V80" s="12"/>
      <c r="W80" s="11"/>
      <c r="X80" s="96"/>
      <c r="Y80" s="12"/>
      <c r="Z80" s="11"/>
      <c r="AA80" s="14"/>
      <c r="AB80" s="11"/>
      <c r="AC80" s="11"/>
      <c r="AD80" s="15"/>
      <c r="AE80" s="11"/>
      <c r="AF80" s="11"/>
      <c r="AG80" s="11"/>
      <c r="AH80" s="11"/>
      <c r="AI80" s="11"/>
      <c r="AJ80" s="11"/>
      <c r="AK80" s="11"/>
      <c r="AL80" s="11"/>
    </row>
    <row r="81" spans="1:38" x14ac:dyDescent="0.25">
      <c r="A81" s="11"/>
      <c r="B81" s="96"/>
      <c r="C81" s="96"/>
      <c r="D81" s="96"/>
      <c r="E81" s="10"/>
      <c r="F81" s="10"/>
      <c r="G81" s="10"/>
      <c r="H81" s="96"/>
      <c r="I81" s="11"/>
      <c r="J81" s="96"/>
      <c r="K81" s="96"/>
      <c r="L81" s="12"/>
      <c r="M81" s="12"/>
      <c r="N81" s="12"/>
      <c r="O81" s="12"/>
      <c r="P81" s="11"/>
      <c r="Q81" s="13"/>
      <c r="R81" s="96"/>
      <c r="S81" s="96"/>
      <c r="T81" s="96"/>
      <c r="U81" s="96"/>
      <c r="V81" s="12"/>
      <c r="W81" s="11"/>
      <c r="X81" s="96"/>
      <c r="Y81" s="12"/>
      <c r="Z81" s="11"/>
      <c r="AA81" s="14"/>
      <c r="AB81" s="11"/>
      <c r="AC81" s="11"/>
      <c r="AD81" s="15"/>
      <c r="AE81" s="11"/>
      <c r="AF81" s="11"/>
      <c r="AG81" s="11"/>
      <c r="AH81" s="11"/>
      <c r="AI81" s="11"/>
      <c r="AJ81" s="11"/>
      <c r="AK81" s="11"/>
      <c r="AL81" s="11"/>
    </row>
    <row r="82" spans="1:38" x14ac:dyDescent="0.25">
      <c r="A82" s="11"/>
      <c r="B82" s="96"/>
      <c r="C82" s="96"/>
      <c r="D82" s="96"/>
      <c r="E82" s="10"/>
      <c r="F82" s="10"/>
      <c r="G82" s="10"/>
      <c r="H82" s="96"/>
      <c r="I82" s="11"/>
      <c r="J82" s="96"/>
      <c r="K82" s="96"/>
      <c r="L82" s="12"/>
      <c r="M82" s="12"/>
      <c r="N82" s="12"/>
      <c r="O82" s="12"/>
      <c r="P82" s="11"/>
      <c r="Q82" s="13"/>
      <c r="R82" s="96"/>
      <c r="S82" s="96"/>
      <c r="T82" s="96"/>
      <c r="U82" s="96"/>
      <c r="V82" s="12"/>
      <c r="W82" s="11"/>
      <c r="X82" s="96"/>
      <c r="Y82" s="12"/>
      <c r="Z82" s="11"/>
      <c r="AA82" s="14"/>
      <c r="AB82" s="11"/>
      <c r="AC82" s="11"/>
      <c r="AD82" s="15"/>
      <c r="AE82" s="11"/>
      <c r="AF82" s="11"/>
      <c r="AG82" s="11"/>
      <c r="AH82" s="11"/>
      <c r="AI82" s="11"/>
      <c r="AJ82" s="11"/>
      <c r="AK82" s="11"/>
      <c r="AL82" s="11"/>
    </row>
    <row r="83" spans="1:38" x14ac:dyDescent="0.25">
      <c r="A83" s="11"/>
      <c r="B83" s="96"/>
      <c r="C83" s="96"/>
      <c r="D83" s="96"/>
      <c r="E83" s="10"/>
      <c r="F83" s="10"/>
      <c r="G83" s="10"/>
      <c r="H83" s="96"/>
      <c r="I83" s="11"/>
      <c r="J83" s="96"/>
      <c r="K83" s="96"/>
      <c r="L83" s="12"/>
      <c r="M83" s="12"/>
      <c r="N83" s="12"/>
      <c r="O83" s="12"/>
      <c r="P83" s="11"/>
      <c r="Q83" s="13"/>
      <c r="R83" s="96"/>
      <c r="S83" s="96"/>
      <c r="T83" s="96"/>
      <c r="U83" s="96"/>
      <c r="V83" s="12"/>
      <c r="W83" s="11"/>
      <c r="X83" s="96"/>
      <c r="Y83" s="12"/>
      <c r="Z83" s="11"/>
      <c r="AA83" s="14"/>
      <c r="AB83" s="11"/>
      <c r="AC83" s="11"/>
      <c r="AD83" s="15"/>
      <c r="AE83" s="11"/>
      <c r="AF83" s="11"/>
      <c r="AG83" s="11"/>
      <c r="AH83" s="11"/>
      <c r="AI83" s="11"/>
      <c r="AJ83" s="11"/>
      <c r="AK83" s="11"/>
      <c r="AL83" s="11"/>
    </row>
    <row r="84" spans="1:38" x14ac:dyDescent="0.25">
      <c r="A84" s="11"/>
      <c r="B84" s="96"/>
      <c r="C84" s="96"/>
      <c r="D84" s="96"/>
      <c r="E84" s="10"/>
      <c r="F84" s="10"/>
      <c r="G84" s="10"/>
      <c r="H84" s="96"/>
      <c r="I84" s="11"/>
      <c r="J84" s="96"/>
      <c r="K84" s="96"/>
      <c r="L84" s="12"/>
      <c r="M84" s="12"/>
      <c r="N84" s="12"/>
      <c r="O84" s="12"/>
      <c r="P84" s="11"/>
      <c r="Q84" s="13"/>
      <c r="R84" s="96"/>
      <c r="S84" s="96"/>
      <c r="T84" s="96"/>
      <c r="U84" s="96"/>
      <c r="V84" s="12"/>
      <c r="W84" s="11"/>
      <c r="X84" s="96"/>
      <c r="Y84" s="12"/>
      <c r="Z84" s="11"/>
      <c r="AA84" s="14"/>
      <c r="AB84" s="11"/>
      <c r="AC84" s="11"/>
      <c r="AD84" s="15"/>
      <c r="AE84" s="11"/>
      <c r="AF84" s="11"/>
      <c r="AG84" s="11"/>
      <c r="AH84" s="11"/>
      <c r="AI84" s="11"/>
      <c r="AJ84" s="11"/>
      <c r="AK84" s="11"/>
      <c r="AL84" s="11"/>
    </row>
    <row r="85" spans="1:38" x14ac:dyDescent="0.25">
      <c r="A85" s="11"/>
      <c r="B85" s="96"/>
      <c r="C85" s="96"/>
      <c r="D85" s="96"/>
      <c r="E85" s="10"/>
      <c r="F85" s="10"/>
      <c r="G85" s="10"/>
      <c r="H85" s="96"/>
      <c r="I85" s="11"/>
      <c r="J85" s="96"/>
      <c r="K85" s="96"/>
      <c r="L85" s="12"/>
      <c r="M85" s="12"/>
      <c r="N85" s="12"/>
      <c r="O85" s="12"/>
      <c r="P85" s="11"/>
      <c r="Q85" s="13"/>
      <c r="R85" s="96"/>
      <c r="S85" s="96"/>
      <c r="T85" s="96"/>
      <c r="U85" s="96"/>
      <c r="V85" s="12"/>
      <c r="W85" s="11"/>
      <c r="X85" s="96"/>
      <c r="Y85" s="12"/>
      <c r="Z85" s="11"/>
      <c r="AA85" s="14"/>
      <c r="AB85" s="11"/>
      <c r="AC85" s="11"/>
      <c r="AD85" s="15"/>
      <c r="AE85" s="11"/>
      <c r="AF85" s="11"/>
      <c r="AG85" s="11"/>
      <c r="AH85" s="11"/>
      <c r="AI85" s="11"/>
      <c r="AJ85" s="11"/>
      <c r="AK85" s="11"/>
      <c r="AL85" s="11"/>
    </row>
    <row r="86" spans="1:38" x14ac:dyDescent="0.25">
      <c r="A86" s="11"/>
      <c r="B86" s="96"/>
      <c r="C86" s="96"/>
      <c r="D86" s="96"/>
      <c r="E86" s="10"/>
      <c r="F86" s="10"/>
      <c r="G86" s="10"/>
      <c r="H86" s="96"/>
      <c r="I86" s="11"/>
      <c r="J86" s="96"/>
      <c r="K86" s="96"/>
      <c r="L86" s="12"/>
      <c r="M86" s="12"/>
      <c r="N86" s="12"/>
      <c r="O86" s="12"/>
      <c r="P86" s="11"/>
      <c r="Q86" s="13"/>
      <c r="R86" s="96"/>
      <c r="S86" s="96"/>
      <c r="T86" s="96"/>
      <c r="U86" s="96"/>
      <c r="V86" s="12"/>
      <c r="W86" s="11"/>
      <c r="X86" s="96"/>
      <c r="Y86" s="12"/>
      <c r="Z86" s="11"/>
      <c r="AA86" s="14"/>
      <c r="AB86" s="11"/>
      <c r="AC86" s="11"/>
      <c r="AD86" s="15"/>
      <c r="AE86" s="11"/>
      <c r="AF86" s="11"/>
      <c r="AG86" s="11"/>
      <c r="AH86" s="11"/>
      <c r="AI86" s="11"/>
      <c r="AJ86" s="11"/>
      <c r="AK86" s="11"/>
      <c r="AL86" s="11"/>
    </row>
    <row r="87" spans="1:38" x14ac:dyDescent="0.25">
      <c r="A87" s="11"/>
      <c r="B87" s="96"/>
      <c r="C87" s="96"/>
      <c r="D87" s="96"/>
      <c r="E87" s="10"/>
      <c r="F87" s="10"/>
      <c r="G87" s="10"/>
      <c r="H87" s="96"/>
      <c r="I87" s="11"/>
      <c r="J87" s="96"/>
      <c r="K87" s="96"/>
      <c r="L87" s="12"/>
      <c r="M87" s="12"/>
      <c r="N87" s="12"/>
      <c r="O87" s="12"/>
      <c r="P87" s="11"/>
      <c r="Q87" s="13"/>
      <c r="R87" s="96"/>
      <c r="S87" s="96"/>
      <c r="T87" s="96"/>
      <c r="U87" s="96"/>
      <c r="V87" s="12"/>
      <c r="W87" s="11"/>
      <c r="X87" s="96"/>
      <c r="Y87" s="12"/>
      <c r="Z87" s="11"/>
      <c r="AA87" s="14"/>
      <c r="AB87" s="11"/>
      <c r="AC87" s="11"/>
      <c r="AD87" s="15"/>
      <c r="AE87" s="11"/>
      <c r="AF87" s="11"/>
      <c r="AG87" s="11"/>
      <c r="AH87" s="11"/>
      <c r="AI87" s="11"/>
      <c r="AJ87" s="11"/>
      <c r="AK87" s="11"/>
      <c r="AL87" s="11"/>
    </row>
    <row r="88" spans="1:38" x14ac:dyDescent="0.25">
      <c r="A88" s="11"/>
      <c r="B88" s="96"/>
      <c r="C88" s="96"/>
      <c r="D88" s="96"/>
      <c r="E88" s="10"/>
      <c r="F88" s="10"/>
      <c r="G88" s="10"/>
      <c r="H88" s="96"/>
      <c r="I88" s="11"/>
      <c r="J88" s="96"/>
      <c r="K88" s="96"/>
      <c r="L88" s="12"/>
      <c r="M88" s="12"/>
      <c r="N88" s="12"/>
      <c r="O88" s="12"/>
      <c r="P88" s="11"/>
      <c r="Q88" s="13"/>
      <c r="R88" s="96"/>
      <c r="S88" s="96"/>
      <c r="T88" s="96"/>
      <c r="U88" s="96"/>
      <c r="V88" s="12"/>
      <c r="W88" s="11"/>
      <c r="X88" s="96"/>
      <c r="Y88" s="12"/>
      <c r="Z88" s="11"/>
      <c r="AA88" s="14"/>
      <c r="AB88" s="11"/>
      <c r="AC88" s="11"/>
      <c r="AD88" s="15"/>
      <c r="AE88" s="11"/>
      <c r="AF88" s="11"/>
      <c r="AG88" s="11"/>
      <c r="AH88" s="11"/>
      <c r="AI88" s="11"/>
      <c r="AJ88" s="11"/>
      <c r="AK88" s="11"/>
      <c r="AL88" s="11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A6DEB-0672-4DA0-812C-2F9DA47C9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Opti_Salidas_-30_INS</vt:lpstr>
      <vt:lpstr>Opti_Salidas_-30_OOS</vt:lpstr>
      <vt:lpstr>Opti_Salidas_-30_ALL_Data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Sánchez</dc:creator>
  <cp:lastModifiedBy>Alberto BR</cp:lastModifiedBy>
  <dcterms:created xsi:type="dcterms:W3CDTF">2024-04-16T13:32:19Z</dcterms:created>
  <dcterms:modified xsi:type="dcterms:W3CDTF">2024-04-16T15:46:42Z</dcterms:modified>
</cp:coreProperties>
</file>