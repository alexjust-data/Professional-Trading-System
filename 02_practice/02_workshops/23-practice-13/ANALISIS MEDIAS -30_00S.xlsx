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sersansistemas-my.sharepoint.com/personal/info_sersansistemas_com/Documents/MARKETING/CURSOS/CURSO DE TRADING ALGORÍTMICO/PRÁCTICAS/CLASES/Tendencial Oro/Optis Sergi/"/>
    </mc:Choice>
  </mc:AlternateContent>
  <xr:revisionPtr revIDLastSave="5632" documentId="8_{C731E9F7-277D-47AE-B73A-E3D80A988738}" xr6:coauthVersionLast="47" xr6:coauthVersionMax="47" xr10:uidLastSave="{0702E4B8-F2AA-4167-8478-7D789EB9868F}"/>
  <bookViews>
    <workbookView minimized="1" xWindow="2145" yWindow="2640" windowWidth="21600" windowHeight="11295" activeTab="2" xr2:uid="{87622A66-B005-4C27-99B3-2827634FA326}"/>
  </bookViews>
  <sheets>
    <sheet name="Opti_Medias_-30_INS" sheetId="7" r:id="rId1"/>
    <sheet name="Opti_Medias_-30_OOS" sheetId="6" r:id="rId2"/>
    <sheet name="Opti_Medias_-30_ALL_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5" l="1"/>
  <c r="AJ4" i="5"/>
  <c r="AJ14" i="5"/>
  <c r="AJ5" i="5"/>
  <c r="AJ8" i="5"/>
  <c r="AJ19" i="5"/>
  <c r="AJ3" i="5"/>
  <c r="AJ11" i="5"/>
  <c r="AJ16" i="5"/>
  <c r="AJ70" i="5"/>
  <c r="AJ17" i="5"/>
  <c r="AJ10" i="5"/>
  <c r="AJ26" i="5"/>
  <c r="AJ7" i="5"/>
  <c r="AJ6" i="5"/>
  <c r="AJ31" i="5"/>
  <c r="AJ15" i="5"/>
  <c r="AJ21" i="5"/>
  <c r="AJ25" i="5"/>
  <c r="AJ42" i="5"/>
  <c r="AJ23" i="5"/>
  <c r="AJ47" i="5"/>
  <c r="AJ33" i="5"/>
  <c r="AJ13" i="5"/>
  <c r="AJ12" i="5"/>
  <c r="AJ24" i="5"/>
  <c r="AJ28" i="5"/>
  <c r="AJ64" i="5"/>
  <c r="AJ41" i="5"/>
  <c r="AJ59" i="5"/>
  <c r="AJ22" i="5"/>
  <c r="AJ39" i="5"/>
  <c r="AJ51" i="5"/>
  <c r="AJ60" i="5"/>
  <c r="AJ9" i="5"/>
  <c r="AJ52" i="5"/>
  <c r="AJ18" i="5"/>
  <c r="AJ20" i="5"/>
  <c r="AJ40" i="5"/>
  <c r="AJ43" i="5"/>
  <c r="AJ63" i="5"/>
  <c r="AJ29" i="5"/>
  <c r="AJ54" i="5"/>
  <c r="AJ35" i="5"/>
  <c r="AJ46" i="5"/>
  <c r="AJ27" i="5"/>
  <c r="AJ45" i="5"/>
  <c r="AJ44" i="5"/>
  <c r="AJ30" i="5"/>
  <c r="AJ49" i="5"/>
  <c r="AJ34" i="5"/>
  <c r="AJ37" i="5"/>
  <c r="AJ57" i="5"/>
  <c r="AJ74" i="5"/>
  <c r="AJ81" i="5"/>
  <c r="AJ79" i="5"/>
  <c r="AJ58" i="5"/>
  <c r="AJ48" i="5"/>
  <c r="AJ73" i="5"/>
  <c r="AJ91" i="5"/>
  <c r="AJ65" i="5"/>
  <c r="AJ32" i="5"/>
  <c r="AJ38" i="5"/>
  <c r="AJ83" i="5"/>
  <c r="AJ76" i="5"/>
  <c r="AJ95" i="5"/>
  <c r="AJ75" i="5"/>
  <c r="AJ87" i="5"/>
  <c r="AJ53" i="5"/>
  <c r="AJ69" i="5"/>
  <c r="AJ78" i="5"/>
  <c r="AJ93" i="5"/>
  <c r="AJ36" i="5"/>
  <c r="AJ71" i="5"/>
  <c r="AJ66" i="5"/>
  <c r="AJ61" i="5"/>
  <c r="AJ50" i="5"/>
  <c r="AJ80" i="5"/>
  <c r="AJ62" i="5"/>
  <c r="AJ90" i="5"/>
  <c r="AJ77" i="5"/>
  <c r="AJ56" i="5"/>
  <c r="AJ89" i="5"/>
  <c r="AJ97" i="5"/>
  <c r="AJ85" i="5"/>
  <c r="AJ67" i="5"/>
  <c r="AJ72" i="5"/>
  <c r="AJ99" i="5"/>
  <c r="AJ94" i="5"/>
  <c r="AJ55" i="5"/>
  <c r="AJ68" i="5"/>
  <c r="AJ96" i="5"/>
  <c r="AJ100" i="5"/>
  <c r="AJ82" i="5"/>
  <c r="AJ92" i="5"/>
  <c r="AJ84" i="5"/>
  <c r="AJ88" i="5"/>
  <c r="AJ86" i="5"/>
  <c r="AJ98" i="5"/>
  <c r="AJ101" i="5"/>
  <c r="AI2" i="5"/>
  <c r="AI4" i="5"/>
  <c r="AI14" i="5"/>
  <c r="AI5" i="5"/>
  <c r="AI8" i="5"/>
  <c r="AI19" i="5"/>
  <c r="AI3" i="5"/>
  <c r="AI11" i="5"/>
  <c r="AI16" i="5"/>
  <c r="AI70" i="5"/>
  <c r="AI17" i="5"/>
  <c r="AI10" i="5"/>
  <c r="AI26" i="5"/>
  <c r="AI7" i="5"/>
  <c r="AI6" i="5"/>
  <c r="AI31" i="5"/>
  <c r="AI15" i="5"/>
  <c r="AI21" i="5"/>
  <c r="AI25" i="5"/>
  <c r="AI42" i="5"/>
  <c r="AI23" i="5"/>
  <c r="AI47" i="5"/>
  <c r="AI33" i="5"/>
  <c r="AI13" i="5"/>
  <c r="AI12" i="5"/>
  <c r="AI24" i="5"/>
  <c r="AI28" i="5"/>
  <c r="AI64" i="5"/>
  <c r="AI41" i="5"/>
  <c r="AI59" i="5"/>
  <c r="AI22" i="5"/>
  <c r="AI39" i="5"/>
  <c r="AI51" i="5"/>
  <c r="AI60" i="5"/>
  <c r="AI9" i="5"/>
  <c r="AI52" i="5"/>
  <c r="AI18" i="5"/>
  <c r="AI20" i="5"/>
  <c r="AI40" i="5"/>
  <c r="AI43" i="5"/>
  <c r="AI63" i="5"/>
  <c r="AI29" i="5"/>
  <c r="AI54" i="5"/>
  <c r="AI35" i="5"/>
  <c r="AI46" i="5"/>
  <c r="AI27" i="5"/>
  <c r="AI45" i="5"/>
  <c r="AI44" i="5"/>
  <c r="AI30" i="5"/>
  <c r="AI49" i="5"/>
  <c r="AI34" i="5"/>
  <c r="AI37" i="5"/>
  <c r="AI57" i="5"/>
  <c r="AI74" i="5"/>
  <c r="AI81" i="5"/>
  <c r="AI79" i="5"/>
  <c r="AI58" i="5"/>
  <c r="AI48" i="5"/>
  <c r="AI73" i="5"/>
  <c r="AI91" i="5"/>
  <c r="AI65" i="5"/>
  <c r="AI32" i="5"/>
  <c r="AI38" i="5"/>
  <c r="AI83" i="5"/>
  <c r="AI76" i="5"/>
  <c r="AI95" i="5"/>
  <c r="AI75" i="5"/>
  <c r="AI87" i="5"/>
  <c r="AI53" i="5"/>
  <c r="AI69" i="5"/>
  <c r="AI78" i="5"/>
  <c r="AI93" i="5"/>
  <c r="AI36" i="5"/>
  <c r="AI71" i="5"/>
  <c r="AI66" i="5"/>
  <c r="AI61" i="5"/>
  <c r="AI50" i="5"/>
  <c r="AI80" i="5"/>
  <c r="AI62" i="5"/>
  <c r="AI90" i="5"/>
  <c r="AI77" i="5"/>
  <c r="AI56" i="5"/>
  <c r="AI89" i="5"/>
  <c r="AI97" i="5"/>
  <c r="AI85" i="5"/>
  <c r="AI67" i="5"/>
  <c r="AI72" i="5"/>
  <c r="AI99" i="5"/>
  <c r="AI94" i="5"/>
  <c r="AI55" i="5"/>
  <c r="AI68" i="5"/>
  <c r="AI96" i="5"/>
  <c r="AI100" i="5"/>
  <c r="AI82" i="5"/>
  <c r="AI92" i="5"/>
  <c r="AI84" i="5"/>
  <c r="AI88" i="5"/>
  <c r="AI86" i="5"/>
  <c r="AI98" i="5"/>
  <c r="AI101" i="5"/>
  <c r="AG2" i="5"/>
  <c r="AG4" i="5"/>
  <c r="AG14" i="5"/>
  <c r="AG5" i="5"/>
  <c r="AG8" i="5"/>
  <c r="AG19" i="5"/>
  <c r="AG3" i="5"/>
  <c r="AG11" i="5"/>
  <c r="AG16" i="5"/>
  <c r="AG70" i="5"/>
  <c r="AG17" i="5"/>
  <c r="AG10" i="5"/>
  <c r="AG26" i="5"/>
  <c r="AG7" i="5"/>
  <c r="AG6" i="5"/>
  <c r="AG31" i="5"/>
  <c r="AG15" i="5"/>
  <c r="AG21" i="5"/>
  <c r="AG25" i="5"/>
  <c r="AG42" i="5"/>
  <c r="AG23" i="5"/>
  <c r="AG47" i="5"/>
  <c r="AG33" i="5"/>
  <c r="AG13" i="5"/>
  <c r="AG12" i="5"/>
  <c r="AG24" i="5"/>
  <c r="AG28" i="5"/>
  <c r="AG64" i="5"/>
  <c r="AG41" i="5"/>
  <c r="AG59" i="5"/>
  <c r="AG22" i="5"/>
  <c r="AG39" i="5"/>
  <c r="AG51" i="5"/>
  <c r="AG60" i="5"/>
  <c r="AG9" i="5"/>
  <c r="AG52" i="5"/>
  <c r="AG18" i="5"/>
  <c r="AG20" i="5"/>
  <c r="AG40" i="5"/>
  <c r="AG43" i="5"/>
  <c r="AG63" i="5"/>
  <c r="AG29" i="5"/>
  <c r="AG54" i="5"/>
  <c r="AG35" i="5"/>
  <c r="AG46" i="5"/>
  <c r="AG27" i="5"/>
  <c r="AG45" i="5"/>
  <c r="AG44" i="5"/>
  <c r="AG30" i="5"/>
  <c r="AG49" i="5"/>
  <c r="AG34" i="5"/>
  <c r="AG37" i="5"/>
  <c r="AG57" i="5"/>
  <c r="AG74" i="5"/>
  <c r="AG81" i="5"/>
  <c r="AG79" i="5"/>
  <c r="AG58" i="5"/>
  <c r="AG48" i="5"/>
  <c r="AG73" i="5"/>
  <c r="AG91" i="5"/>
  <c r="AG65" i="5"/>
  <c r="AG32" i="5"/>
  <c r="AG38" i="5"/>
  <c r="AG83" i="5"/>
  <c r="AG76" i="5"/>
  <c r="AG95" i="5"/>
  <c r="AG75" i="5"/>
  <c r="AG87" i="5"/>
  <c r="AG53" i="5"/>
  <c r="AG69" i="5"/>
  <c r="AG78" i="5"/>
  <c r="AG93" i="5"/>
  <c r="AG36" i="5"/>
  <c r="AG71" i="5"/>
  <c r="AG66" i="5"/>
  <c r="AG61" i="5"/>
  <c r="AG50" i="5"/>
  <c r="AG80" i="5"/>
  <c r="AG62" i="5"/>
  <c r="AG90" i="5"/>
  <c r="AG77" i="5"/>
  <c r="AG56" i="5"/>
  <c r="AG89" i="5"/>
  <c r="AG97" i="5"/>
  <c r="AG85" i="5"/>
  <c r="AG67" i="5"/>
  <c r="AG72" i="5"/>
  <c r="AG99" i="5"/>
  <c r="AG94" i="5"/>
  <c r="AG55" i="5"/>
  <c r="AG68" i="5"/>
  <c r="AG96" i="5"/>
  <c r="AG100" i="5"/>
  <c r="AG82" i="5"/>
  <c r="AG92" i="5"/>
  <c r="AG84" i="5"/>
  <c r="AG88" i="5"/>
  <c r="AG86" i="5"/>
  <c r="AG98" i="5"/>
  <c r="AG101" i="5"/>
  <c r="AF2" i="5"/>
  <c r="AF4" i="5"/>
  <c r="AK4" i="5" s="1"/>
  <c r="AL4" i="5" s="1"/>
  <c r="AF14" i="5"/>
  <c r="AF5" i="5"/>
  <c r="AF8" i="5"/>
  <c r="AK8" i="5" s="1"/>
  <c r="AL8" i="5" s="1"/>
  <c r="AF19" i="5"/>
  <c r="AF3" i="5"/>
  <c r="AF11" i="5"/>
  <c r="AF16" i="5"/>
  <c r="AF70" i="5"/>
  <c r="AF17" i="5"/>
  <c r="AK17" i="5" s="1"/>
  <c r="AL17" i="5" s="1"/>
  <c r="AF10" i="5"/>
  <c r="AK10" i="5" s="1"/>
  <c r="AL10" i="5" s="1"/>
  <c r="AF26" i="5"/>
  <c r="AF7" i="5"/>
  <c r="AK7" i="5" s="1"/>
  <c r="AL7" i="5" s="1"/>
  <c r="AF6" i="5"/>
  <c r="AF31" i="5"/>
  <c r="AF15" i="5"/>
  <c r="AF21" i="5"/>
  <c r="AF25" i="5"/>
  <c r="AF42" i="5"/>
  <c r="AF23" i="5"/>
  <c r="AF47" i="5"/>
  <c r="AF33" i="5"/>
  <c r="AK33" i="5" s="1"/>
  <c r="AL33" i="5" s="1"/>
  <c r="AF13" i="5"/>
  <c r="AK13" i="5" s="1"/>
  <c r="AL13" i="5" s="1"/>
  <c r="AF12" i="5"/>
  <c r="AF24" i="5"/>
  <c r="AK24" i="5" s="1"/>
  <c r="AL24" i="5" s="1"/>
  <c r="AF28" i="5"/>
  <c r="AF64" i="5"/>
  <c r="AF41" i="5"/>
  <c r="AK41" i="5" s="1"/>
  <c r="AL41" i="5" s="1"/>
  <c r="AF59" i="5"/>
  <c r="AF22" i="5"/>
  <c r="AF39" i="5"/>
  <c r="AF51" i="5"/>
  <c r="AF60" i="5"/>
  <c r="AF9" i="5"/>
  <c r="AK9" i="5" s="1"/>
  <c r="AL9" i="5" s="1"/>
  <c r="AF52" i="5"/>
  <c r="AK52" i="5" s="1"/>
  <c r="AL52" i="5" s="1"/>
  <c r="AF18" i="5"/>
  <c r="AF20" i="5"/>
  <c r="AK20" i="5" s="1"/>
  <c r="AL20" i="5" s="1"/>
  <c r="AF40" i="5"/>
  <c r="AF43" i="5"/>
  <c r="AF63" i="5"/>
  <c r="AK63" i="5" s="1"/>
  <c r="AL63" i="5" s="1"/>
  <c r="AF29" i="5"/>
  <c r="AF54" i="5"/>
  <c r="AF35" i="5"/>
  <c r="AF46" i="5"/>
  <c r="AF27" i="5"/>
  <c r="AF45" i="5"/>
  <c r="AK45" i="5" s="1"/>
  <c r="AL45" i="5" s="1"/>
  <c r="AF44" i="5"/>
  <c r="AK44" i="5" s="1"/>
  <c r="AL44" i="5" s="1"/>
  <c r="AF30" i="5"/>
  <c r="AF49" i="5"/>
  <c r="AK49" i="5" s="1"/>
  <c r="AL49" i="5" s="1"/>
  <c r="AF34" i="5"/>
  <c r="AF37" i="5"/>
  <c r="AF57" i="5"/>
  <c r="AK57" i="5" s="1"/>
  <c r="AL57" i="5" s="1"/>
  <c r="AF74" i="5"/>
  <c r="AF81" i="5"/>
  <c r="AF79" i="5"/>
  <c r="AF58" i="5"/>
  <c r="AF48" i="5"/>
  <c r="AF73" i="5"/>
  <c r="AK73" i="5" s="1"/>
  <c r="AL73" i="5" s="1"/>
  <c r="AF91" i="5"/>
  <c r="AF65" i="5"/>
  <c r="AF32" i="5"/>
  <c r="AK32" i="5" s="1"/>
  <c r="AL32" i="5" s="1"/>
  <c r="AF38" i="5"/>
  <c r="AF83" i="5"/>
  <c r="AF76" i="5"/>
  <c r="AK76" i="5" s="1"/>
  <c r="AL76" i="5" s="1"/>
  <c r="AF95" i="5"/>
  <c r="AF75" i="5"/>
  <c r="AF87" i="5"/>
  <c r="AF53" i="5"/>
  <c r="AF69" i="5"/>
  <c r="AF78" i="5"/>
  <c r="AF93" i="5"/>
  <c r="AK93" i="5" s="1"/>
  <c r="AL93" i="5" s="1"/>
  <c r="AF36" i="5"/>
  <c r="AF71" i="5"/>
  <c r="AK71" i="5" s="1"/>
  <c r="AL71" i="5" s="1"/>
  <c r="AF66" i="5"/>
  <c r="AF61" i="5"/>
  <c r="AF50" i="5"/>
  <c r="AF80" i="5"/>
  <c r="AF62" i="5"/>
  <c r="AF90" i="5"/>
  <c r="AF77" i="5"/>
  <c r="AF56" i="5"/>
  <c r="AF89" i="5"/>
  <c r="AF97" i="5"/>
  <c r="AK97" i="5" s="1"/>
  <c r="AL97" i="5" s="1"/>
  <c r="AF85" i="5"/>
  <c r="AF67" i="5"/>
  <c r="AK67" i="5" s="1"/>
  <c r="AL67" i="5" s="1"/>
  <c r="AF72" i="5"/>
  <c r="AF99" i="5"/>
  <c r="AF94" i="5"/>
  <c r="AK94" i="5" s="1"/>
  <c r="AL94" i="5" s="1"/>
  <c r="AF55" i="5"/>
  <c r="AF68" i="5"/>
  <c r="AF96" i="5"/>
  <c r="AF100" i="5"/>
  <c r="AF82" i="5"/>
  <c r="AF92" i="5"/>
  <c r="AK92" i="5" s="1"/>
  <c r="AL92" i="5" s="1"/>
  <c r="AF84" i="5"/>
  <c r="AK84" i="5" s="1"/>
  <c r="AL84" i="5" s="1"/>
  <c r="AF88" i="5"/>
  <c r="AF86" i="5"/>
  <c r="AK86" i="5" s="1"/>
  <c r="AL86" i="5" s="1"/>
  <c r="AF98" i="5"/>
  <c r="AF101" i="5"/>
  <c r="AJ9" i="6"/>
  <c r="AJ3" i="6"/>
  <c r="AJ2" i="6"/>
  <c r="AJ6" i="6"/>
  <c r="AJ4" i="6"/>
  <c r="AJ7" i="6"/>
  <c r="AJ11" i="6"/>
  <c r="AJ8" i="6"/>
  <c r="AJ12" i="6"/>
  <c r="AJ5" i="6"/>
  <c r="AJ10" i="6"/>
  <c r="AJ21" i="6"/>
  <c r="AJ23" i="6"/>
  <c r="AJ13" i="6"/>
  <c r="AJ18" i="6"/>
  <c r="AJ16" i="6"/>
  <c r="AJ15" i="6"/>
  <c r="AJ14" i="6"/>
  <c r="AJ24" i="6"/>
  <c r="AJ31" i="6"/>
  <c r="AJ26" i="6"/>
  <c r="AJ25" i="6"/>
  <c r="AJ41" i="6"/>
  <c r="AJ36" i="6"/>
  <c r="AJ35" i="6"/>
  <c r="AJ19" i="6"/>
  <c r="AJ30" i="6"/>
  <c r="AJ43" i="6"/>
  <c r="AJ17" i="6"/>
  <c r="AJ34" i="6"/>
  <c r="AJ33" i="6"/>
  <c r="AJ28" i="6"/>
  <c r="AJ37" i="6"/>
  <c r="AJ32" i="6"/>
  <c r="AJ22" i="6"/>
  <c r="AJ38" i="6"/>
  <c r="AJ27" i="6"/>
  <c r="AJ39" i="6"/>
  <c r="AJ20" i="6"/>
  <c r="AJ50" i="6"/>
  <c r="AJ52" i="6"/>
  <c r="AJ42" i="6"/>
  <c r="AJ40" i="6"/>
  <c r="AJ45" i="6"/>
  <c r="AJ29" i="6"/>
  <c r="AJ46" i="6"/>
  <c r="AJ54" i="6"/>
  <c r="AJ53" i="6"/>
  <c r="AJ51" i="6"/>
  <c r="AJ63" i="6"/>
  <c r="AJ49" i="6"/>
  <c r="AJ44" i="6"/>
  <c r="AJ61" i="6"/>
  <c r="AJ57" i="6"/>
  <c r="AJ47" i="6"/>
  <c r="AJ55" i="6"/>
  <c r="AJ64" i="6"/>
  <c r="AJ62" i="6"/>
  <c r="AJ48" i="6"/>
  <c r="AJ58" i="6"/>
  <c r="AJ65" i="6"/>
  <c r="AJ67" i="6"/>
  <c r="AJ69" i="6"/>
  <c r="AJ68" i="6"/>
  <c r="AJ73" i="6"/>
  <c r="AJ59" i="6"/>
  <c r="AJ66" i="6"/>
  <c r="AJ76" i="6"/>
  <c r="AJ70" i="6"/>
  <c r="AJ75" i="6"/>
  <c r="AJ60" i="6"/>
  <c r="AJ56" i="6"/>
  <c r="AJ71" i="6"/>
  <c r="AJ79" i="6"/>
  <c r="AJ78" i="6"/>
  <c r="AJ74" i="6"/>
  <c r="AJ72" i="6"/>
  <c r="AJ81" i="6"/>
  <c r="AJ82" i="6"/>
  <c r="AJ83" i="6"/>
  <c r="AJ84" i="6"/>
  <c r="AJ92" i="6"/>
  <c r="AJ80" i="6"/>
  <c r="AJ77" i="6"/>
  <c r="AJ86" i="6"/>
  <c r="AJ90" i="6"/>
  <c r="AJ89" i="6"/>
  <c r="AJ87" i="6"/>
  <c r="AJ93" i="6"/>
  <c r="AJ95" i="6"/>
  <c r="AJ85" i="6"/>
  <c r="AJ97" i="6"/>
  <c r="AJ88" i="6"/>
  <c r="AJ98" i="6"/>
  <c r="AJ94" i="6"/>
  <c r="AJ91" i="6"/>
  <c r="AJ99" i="6"/>
  <c r="AJ96" i="6"/>
  <c r="AJ101" i="6"/>
  <c r="AJ100" i="6"/>
  <c r="AI9" i="6"/>
  <c r="AI3" i="6"/>
  <c r="AI2" i="6"/>
  <c r="AI6" i="6"/>
  <c r="AI4" i="6"/>
  <c r="AI7" i="6"/>
  <c r="AI11" i="6"/>
  <c r="AI8" i="6"/>
  <c r="AI12" i="6"/>
  <c r="AI5" i="6"/>
  <c r="AI10" i="6"/>
  <c r="AI21" i="6"/>
  <c r="AI23" i="6"/>
  <c r="AI13" i="6"/>
  <c r="AI18" i="6"/>
  <c r="AI16" i="6"/>
  <c r="AI15" i="6"/>
  <c r="AI14" i="6"/>
  <c r="AI24" i="6"/>
  <c r="AI31" i="6"/>
  <c r="AI26" i="6"/>
  <c r="AI25" i="6"/>
  <c r="AI41" i="6"/>
  <c r="AI36" i="6"/>
  <c r="AI35" i="6"/>
  <c r="AI19" i="6"/>
  <c r="AI30" i="6"/>
  <c r="AI43" i="6"/>
  <c r="AI17" i="6"/>
  <c r="AI34" i="6"/>
  <c r="AI33" i="6"/>
  <c r="AI28" i="6"/>
  <c r="AI37" i="6"/>
  <c r="AI32" i="6"/>
  <c r="AI22" i="6"/>
  <c r="AI38" i="6"/>
  <c r="AI27" i="6"/>
  <c r="AI39" i="6"/>
  <c r="AI20" i="6"/>
  <c r="AI50" i="6"/>
  <c r="AI52" i="6"/>
  <c r="AI42" i="6"/>
  <c r="AI40" i="6"/>
  <c r="AI45" i="6"/>
  <c r="AI29" i="6"/>
  <c r="AI46" i="6"/>
  <c r="AI54" i="6"/>
  <c r="AI53" i="6"/>
  <c r="AI51" i="6"/>
  <c r="AI63" i="6"/>
  <c r="AI49" i="6"/>
  <c r="AI44" i="6"/>
  <c r="AI61" i="6"/>
  <c r="AI57" i="6"/>
  <c r="AI47" i="6"/>
  <c r="AI55" i="6"/>
  <c r="AI64" i="6"/>
  <c r="AI62" i="6"/>
  <c r="AI48" i="6"/>
  <c r="AI58" i="6"/>
  <c r="AI65" i="6"/>
  <c r="AI67" i="6"/>
  <c r="AI69" i="6"/>
  <c r="AI68" i="6"/>
  <c r="AI73" i="6"/>
  <c r="AI59" i="6"/>
  <c r="AI66" i="6"/>
  <c r="AI76" i="6"/>
  <c r="AI70" i="6"/>
  <c r="AI75" i="6"/>
  <c r="AI60" i="6"/>
  <c r="AI56" i="6"/>
  <c r="AI71" i="6"/>
  <c r="AI79" i="6"/>
  <c r="AI78" i="6"/>
  <c r="AI74" i="6"/>
  <c r="AI72" i="6"/>
  <c r="AI81" i="6"/>
  <c r="AI82" i="6"/>
  <c r="AI83" i="6"/>
  <c r="AI84" i="6"/>
  <c r="AI92" i="6"/>
  <c r="AI80" i="6"/>
  <c r="AI77" i="6"/>
  <c r="AI86" i="6"/>
  <c r="AI90" i="6"/>
  <c r="AI89" i="6"/>
  <c r="AI87" i="6"/>
  <c r="AI93" i="6"/>
  <c r="AI95" i="6"/>
  <c r="AI85" i="6"/>
  <c r="AI97" i="6"/>
  <c r="AI88" i="6"/>
  <c r="AI98" i="6"/>
  <c r="AI94" i="6"/>
  <c r="AI91" i="6"/>
  <c r="AI99" i="6"/>
  <c r="AI96" i="6"/>
  <c r="AI101" i="6"/>
  <c r="AI100" i="6"/>
  <c r="AG9" i="6"/>
  <c r="AG3" i="6"/>
  <c r="AG2" i="6"/>
  <c r="AG6" i="6"/>
  <c r="AG4" i="6"/>
  <c r="AG7" i="6"/>
  <c r="AG11" i="6"/>
  <c r="AG8" i="6"/>
  <c r="AG12" i="6"/>
  <c r="AG5" i="6"/>
  <c r="AG10" i="6"/>
  <c r="AG21" i="6"/>
  <c r="AG23" i="6"/>
  <c r="AG13" i="6"/>
  <c r="AG18" i="6"/>
  <c r="AG16" i="6"/>
  <c r="AG15" i="6"/>
  <c r="AG14" i="6"/>
  <c r="AG24" i="6"/>
  <c r="AG31" i="6"/>
  <c r="AG26" i="6"/>
  <c r="AG25" i="6"/>
  <c r="AG41" i="6"/>
  <c r="AG36" i="6"/>
  <c r="AG35" i="6"/>
  <c r="AG19" i="6"/>
  <c r="AG30" i="6"/>
  <c r="AG43" i="6"/>
  <c r="AG17" i="6"/>
  <c r="AG34" i="6"/>
  <c r="AG33" i="6"/>
  <c r="AG28" i="6"/>
  <c r="AG37" i="6"/>
  <c r="AG32" i="6"/>
  <c r="AG22" i="6"/>
  <c r="AK22" i="6" s="1"/>
  <c r="AL22" i="6" s="1"/>
  <c r="AG38" i="6"/>
  <c r="AG27" i="6"/>
  <c r="AG39" i="6"/>
  <c r="AG20" i="6"/>
  <c r="AG50" i="6"/>
  <c r="AG52" i="6"/>
  <c r="AG42" i="6"/>
  <c r="AG40" i="6"/>
  <c r="AG45" i="6"/>
  <c r="AG29" i="6"/>
  <c r="AG46" i="6"/>
  <c r="AG54" i="6"/>
  <c r="AG53" i="6"/>
  <c r="AG51" i="6"/>
  <c r="AG63" i="6"/>
  <c r="AG49" i="6"/>
  <c r="AG44" i="6"/>
  <c r="AG61" i="6"/>
  <c r="AG57" i="6"/>
  <c r="AG47" i="6"/>
  <c r="AG55" i="6"/>
  <c r="AG64" i="6"/>
  <c r="AG62" i="6"/>
  <c r="AG48" i="6"/>
  <c r="AG58" i="6"/>
  <c r="AG65" i="6"/>
  <c r="AG67" i="6"/>
  <c r="AG69" i="6"/>
  <c r="AG68" i="6"/>
  <c r="AG73" i="6"/>
  <c r="AG59" i="6"/>
  <c r="AG66" i="6"/>
  <c r="AG76" i="6"/>
  <c r="AG70" i="6"/>
  <c r="AG75" i="6"/>
  <c r="AG60" i="6"/>
  <c r="AG56" i="6"/>
  <c r="AG71" i="6"/>
  <c r="AG79" i="6"/>
  <c r="AG78" i="6"/>
  <c r="AG74" i="6"/>
  <c r="AG72" i="6"/>
  <c r="AG81" i="6"/>
  <c r="AG82" i="6"/>
  <c r="AG83" i="6"/>
  <c r="AG84" i="6"/>
  <c r="AG92" i="6"/>
  <c r="AG80" i="6"/>
  <c r="AG77" i="6"/>
  <c r="AG86" i="6"/>
  <c r="AG90" i="6"/>
  <c r="AG89" i="6"/>
  <c r="AG87" i="6"/>
  <c r="AG93" i="6"/>
  <c r="AG95" i="6"/>
  <c r="AG85" i="6"/>
  <c r="AG97" i="6"/>
  <c r="AG88" i="6"/>
  <c r="AG98" i="6"/>
  <c r="AG94" i="6"/>
  <c r="AG91" i="6"/>
  <c r="AG99" i="6"/>
  <c r="AG96" i="6"/>
  <c r="AG101" i="6"/>
  <c r="AG100" i="6"/>
  <c r="AF9" i="6"/>
  <c r="AK9" i="6" s="1"/>
  <c r="AL9" i="6" s="1"/>
  <c r="AF3" i="6"/>
  <c r="AF2" i="6"/>
  <c r="AF6" i="6"/>
  <c r="AF4" i="6"/>
  <c r="AF7" i="6"/>
  <c r="AF11" i="6"/>
  <c r="AK11" i="6" s="1"/>
  <c r="AL11" i="6" s="1"/>
  <c r="AF8" i="6"/>
  <c r="AF12" i="6"/>
  <c r="AF5" i="6"/>
  <c r="AF10" i="6"/>
  <c r="AF21" i="6"/>
  <c r="AF23" i="6"/>
  <c r="AK23" i="6" s="1"/>
  <c r="AL23" i="6" s="1"/>
  <c r="AF13" i="6"/>
  <c r="AF18" i="6"/>
  <c r="AF16" i="6"/>
  <c r="AF15" i="6"/>
  <c r="AF14" i="6"/>
  <c r="AF24" i="6"/>
  <c r="AF31" i="6"/>
  <c r="AF26" i="6"/>
  <c r="AF25" i="6"/>
  <c r="AF41" i="6"/>
  <c r="AF36" i="6"/>
  <c r="AF35" i="6"/>
  <c r="AK35" i="6" s="1"/>
  <c r="AL35" i="6" s="1"/>
  <c r="AF19" i="6"/>
  <c r="AF30" i="6"/>
  <c r="AF43" i="6"/>
  <c r="AF17" i="6"/>
  <c r="AF34" i="6"/>
  <c r="AF33" i="6"/>
  <c r="AK33" i="6" s="1"/>
  <c r="AL33" i="6" s="1"/>
  <c r="AF28" i="6"/>
  <c r="AF37" i="6"/>
  <c r="AF32" i="6"/>
  <c r="AF22" i="6"/>
  <c r="AF38" i="6"/>
  <c r="AF27" i="6"/>
  <c r="AK27" i="6" s="1"/>
  <c r="AL27" i="6" s="1"/>
  <c r="AF39" i="6"/>
  <c r="AF20" i="6"/>
  <c r="AF50" i="6"/>
  <c r="AF52" i="6"/>
  <c r="AF42" i="6"/>
  <c r="AF40" i="6"/>
  <c r="AK40" i="6" s="1"/>
  <c r="AL40" i="6" s="1"/>
  <c r="AF45" i="6"/>
  <c r="AF29" i="6"/>
  <c r="AF46" i="6"/>
  <c r="AF54" i="6"/>
  <c r="AF53" i="6"/>
  <c r="AF51" i="6"/>
  <c r="AK51" i="6" s="1"/>
  <c r="AL51" i="6" s="1"/>
  <c r="AF63" i="6"/>
  <c r="AF49" i="6"/>
  <c r="AF44" i="6"/>
  <c r="AF61" i="6"/>
  <c r="AF57" i="6"/>
  <c r="AF47" i="6"/>
  <c r="AK47" i="6" s="1"/>
  <c r="AL47" i="6" s="1"/>
  <c r="AF55" i="6"/>
  <c r="AF64" i="6"/>
  <c r="AF62" i="6"/>
  <c r="AF48" i="6"/>
  <c r="AF58" i="6"/>
  <c r="AF65" i="6"/>
  <c r="AK65" i="6" s="1"/>
  <c r="AL65" i="6" s="1"/>
  <c r="AF67" i="6"/>
  <c r="AF69" i="6"/>
  <c r="AF68" i="6"/>
  <c r="AF73" i="6"/>
  <c r="AF59" i="6"/>
  <c r="AF66" i="6"/>
  <c r="AK66" i="6" s="1"/>
  <c r="AL66" i="6" s="1"/>
  <c r="AF76" i="6"/>
  <c r="AF70" i="6"/>
  <c r="AF75" i="6"/>
  <c r="AF60" i="6"/>
  <c r="AF56" i="6"/>
  <c r="AF71" i="6"/>
  <c r="AK71" i="6" s="1"/>
  <c r="AL71" i="6" s="1"/>
  <c r="AF79" i="6"/>
  <c r="AF78" i="6"/>
  <c r="AF74" i="6"/>
  <c r="AF72" i="6"/>
  <c r="AF81" i="6"/>
  <c r="AF82" i="6"/>
  <c r="AF83" i="6"/>
  <c r="AF84" i="6"/>
  <c r="AF92" i="6"/>
  <c r="AF80" i="6"/>
  <c r="AF77" i="6"/>
  <c r="AF86" i="6"/>
  <c r="AK86" i="6" s="1"/>
  <c r="AL86" i="6" s="1"/>
  <c r="AF90" i="6"/>
  <c r="AF89" i="6"/>
  <c r="AF87" i="6"/>
  <c r="AF93" i="6"/>
  <c r="AF95" i="6"/>
  <c r="AF85" i="6"/>
  <c r="AK85" i="6" s="1"/>
  <c r="AL85" i="6" s="1"/>
  <c r="AF97" i="6"/>
  <c r="AF88" i="6"/>
  <c r="AF98" i="6"/>
  <c r="AF94" i="6"/>
  <c r="AF91" i="6"/>
  <c r="AF99" i="6"/>
  <c r="AF96" i="6"/>
  <c r="AF101" i="6"/>
  <c r="AF100" i="6"/>
  <c r="AJ7" i="7"/>
  <c r="AJ6" i="7"/>
  <c r="AJ8" i="7"/>
  <c r="AJ4" i="7"/>
  <c r="AJ2" i="7"/>
  <c r="AJ17" i="7"/>
  <c r="AJ12" i="7"/>
  <c r="AJ29" i="7"/>
  <c r="AJ19" i="7"/>
  <c r="AJ15" i="7"/>
  <c r="AJ5" i="7"/>
  <c r="AJ3" i="7"/>
  <c r="AJ11" i="7"/>
  <c r="AJ10" i="7"/>
  <c r="AJ33" i="7"/>
  <c r="AJ18" i="7"/>
  <c r="AJ9" i="7"/>
  <c r="AJ22" i="7"/>
  <c r="AJ41" i="7"/>
  <c r="AJ44" i="7"/>
  <c r="AJ28" i="7"/>
  <c r="AJ13" i="7"/>
  <c r="AJ25" i="7"/>
  <c r="AJ52" i="7"/>
  <c r="AJ50" i="7"/>
  <c r="AJ14" i="7"/>
  <c r="AJ30" i="7"/>
  <c r="AJ20" i="7"/>
  <c r="AJ40" i="7"/>
  <c r="AJ55" i="7"/>
  <c r="AJ43" i="7"/>
  <c r="AJ51" i="7"/>
  <c r="AJ42" i="7"/>
  <c r="AJ23" i="7"/>
  <c r="AJ56" i="7"/>
  <c r="AJ32" i="7"/>
  <c r="AJ38" i="7"/>
  <c r="AJ24" i="7"/>
  <c r="AJ75" i="7"/>
  <c r="AJ34" i="7"/>
  <c r="AJ26" i="7"/>
  <c r="AJ16" i="7"/>
  <c r="AJ36" i="7"/>
  <c r="AJ64" i="7"/>
  <c r="AJ57" i="7"/>
  <c r="AJ60" i="7"/>
  <c r="AJ31" i="7"/>
  <c r="AJ63" i="7"/>
  <c r="AJ21" i="7"/>
  <c r="AJ47" i="7"/>
  <c r="AJ46" i="7"/>
  <c r="AJ27" i="7"/>
  <c r="AJ65" i="7"/>
  <c r="AJ62" i="7"/>
  <c r="AJ49" i="7"/>
  <c r="AJ72" i="7"/>
  <c r="AJ37" i="7"/>
  <c r="AJ79" i="7"/>
  <c r="AJ53" i="7"/>
  <c r="AJ39" i="7"/>
  <c r="AJ73" i="7"/>
  <c r="AJ35" i="7"/>
  <c r="AJ68" i="7"/>
  <c r="AJ81" i="7"/>
  <c r="AJ48" i="7"/>
  <c r="AJ70" i="7"/>
  <c r="AJ61" i="7"/>
  <c r="AJ59" i="7"/>
  <c r="AJ45" i="7"/>
  <c r="AJ85" i="7"/>
  <c r="AJ76" i="7"/>
  <c r="AJ54" i="7"/>
  <c r="AJ92" i="7"/>
  <c r="AJ87" i="7"/>
  <c r="AJ58" i="7"/>
  <c r="AJ86" i="7"/>
  <c r="AJ93" i="7"/>
  <c r="AJ69" i="7"/>
  <c r="AJ71" i="7"/>
  <c r="AJ82" i="7"/>
  <c r="AJ96" i="7"/>
  <c r="AJ95" i="7"/>
  <c r="AJ91" i="7"/>
  <c r="AJ90" i="7"/>
  <c r="AJ66" i="7"/>
  <c r="AJ84" i="7"/>
  <c r="AJ67" i="7"/>
  <c r="AJ77" i="7"/>
  <c r="AJ74" i="7"/>
  <c r="AJ78" i="7"/>
  <c r="AJ80" i="7"/>
  <c r="AJ89" i="7"/>
  <c r="AJ94" i="7"/>
  <c r="AJ97" i="7"/>
  <c r="AJ98" i="7"/>
  <c r="AJ101" i="7"/>
  <c r="AJ83" i="7"/>
  <c r="AJ100" i="7"/>
  <c r="AJ88" i="7"/>
  <c r="AJ99" i="7"/>
  <c r="AI7" i="7"/>
  <c r="AI6" i="7"/>
  <c r="AI8" i="7"/>
  <c r="AI4" i="7"/>
  <c r="AI2" i="7"/>
  <c r="AI17" i="7"/>
  <c r="AI12" i="7"/>
  <c r="AI29" i="7"/>
  <c r="AI19" i="7"/>
  <c r="AI15" i="7"/>
  <c r="AI5" i="7"/>
  <c r="AI3" i="7"/>
  <c r="AI11" i="7"/>
  <c r="AI10" i="7"/>
  <c r="AI33" i="7"/>
  <c r="AI18" i="7"/>
  <c r="AI9" i="7"/>
  <c r="AI22" i="7"/>
  <c r="AI41" i="7"/>
  <c r="AI44" i="7"/>
  <c r="AI28" i="7"/>
  <c r="AI13" i="7"/>
  <c r="AI25" i="7"/>
  <c r="AI52" i="7"/>
  <c r="AI50" i="7"/>
  <c r="AI14" i="7"/>
  <c r="AI30" i="7"/>
  <c r="AI20" i="7"/>
  <c r="AI40" i="7"/>
  <c r="AI55" i="7"/>
  <c r="AI43" i="7"/>
  <c r="AI51" i="7"/>
  <c r="AI42" i="7"/>
  <c r="AI23" i="7"/>
  <c r="AI56" i="7"/>
  <c r="AI32" i="7"/>
  <c r="AI38" i="7"/>
  <c r="AI24" i="7"/>
  <c r="AI75" i="7"/>
  <c r="AI34" i="7"/>
  <c r="AI26" i="7"/>
  <c r="AI16" i="7"/>
  <c r="AI36" i="7"/>
  <c r="AI64" i="7"/>
  <c r="AI57" i="7"/>
  <c r="AI60" i="7"/>
  <c r="AI31" i="7"/>
  <c r="AI63" i="7"/>
  <c r="AI21" i="7"/>
  <c r="AI47" i="7"/>
  <c r="AI46" i="7"/>
  <c r="AI27" i="7"/>
  <c r="AI65" i="7"/>
  <c r="AI62" i="7"/>
  <c r="AI49" i="7"/>
  <c r="AI72" i="7"/>
  <c r="AI37" i="7"/>
  <c r="AI79" i="7"/>
  <c r="AI53" i="7"/>
  <c r="AI39" i="7"/>
  <c r="AI73" i="7"/>
  <c r="AI35" i="7"/>
  <c r="AI68" i="7"/>
  <c r="AI81" i="7"/>
  <c r="AI48" i="7"/>
  <c r="AI70" i="7"/>
  <c r="AI61" i="7"/>
  <c r="AI59" i="7"/>
  <c r="AI45" i="7"/>
  <c r="AI85" i="7"/>
  <c r="AI76" i="7"/>
  <c r="AI54" i="7"/>
  <c r="AI92" i="7"/>
  <c r="AI87" i="7"/>
  <c r="AI58" i="7"/>
  <c r="AI86" i="7"/>
  <c r="AI93" i="7"/>
  <c r="AI69" i="7"/>
  <c r="AI71" i="7"/>
  <c r="AI82" i="7"/>
  <c r="AI96" i="7"/>
  <c r="AI95" i="7"/>
  <c r="AI91" i="7"/>
  <c r="AI90" i="7"/>
  <c r="AI66" i="7"/>
  <c r="AI84" i="7"/>
  <c r="AI67" i="7"/>
  <c r="AI77" i="7"/>
  <c r="AI74" i="7"/>
  <c r="AI78" i="7"/>
  <c r="AI80" i="7"/>
  <c r="AI89" i="7"/>
  <c r="AI94" i="7"/>
  <c r="AI97" i="7"/>
  <c r="AI98" i="7"/>
  <c r="AI101" i="7"/>
  <c r="AI83" i="7"/>
  <c r="AI100" i="7"/>
  <c r="AI88" i="7"/>
  <c r="AI99" i="7"/>
  <c r="AG7" i="7"/>
  <c r="AG6" i="7"/>
  <c r="AG8" i="7"/>
  <c r="AG4" i="7"/>
  <c r="AG2" i="7"/>
  <c r="AG17" i="7"/>
  <c r="AG12" i="7"/>
  <c r="AG29" i="7"/>
  <c r="AG19" i="7"/>
  <c r="AG15" i="7"/>
  <c r="AG5" i="7"/>
  <c r="AG3" i="7"/>
  <c r="AG11" i="7"/>
  <c r="AG10" i="7"/>
  <c r="AG33" i="7"/>
  <c r="AG18" i="7"/>
  <c r="AG9" i="7"/>
  <c r="AG22" i="7"/>
  <c r="AG41" i="7"/>
  <c r="AG44" i="7"/>
  <c r="AG28" i="7"/>
  <c r="AG13" i="7"/>
  <c r="AG25" i="7"/>
  <c r="AG52" i="7"/>
  <c r="AG50" i="7"/>
  <c r="AG14" i="7"/>
  <c r="AG30" i="7"/>
  <c r="AG20" i="7"/>
  <c r="AG40" i="7"/>
  <c r="AG55" i="7"/>
  <c r="AG43" i="7"/>
  <c r="AG51" i="7"/>
  <c r="AG42" i="7"/>
  <c r="AG23" i="7"/>
  <c r="AG56" i="7"/>
  <c r="AG32" i="7"/>
  <c r="AG38" i="7"/>
  <c r="AG24" i="7"/>
  <c r="AG75" i="7"/>
  <c r="AG34" i="7"/>
  <c r="AG26" i="7"/>
  <c r="AG16" i="7"/>
  <c r="AG36" i="7"/>
  <c r="AG64" i="7"/>
  <c r="AG57" i="7"/>
  <c r="AG60" i="7"/>
  <c r="AG31" i="7"/>
  <c r="AG63" i="7"/>
  <c r="AG21" i="7"/>
  <c r="AG47" i="7"/>
  <c r="AG46" i="7"/>
  <c r="AG27" i="7"/>
  <c r="AG65" i="7"/>
  <c r="AG62" i="7"/>
  <c r="AG49" i="7"/>
  <c r="AG72" i="7"/>
  <c r="AG37" i="7"/>
  <c r="AG79" i="7"/>
  <c r="AG53" i="7"/>
  <c r="AG39" i="7"/>
  <c r="AG73" i="7"/>
  <c r="AG35" i="7"/>
  <c r="AG68" i="7"/>
  <c r="AG81" i="7"/>
  <c r="AG48" i="7"/>
  <c r="AG70" i="7"/>
  <c r="AG61" i="7"/>
  <c r="AG59" i="7"/>
  <c r="AG45" i="7"/>
  <c r="AG85" i="7"/>
  <c r="AG76" i="7"/>
  <c r="AG54" i="7"/>
  <c r="AG92" i="7"/>
  <c r="AG87" i="7"/>
  <c r="AG58" i="7"/>
  <c r="AG86" i="7"/>
  <c r="AG93" i="7"/>
  <c r="AG69" i="7"/>
  <c r="AG71" i="7"/>
  <c r="AG82" i="7"/>
  <c r="AG96" i="7"/>
  <c r="AG95" i="7"/>
  <c r="AG91" i="7"/>
  <c r="AG90" i="7"/>
  <c r="AG66" i="7"/>
  <c r="AG84" i="7"/>
  <c r="AG67" i="7"/>
  <c r="AG77" i="7"/>
  <c r="AG74" i="7"/>
  <c r="AG78" i="7"/>
  <c r="AG80" i="7"/>
  <c r="AG89" i="7"/>
  <c r="AG94" i="7"/>
  <c r="AG97" i="7"/>
  <c r="AG98" i="7"/>
  <c r="AG101" i="7"/>
  <c r="AG83" i="7"/>
  <c r="AG100" i="7"/>
  <c r="AG88" i="7"/>
  <c r="AG99" i="7"/>
  <c r="AF7" i="7"/>
  <c r="AF6" i="7"/>
  <c r="AF8" i="7"/>
  <c r="AF4" i="7"/>
  <c r="AF2" i="7"/>
  <c r="AK2" i="7" s="1"/>
  <c r="AL2" i="7" s="1"/>
  <c r="AF17" i="7"/>
  <c r="AF12" i="7"/>
  <c r="AF29" i="7"/>
  <c r="AF19" i="7"/>
  <c r="AF15" i="7"/>
  <c r="AF5" i="7"/>
  <c r="AF3" i="7"/>
  <c r="AF11" i="7"/>
  <c r="AF10" i="7"/>
  <c r="AF33" i="7"/>
  <c r="AF18" i="7"/>
  <c r="AF9" i="7"/>
  <c r="AK9" i="7" s="1"/>
  <c r="AL9" i="7" s="1"/>
  <c r="AF22" i="7"/>
  <c r="AF41" i="7"/>
  <c r="AF44" i="7"/>
  <c r="AF28" i="7"/>
  <c r="AF13" i="7"/>
  <c r="AF25" i="7"/>
  <c r="AF52" i="7"/>
  <c r="AF50" i="7"/>
  <c r="AF14" i="7"/>
  <c r="AF30" i="7"/>
  <c r="AF20" i="7"/>
  <c r="AF40" i="7"/>
  <c r="AF55" i="7"/>
  <c r="AF43" i="7"/>
  <c r="AF51" i="7"/>
  <c r="AF42" i="7"/>
  <c r="AF23" i="7"/>
  <c r="AF56" i="7"/>
  <c r="AF32" i="7"/>
  <c r="AF38" i="7"/>
  <c r="AF24" i="7"/>
  <c r="AF75" i="7"/>
  <c r="AF34" i="7"/>
  <c r="AF26" i="7"/>
  <c r="AK26" i="7" s="1"/>
  <c r="AL26" i="7" s="1"/>
  <c r="AF16" i="7"/>
  <c r="AF36" i="7"/>
  <c r="AF64" i="7"/>
  <c r="AF57" i="7"/>
  <c r="AF60" i="7"/>
  <c r="AF31" i="7"/>
  <c r="AF63" i="7"/>
  <c r="AF21" i="7"/>
  <c r="AF47" i="7"/>
  <c r="AF46" i="7"/>
  <c r="AF27" i="7"/>
  <c r="AF65" i="7"/>
  <c r="AF62" i="7"/>
  <c r="AF49" i="7"/>
  <c r="AF72" i="7"/>
  <c r="AF37" i="7"/>
  <c r="AF79" i="7"/>
  <c r="AF53" i="7"/>
  <c r="AF39" i="7"/>
  <c r="AF73" i="7"/>
  <c r="AF35" i="7"/>
  <c r="AF68" i="7"/>
  <c r="AF81" i="7"/>
  <c r="AF48" i="7"/>
  <c r="AK48" i="7" s="1"/>
  <c r="AL48" i="7" s="1"/>
  <c r="AF70" i="7"/>
  <c r="AF61" i="7"/>
  <c r="AF59" i="7"/>
  <c r="AF45" i="7"/>
  <c r="AF85" i="7"/>
  <c r="AF76" i="7"/>
  <c r="AF54" i="7"/>
  <c r="AF92" i="7"/>
  <c r="AF87" i="7"/>
  <c r="AF58" i="7"/>
  <c r="AF86" i="7"/>
  <c r="AF93" i="7"/>
  <c r="AK93" i="7" s="1"/>
  <c r="AL93" i="7" s="1"/>
  <c r="AF69" i="7"/>
  <c r="AF71" i="7"/>
  <c r="AF82" i="7"/>
  <c r="AF96" i="7"/>
  <c r="AF95" i="7"/>
  <c r="AF91" i="7"/>
  <c r="AF90" i="7"/>
  <c r="AF66" i="7"/>
  <c r="AF84" i="7"/>
  <c r="AF67" i="7"/>
  <c r="AF77" i="7"/>
  <c r="AF74" i="7"/>
  <c r="AF78" i="7"/>
  <c r="AF80" i="7"/>
  <c r="AF89" i="7"/>
  <c r="AF94" i="7"/>
  <c r="AF97" i="7"/>
  <c r="AF98" i="7"/>
  <c r="AF101" i="7"/>
  <c r="AF83" i="7"/>
  <c r="AF100" i="7"/>
  <c r="AF88" i="7"/>
  <c r="AF99" i="7"/>
  <c r="AK65" i="7" l="1"/>
  <c r="AL65" i="7" s="1"/>
  <c r="AK40" i="7"/>
  <c r="AL40" i="7" s="1"/>
  <c r="AK74" i="7"/>
  <c r="AL74" i="7" s="1"/>
  <c r="AK80" i="5"/>
  <c r="AL80" i="5" s="1"/>
  <c r="AK21" i="5"/>
  <c r="AL21" i="5" s="1"/>
  <c r="AK50" i="5"/>
  <c r="AL50" i="5" s="1"/>
  <c r="AK24" i="6"/>
  <c r="AL24" i="6" s="1"/>
  <c r="AK74" i="5"/>
  <c r="AL74" i="5" s="1"/>
  <c r="AK48" i="6"/>
  <c r="AL48" i="6" s="1"/>
  <c r="AK94" i="6"/>
  <c r="AL94" i="6" s="1"/>
  <c r="AK60" i="6"/>
  <c r="AL60" i="6" s="1"/>
  <c r="AK99" i="6"/>
  <c r="AL99" i="6" s="1"/>
  <c r="AK10" i="6"/>
  <c r="AL10" i="6" s="1"/>
  <c r="AK55" i="5"/>
  <c r="AL55" i="5" s="1"/>
  <c r="AK59" i="5"/>
  <c r="AL59" i="5" s="1"/>
  <c r="AK15" i="5"/>
  <c r="AL15" i="5" s="1"/>
  <c r="AK91" i="5"/>
  <c r="AL91" i="5" s="1"/>
  <c r="AK54" i="6"/>
  <c r="AL54" i="6" s="1"/>
  <c r="AK82" i="6"/>
  <c r="AL82" i="6" s="1"/>
  <c r="AK95" i="5"/>
  <c r="AL95" i="5" s="1"/>
  <c r="AK19" i="5"/>
  <c r="AL19" i="5" s="1"/>
  <c r="AK80" i="6"/>
  <c r="AL80" i="6" s="1"/>
  <c r="AK41" i="6"/>
  <c r="AL41" i="6" s="1"/>
  <c r="AK29" i="5"/>
  <c r="AL29" i="5" s="1"/>
  <c r="AK81" i="6"/>
  <c r="AL81" i="6" s="1"/>
  <c r="AK59" i="6"/>
  <c r="AL59" i="6" s="1"/>
  <c r="AK57" i="6"/>
  <c r="AL57" i="6" s="1"/>
  <c r="AK34" i="6"/>
  <c r="AL34" i="6" s="1"/>
  <c r="AK98" i="6"/>
  <c r="AL98" i="6" s="1"/>
  <c r="AK92" i="6"/>
  <c r="AL92" i="6" s="1"/>
  <c r="AK75" i="6"/>
  <c r="AL75" i="6" s="1"/>
  <c r="AK62" i="6"/>
  <c r="AL62" i="6" s="1"/>
  <c r="AK46" i="6"/>
  <c r="AL46" i="6" s="1"/>
  <c r="AK32" i="6"/>
  <c r="AL32" i="6" s="1"/>
  <c r="AK25" i="6"/>
  <c r="AL25" i="6" s="1"/>
  <c r="AK7" i="6"/>
  <c r="AL7" i="6" s="1"/>
  <c r="AK95" i="6"/>
  <c r="AL95" i="6" s="1"/>
  <c r="AK14" i="6"/>
  <c r="AL14" i="6" s="1"/>
  <c r="AK42" i="6"/>
  <c r="AL42" i="6" s="1"/>
  <c r="AK96" i="6"/>
  <c r="AL96" i="6" s="1"/>
  <c r="AK90" i="6"/>
  <c r="AL90" i="6" s="1"/>
  <c r="AK79" i="6"/>
  <c r="AL79" i="6" s="1"/>
  <c r="AK67" i="6"/>
  <c r="AL67" i="6" s="1"/>
  <c r="AK63" i="6"/>
  <c r="AL63" i="6" s="1"/>
  <c r="AK39" i="6"/>
  <c r="AL39" i="6" s="1"/>
  <c r="AK19" i="6"/>
  <c r="AL19" i="6" s="1"/>
  <c r="AK13" i="6"/>
  <c r="AL13" i="6" s="1"/>
  <c r="AK3" i="6"/>
  <c r="AL3" i="6" s="1"/>
  <c r="AK101" i="7"/>
  <c r="AL101" i="7" s="1"/>
  <c r="AK90" i="7"/>
  <c r="AL90" i="7" s="1"/>
  <c r="AK54" i="7"/>
  <c r="AL54" i="7" s="1"/>
  <c r="AK39" i="7"/>
  <c r="AL39" i="7" s="1"/>
  <c r="AK63" i="7"/>
  <c r="AL63" i="7" s="1"/>
  <c r="AK32" i="7"/>
  <c r="AL32" i="7" s="1"/>
  <c r="AK52" i="7"/>
  <c r="AL52" i="7" s="1"/>
  <c r="AK3" i="7"/>
  <c r="AL3" i="7" s="1"/>
  <c r="AK94" i="7"/>
  <c r="AL94" i="7" s="1"/>
  <c r="AK96" i="7"/>
  <c r="AL96" i="7" s="1"/>
  <c r="AK45" i="7"/>
  <c r="AL45" i="7" s="1"/>
  <c r="AK37" i="7"/>
  <c r="AL37" i="7" s="1"/>
  <c r="AK57" i="7"/>
  <c r="AL57" i="7" s="1"/>
  <c r="AK42" i="7"/>
  <c r="AL42" i="7" s="1"/>
  <c r="AK28" i="7"/>
  <c r="AL28" i="7" s="1"/>
  <c r="AK19" i="7"/>
  <c r="AL19" i="7" s="1"/>
  <c r="AK83" i="7"/>
  <c r="AL83" i="7" s="1"/>
  <c r="AK89" i="7"/>
  <c r="AL89" i="7" s="1"/>
  <c r="AK82" i="7"/>
  <c r="AL82" i="7" s="1"/>
  <c r="AK59" i="7"/>
  <c r="AL59" i="7" s="1"/>
  <c r="AK72" i="7"/>
  <c r="AL72" i="7" s="1"/>
  <c r="AK64" i="7"/>
  <c r="AL64" i="7" s="1"/>
  <c r="AK51" i="7"/>
  <c r="AL51" i="7" s="1"/>
  <c r="AK44" i="7"/>
  <c r="AL44" i="7" s="1"/>
  <c r="AK29" i="7"/>
  <c r="AL29" i="7" s="1"/>
  <c r="AK80" i="7"/>
  <c r="AL80" i="7" s="1"/>
  <c r="AK71" i="7"/>
  <c r="AL71" i="7" s="1"/>
  <c r="AK61" i="7"/>
  <c r="AL61" i="7" s="1"/>
  <c r="AK49" i="7"/>
  <c r="AL49" i="7" s="1"/>
  <c r="AK36" i="7"/>
  <c r="AL36" i="7" s="1"/>
  <c r="AK43" i="7"/>
  <c r="AL43" i="7" s="1"/>
  <c r="AK41" i="7"/>
  <c r="AL41" i="7" s="1"/>
  <c r="AK12" i="7"/>
  <c r="AL12" i="7" s="1"/>
  <c r="AK98" i="7"/>
  <c r="AL98" i="7" s="1"/>
  <c r="AK91" i="7"/>
  <c r="AL91" i="7" s="1"/>
  <c r="AK76" i="7"/>
  <c r="AL76" i="7" s="1"/>
  <c r="AK53" i="7"/>
  <c r="AL53" i="7" s="1"/>
  <c r="AK31" i="7"/>
  <c r="AL31" i="7" s="1"/>
  <c r="AK56" i="7"/>
  <c r="AL56" i="7" s="1"/>
  <c r="AK25" i="7"/>
  <c r="AL25" i="7" s="1"/>
  <c r="AK5" i="7"/>
  <c r="AL5" i="7" s="1"/>
  <c r="AK99" i="7"/>
  <c r="AL99" i="7" s="1"/>
  <c r="AK77" i="7"/>
  <c r="AL77" i="7" s="1"/>
  <c r="AK86" i="7"/>
  <c r="AL86" i="7" s="1"/>
  <c r="AK81" i="7"/>
  <c r="AL81" i="7" s="1"/>
  <c r="AK27" i="7"/>
  <c r="AL27" i="7" s="1"/>
  <c r="AK34" i="7"/>
  <c r="AL34" i="7" s="1"/>
  <c r="AK20" i="7"/>
  <c r="AL20" i="7" s="1"/>
  <c r="AK18" i="7"/>
  <c r="AL18" i="7" s="1"/>
  <c r="AK4" i="7"/>
  <c r="AL4" i="7" s="1"/>
  <c r="AK88" i="7"/>
  <c r="AL88" i="7" s="1"/>
  <c r="AK67" i="7"/>
  <c r="AL67" i="7" s="1"/>
  <c r="AK58" i="7"/>
  <c r="AL58" i="7" s="1"/>
  <c r="AK68" i="7"/>
  <c r="AL68" i="7" s="1"/>
  <c r="AK46" i="7"/>
  <c r="AL46" i="7" s="1"/>
  <c r="AK75" i="7"/>
  <c r="AL75" i="7" s="1"/>
  <c r="AK30" i="7"/>
  <c r="AL30" i="7" s="1"/>
  <c r="AK33" i="7"/>
  <c r="AL33" i="7" s="1"/>
  <c r="AK8" i="7"/>
  <c r="AL8" i="7" s="1"/>
  <c r="AK78" i="7"/>
  <c r="AL78" i="7" s="1"/>
  <c r="AK69" i="7"/>
  <c r="AL69" i="7" s="1"/>
  <c r="AK70" i="7"/>
  <c r="AL70" i="7" s="1"/>
  <c r="AK62" i="7"/>
  <c r="AL62" i="7" s="1"/>
  <c r="AK16" i="7"/>
  <c r="AL16" i="7" s="1"/>
  <c r="AK55" i="7"/>
  <c r="AL55" i="7" s="1"/>
  <c r="AK22" i="7"/>
  <c r="AL22" i="7" s="1"/>
  <c r="AK17" i="7"/>
  <c r="AL17" i="7" s="1"/>
  <c r="AK97" i="7"/>
  <c r="AL97" i="7" s="1"/>
  <c r="AK95" i="7"/>
  <c r="AL95" i="7" s="1"/>
  <c r="AK85" i="7"/>
  <c r="AL85" i="7" s="1"/>
  <c r="AK79" i="7"/>
  <c r="AL79" i="7" s="1"/>
  <c r="AK60" i="7"/>
  <c r="AL60" i="7" s="1"/>
  <c r="AK23" i="7"/>
  <c r="AL23" i="7" s="1"/>
  <c r="AK13" i="7"/>
  <c r="AL13" i="7" s="1"/>
  <c r="AK15" i="7"/>
  <c r="AL15" i="7" s="1"/>
  <c r="AK100" i="7"/>
  <c r="AL100" i="7" s="1"/>
  <c r="AK84" i="7"/>
  <c r="AL84" i="7" s="1"/>
  <c r="AK87" i="7"/>
  <c r="AL87" i="7" s="1"/>
  <c r="AK35" i="7"/>
  <c r="AL35" i="7" s="1"/>
  <c r="AK47" i="7"/>
  <c r="AL47" i="7" s="1"/>
  <c r="AK24" i="7"/>
  <c r="AL24" i="7" s="1"/>
  <c r="AK14" i="7"/>
  <c r="AL14" i="7" s="1"/>
  <c r="AK10" i="7"/>
  <c r="AL10" i="7" s="1"/>
  <c r="AK6" i="7"/>
  <c r="AL6" i="7" s="1"/>
  <c r="AK66" i="7"/>
  <c r="AL66" i="7" s="1"/>
  <c r="AK92" i="7"/>
  <c r="AL92" i="7" s="1"/>
  <c r="AK73" i="7"/>
  <c r="AL73" i="7" s="1"/>
  <c r="AK21" i="7"/>
  <c r="AL21" i="7" s="1"/>
  <c r="AK38" i="7"/>
  <c r="AL38" i="7" s="1"/>
  <c r="AK50" i="7"/>
  <c r="AL50" i="7" s="1"/>
  <c r="AK11" i="7"/>
  <c r="AL11" i="7" s="1"/>
  <c r="AK7" i="7"/>
  <c r="AL7" i="7" s="1"/>
  <c r="AK5" i="6"/>
  <c r="AL5" i="6" s="1"/>
  <c r="AK93" i="6"/>
  <c r="AL93" i="6" s="1"/>
  <c r="AK72" i="6"/>
  <c r="AL72" i="6" s="1"/>
  <c r="AK73" i="6"/>
  <c r="AL73" i="6" s="1"/>
  <c r="AK61" i="6"/>
  <c r="AL61" i="6" s="1"/>
  <c r="AK52" i="6"/>
  <c r="AL52" i="6" s="1"/>
  <c r="AK17" i="6"/>
  <c r="AL17" i="6" s="1"/>
  <c r="AK15" i="6"/>
  <c r="AL15" i="6" s="1"/>
  <c r="AK4" i="6"/>
  <c r="AL4" i="6" s="1"/>
  <c r="AK87" i="6"/>
  <c r="AL87" i="6" s="1"/>
  <c r="AK50" i="6"/>
  <c r="AL50" i="6" s="1"/>
  <c r="AK43" i="6"/>
  <c r="AL43" i="6" s="1"/>
  <c r="AK16" i="6"/>
  <c r="AL16" i="6" s="1"/>
  <c r="AK6" i="6"/>
  <c r="AL6" i="6" s="1"/>
  <c r="AK76" i="6"/>
  <c r="AL76" i="6" s="1"/>
  <c r="AK55" i="6"/>
  <c r="AL55" i="6" s="1"/>
  <c r="AK45" i="6"/>
  <c r="AL45" i="6" s="1"/>
  <c r="AK28" i="6"/>
  <c r="AL28" i="6" s="1"/>
  <c r="AK31" i="6"/>
  <c r="AL31" i="6" s="1"/>
  <c r="AK8" i="6"/>
  <c r="AL8" i="6" s="1"/>
  <c r="AK74" i="6"/>
  <c r="AL74" i="6" s="1"/>
  <c r="AK44" i="6"/>
  <c r="AL44" i="6" s="1"/>
  <c r="AK83" i="6"/>
  <c r="AL83" i="6" s="1"/>
  <c r="AK101" i="6"/>
  <c r="AL101" i="6" s="1"/>
  <c r="AK89" i="6"/>
  <c r="AL89" i="6" s="1"/>
  <c r="AK78" i="6"/>
  <c r="AL78" i="6" s="1"/>
  <c r="AK69" i="6"/>
  <c r="AL69" i="6" s="1"/>
  <c r="AK49" i="6"/>
  <c r="AL49" i="6" s="1"/>
  <c r="AK20" i="6"/>
  <c r="AL20" i="6" s="1"/>
  <c r="AK30" i="6"/>
  <c r="AL30" i="6" s="1"/>
  <c r="AK18" i="6"/>
  <c r="AL18" i="6" s="1"/>
  <c r="AK2" i="6"/>
  <c r="AL2" i="6" s="1"/>
  <c r="AK100" i="6"/>
  <c r="AL100" i="6" s="1"/>
  <c r="AK68" i="6"/>
  <c r="AL68" i="6" s="1"/>
  <c r="AK97" i="6"/>
  <c r="AL97" i="6" s="1"/>
  <c r="AK91" i="6"/>
  <c r="AL91" i="6" s="1"/>
  <c r="AK77" i="6"/>
  <c r="AL77" i="6" s="1"/>
  <c r="AK56" i="6"/>
  <c r="AL56" i="6" s="1"/>
  <c r="AK58" i="6"/>
  <c r="AL58" i="6" s="1"/>
  <c r="AK53" i="6"/>
  <c r="AL53" i="6" s="1"/>
  <c r="AK38" i="6"/>
  <c r="AL38" i="6" s="1"/>
  <c r="AK36" i="6"/>
  <c r="AL36" i="6" s="1"/>
  <c r="AK21" i="6"/>
  <c r="AL21" i="6" s="1"/>
  <c r="AK88" i="6"/>
  <c r="AL88" i="6" s="1"/>
  <c r="AK84" i="6"/>
  <c r="AL84" i="6" s="1"/>
  <c r="AK70" i="6"/>
  <c r="AL70" i="6" s="1"/>
  <c r="AK64" i="6"/>
  <c r="AL64" i="6" s="1"/>
  <c r="AK29" i="6"/>
  <c r="AL29" i="6" s="1"/>
  <c r="AK37" i="6"/>
  <c r="AL37" i="6" s="1"/>
  <c r="AK26" i="6"/>
  <c r="AL26" i="6" s="1"/>
  <c r="AK12" i="6"/>
  <c r="AL12" i="6" s="1"/>
  <c r="AK78" i="5"/>
  <c r="AL78" i="5" s="1"/>
  <c r="AK82" i="5"/>
  <c r="AL82" i="5" s="1"/>
  <c r="AK56" i="5"/>
  <c r="AL56" i="5" s="1"/>
  <c r="AK69" i="5"/>
  <c r="AL69" i="5" s="1"/>
  <c r="AK48" i="5"/>
  <c r="AL48" i="5" s="1"/>
  <c r="AK27" i="5"/>
  <c r="AL27" i="5" s="1"/>
  <c r="AK60" i="5"/>
  <c r="AL60" i="5" s="1"/>
  <c r="AK47" i="5"/>
  <c r="AL47" i="5" s="1"/>
  <c r="AK70" i="5"/>
  <c r="AL70" i="5" s="1"/>
  <c r="AK100" i="5"/>
  <c r="AL100" i="5" s="1"/>
  <c r="AK77" i="5"/>
  <c r="AL77" i="5" s="1"/>
  <c r="AK53" i="5"/>
  <c r="AL53" i="5" s="1"/>
  <c r="AK58" i="5"/>
  <c r="AL58" i="5" s="1"/>
  <c r="AK46" i="5"/>
  <c r="AL46" i="5" s="1"/>
  <c r="AK51" i="5"/>
  <c r="AL51" i="5" s="1"/>
  <c r="AK23" i="5"/>
  <c r="AL23" i="5" s="1"/>
  <c r="AK16" i="5"/>
  <c r="AL16" i="5" s="1"/>
  <c r="AK68" i="5"/>
  <c r="AL68" i="5" s="1"/>
  <c r="AK62" i="5"/>
  <c r="AL62" i="5" s="1"/>
  <c r="AK75" i="5"/>
  <c r="AL75" i="5" s="1"/>
  <c r="AK81" i="5"/>
  <c r="AL81" i="5" s="1"/>
  <c r="AK54" i="5"/>
  <c r="AL54" i="5" s="1"/>
  <c r="AK22" i="5"/>
  <c r="AL22" i="5" s="1"/>
  <c r="AK25" i="5"/>
  <c r="AL25" i="5" s="1"/>
  <c r="AK3" i="5"/>
  <c r="AL3" i="5" s="1"/>
  <c r="AK89" i="5"/>
  <c r="AL89" i="5" s="1"/>
  <c r="AK101" i="5"/>
  <c r="AL101" i="5" s="1"/>
  <c r="AK99" i="5"/>
  <c r="AL99" i="5" s="1"/>
  <c r="AK61" i="5"/>
  <c r="AL61" i="5" s="1"/>
  <c r="AK83" i="5"/>
  <c r="AL83" i="5" s="1"/>
  <c r="AK37" i="5"/>
  <c r="AL37" i="5" s="1"/>
  <c r="AK43" i="5"/>
  <c r="AL43" i="5" s="1"/>
  <c r="AK64" i="5"/>
  <c r="AL64" i="5" s="1"/>
  <c r="AK31" i="5"/>
  <c r="AL31" i="5" s="1"/>
  <c r="AK5" i="5"/>
  <c r="AL5" i="5" s="1"/>
  <c r="AK96" i="5"/>
  <c r="AL96" i="5" s="1"/>
  <c r="AK90" i="5"/>
  <c r="AL90" i="5" s="1"/>
  <c r="AK87" i="5"/>
  <c r="AL87" i="5" s="1"/>
  <c r="AK79" i="5"/>
  <c r="AL79" i="5" s="1"/>
  <c r="AK35" i="5"/>
  <c r="AL35" i="5" s="1"/>
  <c r="AK39" i="5"/>
  <c r="AL39" i="5" s="1"/>
  <c r="AK42" i="5"/>
  <c r="AL42" i="5" s="1"/>
  <c r="AK11" i="5"/>
  <c r="AL11" i="5" s="1"/>
  <c r="AK98" i="5"/>
  <c r="AL98" i="5" s="1"/>
  <c r="AK72" i="5"/>
  <c r="AL72" i="5" s="1"/>
  <c r="AK66" i="5"/>
  <c r="AL66" i="5" s="1"/>
  <c r="AK38" i="5"/>
  <c r="AL38" i="5" s="1"/>
  <c r="AK34" i="5"/>
  <c r="AL34" i="5" s="1"/>
  <c r="AK40" i="5"/>
  <c r="AL40" i="5" s="1"/>
  <c r="AK28" i="5"/>
  <c r="AL28" i="5" s="1"/>
  <c r="AK6" i="5"/>
  <c r="AL6" i="5" s="1"/>
  <c r="AK14" i="5"/>
  <c r="AL14" i="5" s="1"/>
  <c r="AK88" i="5"/>
  <c r="AL88" i="5" s="1"/>
  <c r="AK85" i="5"/>
  <c r="AL85" i="5" s="1"/>
  <c r="AK36" i="5"/>
  <c r="AL36" i="5" s="1"/>
  <c r="AK65" i="5"/>
  <c r="AL65" i="5" s="1"/>
  <c r="AK30" i="5"/>
  <c r="AL30" i="5" s="1"/>
  <c r="AK18" i="5"/>
  <c r="AL18" i="5" s="1"/>
  <c r="AK12" i="5"/>
  <c r="AL12" i="5" s="1"/>
  <c r="AK26" i="5"/>
  <c r="AL26" i="5" s="1"/>
  <c r="AK2" i="5"/>
  <c r="AL2" i="5" s="1"/>
</calcChain>
</file>

<file path=xl/sharedStrings.xml><?xml version="1.0" encoding="utf-8"?>
<sst xmlns="http://schemas.openxmlformats.org/spreadsheetml/2006/main" count="182" uniqueCount="79">
  <si>
    <t>CURSO-TENDENCIA-INTRADIA: Fast_Avg</t>
  </si>
  <si>
    <t>CURSO-TENDENCIA-INTRADIA: media</t>
  </si>
  <si>
    <t>Test</t>
  </si>
  <si>
    <t>All: Net Profit</t>
  </si>
  <si>
    <t>All: Gross Profit</t>
  </si>
  <si>
    <t>All: Gross Loss</t>
  </si>
  <si>
    <t>All: Total Trades</t>
  </si>
  <si>
    <t>All: % Profitable</t>
  </si>
  <si>
    <t>All: Winning Trades</t>
  </si>
  <si>
    <t>All: Losing Trades</t>
  </si>
  <si>
    <t>All: Max Winning Trade</t>
  </si>
  <si>
    <t>All: Max Losing Trade</t>
  </si>
  <si>
    <t>All: Avg Winning Trade</t>
  </si>
  <si>
    <t>All: Avg Losing Trade</t>
  </si>
  <si>
    <t>All: Win/Loss Ratio</t>
  </si>
  <si>
    <t>All: Avg Trade</t>
  </si>
  <si>
    <t>All: Max Consecutive Winners</t>
  </si>
  <si>
    <t>All: Max Consecutive Losers</t>
  </si>
  <si>
    <t>All: Avg Bars in Winner</t>
  </si>
  <si>
    <t>All: Avg Bars in Loser</t>
  </si>
  <si>
    <t>All: Max Intraday Drawdown</t>
  </si>
  <si>
    <t>All: ProfitFactor</t>
  </si>
  <si>
    <t>All: Max Contracts Held</t>
  </si>
  <si>
    <t>All: Required Account Size</t>
  </si>
  <si>
    <t>All: Return on Account</t>
  </si>
  <si>
    <t>All: TS Index</t>
  </si>
  <si>
    <t>All: Expectancy Score</t>
  </si>
  <si>
    <t>All: Pessimistic Return On Capital</t>
  </si>
  <si>
    <t>All: Perfect Profit Correlation</t>
  </si>
  <si>
    <t>All: Robustness Index</t>
  </si>
  <si>
    <t>MEJORES</t>
  </si>
  <si>
    <t>VAR TS Index</t>
  </si>
  <si>
    <t>VAR Expectancy Score</t>
  </si>
  <si>
    <t>Columna1</t>
  </si>
  <si>
    <t>VAR Perfect Profit Correlation</t>
  </si>
  <si>
    <t>VAR Robustness Index</t>
  </si>
  <si>
    <t>SUMA</t>
  </si>
  <si>
    <t>SUMA SIN ROB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</si>
  <si>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</si>
  <si>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</si>
  <si>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</si>
  <si>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</si>
  <si>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</si>
  <si>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</si>
  <si>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</si>
  <si>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</si>
  <si>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</si>
  <si>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</si>
  <si>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</si>
  <si>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Nivel de confianza(95.0%)</t>
  </si>
  <si>
    <t xml:space="preserve"> 10º/ </t>
  </si>
  <si>
    <t xml:space="preserve"> 01º/ 01º</t>
  </si>
  <si>
    <t xml:space="preserve"> 06º/ 03º</t>
  </si>
  <si>
    <t xml:space="preserve"> / 10º</t>
  </si>
  <si>
    <t xml:space="preserve"> 03º/ 02º</t>
  </si>
  <si>
    <t xml:space="preserve"> 04º/ 04º</t>
  </si>
  <si>
    <t xml:space="preserve"> 08º/ 05º</t>
  </si>
  <si>
    <t xml:space="preserve"> 02º/06º</t>
  </si>
  <si>
    <t xml:space="preserve"> 05º/ 07º</t>
  </si>
  <si>
    <t xml:space="preserve"> 07º/ 08º</t>
  </si>
  <si>
    <t xml:space="preserve"> 09º/ 09º</t>
  </si>
  <si>
    <t xml:space="preserve"> 02º/ 02º</t>
  </si>
  <si>
    <t xml:space="preserve"> 03º/ 03º</t>
  </si>
  <si>
    <t xml:space="preserve"> 06º/ 04º</t>
  </si>
  <si>
    <t xml:space="preserve"> 04º/ 09º</t>
  </si>
  <si>
    <t xml:space="preserve"> 05º/ 05º</t>
  </si>
  <si>
    <t xml:space="preserve"> 07º/ 06º</t>
  </si>
  <si>
    <t xml:space="preserve"> 10º/ 07º</t>
  </si>
  <si>
    <t xml:space="preserve"> 04º/ 08º</t>
  </si>
  <si>
    <t xml:space="preserve"> 08º/ 10º</t>
  </si>
  <si>
    <t xml:space="preserve"> 03º/ 01º</t>
  </si>
  <si>
    <t xml:space="preserve"> 05º/ 02º</t>
  </si>
  <si>
    <t xml:space="preserve"> 07º/ 03º</t>
  </si>
  <si>
    <t xml:space="preserve"> 08º/ 04º</t>
  </si>
  <si>
    <t xml:space="preserve"> 01º/ 05º</t>
  </si>
  <si>
    <t xml:space="preserve"> 09º/ 06º</t>
  </si>
  <si>
    <t xml:space="preserve"> 06º/ 07º</t>
  </si>
  <si>
    <t xml:space="preserve"> / 08º</t>
  </si>
  <si>
    <t xml:space="preserve"> 02º/10º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</si>
</sst>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_-* #,##0.00_€_-;\-* #,##0.00_€_-;_-* &quot;-&quot;??_€_-;_-@_-"/>
    <numFmt numFmtId="165" formatCode="_-* #,##0.00&quot;€&quot;_-;\-* #,##0.00&quot;€&quot;_-;_-* &quot;-&quot;??&quot;€&quot;_-;_-@_-"/>
    <numFmt numFmtId="166" formatCode="#,##0.00_ ;[Red]\-#,##0.00\ "/>
    <numFmt numFmtId="167" formatCode="&quot;$&quot;#,##0.0_);[Red]\(&quot;$&quot;#,##0.0\)"/>
    <numFmt numFmtId="168" formatCode="[$$-409]#,##0.00_);[Red]\([$$-409]#,##0.00\)"/>
    <numFmt numFmtId="169" formatCode="#,##0.0_);[Red]\(#,##0.0\)"/>
  </numFmts>
  <fonts count="7" x14ac:knownFonts="1">
    <font>
      <sz val="11"/>
      <color theme="1"/>
      <name val="Myriad Pro"/>
      <family val="2"/>
      <scheme val="minor"/>
    </font>
    <font>
      <sz val="11"/>
      <color theme="1"/>
      <name val="Myriad Pro"/>
      <family val="2"/>
      <scheme val="minor"/>
    </font>
    <font>
      <sz val="11"/>
      <color theme="1"/>
      <name val="Myriad Pro"/>
      <family val="2"/>
    </font>
    <font>
      <sz val="11"/>
      <name val="Myriad Pro"/>
      <family val="2"/>
    </font>
    <font>
      <b/>
      <sz val="11"/>
      <color theme="1"/>
      <name val="Myriad Pro"/>
      <family val="2"/>
      <scheme val="minor"/>
    </font>
    <font>
      <sz val="11"/>
      <name val="Myriad Pro"/>
      <family val="2"/>
      <scheme val="minor"/>
    </font>
    <font>
      <b/>
      <sz val="11"/>
      <name val="Myriad Pro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3">
    <xf numFmtId="0" fontId="0" fillId="0" borderId="0" xfId="0"/>
    <xf numFmtId="0" fontId="3" fillId="0" borderId="0" xfId="1" applyNumberFormat="1" applyFont="1" applyFill="1" applyAlignment="1">
      <alignment horizontal="center" vertical="center" wrapText="1"/>
    </xf>
    <xf numFmtId="0" fontId="2" fillId="0" borderId="0" xfId="2" applyNumberFormat="1" applyFont="1" applyFill="1" applyAlignment="1">
      <alignment horizontal="center" vertical="center" wrapText="1"/>
    </xf>
    <xf numFmtId="0" fontId="2" fillId="0" borderId="0" xfId="1" applyNumberFormat="1" applyFont="1" applyFill="1" applyAlignment="1">
      <alignment horizontal="center" vertical="center" wrapText="1"/>
    </xf>
    <xf numFmtId="6" fontId="2" fillId="0" borderId="0" xfId="2" applyNumberFormat="1" applyFont="1" applyFill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7" fontId="2" fillId="0" borderId="0" xfId="2" applyNumberFormat="1" applyFont="1" applyFill="1" applyBorder="1" applyAlignment="1">
      <alignment horizontal="center" vertical="center"/>
    </xf>
    <xf numFmtId="168" fontId="2" fillId="0" borderId="0" xfId="2" applyNumberFormat="1" applyFont="1" applyFill="1" applyBorder="1" applyAlignment="1">
      <alignment horizontal="center" vertical="center"/>
    </xf>
    <xf numFmtId="38" fontId="2" fillId="0" borderId="0" xfId="1" applyNumberFormat="1" applyFont="1" applyFill="1" applyBorder="1" applyAlignment="1">
      <alignment horizontal="center" vertical="center"/>
    </xf>
    <xf numFmtId="38" fontId="2" fillId="0" borderId="0" xfId="2" applyNumberFormat="1" applyFont="1" applyFill="1" applyBorder="1" applyAlignment="1">
      <alignment horizontal="center" vertical="center"/>
    </xf>
    <xf numFmtId="6" fontId="2" fillId="0" borderId="0" xfId="2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167" fontId="2" fillId="0" borderId="0" xfId="2" applyNumberFormat="1" applyFont="1" applyFill="1" applyAlignment="1">
      <alignment horizontal="center" vertical="center"/>
    </xf>
    <xf numFmtId="168" fontId="2" fillId="0" borderId="0" xfId="2" applyNumberFormat="1" applyFont="1" applyFill="1" applyAlignment="1">
      <alignment horizontal="center" vertical="center"/>
    </xf>
    <xf numFmtId="38" fontId="2" fillId="0" borderId="0" xfId="1" applyNumberFormat="1" applyFont="1" applyFill="1" applyAlignment="1">
      <alignment horizontal="center" vertical="center"/>
    </xf>
    <xf numFmtId="38" fontId="2" fillId="0" borderId="0" xfId="2" applyNumberFormat="1" applyFont="1" applyFill="1" applyAlignment="1">
      <alignment horizontal="center" vertical="center"/>
    </xf>
    <xf numFmtId="0" fontId="3" fillId="2" borderId="0" xfId="1" applyNumberFormat="1" applyFont="1" applyFill="1" applyAlignment="1">
      <alignment horizontal="center" vertical="center" wrapText="1"/>
    </xf>
    <xf numFmtId="0" fontId="2" fillId="3" borderId="0" xfId="1" applyNumberFormat="1" applyFont="1" applyFill="1" applyAlignment="1">
      <alignment horizontal="center" vertical="center" wrapText="1"/>
    </xf>
    <xf numFmtId="0" fontId="3" fillId="0" borderId="0" xfId="2" applyNumberFormat="1" applyFont="1" applyAlignment="1">
      <alignment horizontal="center" vertical="center" wrapText="1"/>
    </xf>
    <xf numFmtId="0" fontId="3" fillId="4" borderId="0" xfId="1" applyNumberFormat="1" applyFont="1" applyFill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6" fontId="2" fillId="4" borderId="0" xfId="2" applyNumberFormat="1" applyFont="1" applyFill="1" applyBorder="1" applyAlignment="1">
      <alignment horizontal="center" vertical="center"/>
    </xf>
    <xf numFmtId="166" fontId="2" fillId="4" borderId="0" xfId="1" applyNumberFormat="1" applyFont="1" applyFill="1" applyBorder="1" applyAlignment="1">
      <alignment horizontal="center" vertical="center"/>
    </xf>
    <xf numFmtId="167" fontId="2" fillId="4" borderId="0" xfId="2" applyNumberFormat="1" applyFont="1" applyFill="1" applyBorder="1" applyAlignment="1">
      <alignment horizontal="center" vertical="center"/>
    </xf>
    <xf numFmtId="168" fontId="2" fillId="4" borderId="0" xfId="2" applyNumberFormat="1" applyFont="1" applyFill="1" applyBorder="1" applyAlignment="1">
      <alignment horizontal="center" vertical="center"/>
    </xf>
    <xf numFmtId="38" fontId="2" fillId="4" borderId="0" xfId="1" applyNumberFormat="1" applyFont="1" applyFill="1" applyBorder="1" applyAlignment="1">
      <alignment horizontal="center" vertical="center"/>
    </xf>
    <xf numFmtId="38" fontId="2" fillId="4" borderId="0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6" fontId="2" fillId="2" borderId="0" xfId="2" applyNumberFormat="1" applyFont="1" applyFill="1" applyAlignment="1">
      <alignment horizontal="center" vertical="center"/>
    </xf>
    <xf numFmtId="166" fontId="2" fillId="2" borderId="0" xfId="1" applyNumberFormat="1" applyFont="1" applyFill="1" applyAlignment="1">
      <alignment horizontal="center" vertical="center"/>
    </xf>
    <xf numFmtId="167" fontId="2" fillId="2" borderId="0" xfId="2" applyNumberFormat="1" applyFont="1" applyFill="1" applyAlignment="1">
      <alignment horizontal="center" vertical="center"/>
    </xf>
    <xf numFmtId="168" fontId="2" fillId="2" borderId="0" xfId="2" applyNumberFormat="1" applyFont="1" applyFill="1" applyAlignment="1">
      <alignment horizontal="center" vertical="center"/>
    </xf>
    <xf numFmtId="38" fontId="2" fillId="2" borderId="0" xfId="1" applyNumberFormat="1" applyFont="1" applyFill="1" applyAlignment="1">
      <alignment horizontal="center" vertical="center"/>
    </xf>
    <xf numFmtId="38" fontId="2" fillId="2" borderId="0" xfId="2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6" fontId="2" fillId="3" borderId="0" xfId="2" applyNumberFormat="1" applyFont="1" applyFill="1" applyAlignment="1">
      <alignment horizontal="center" vertical="center"/>
    </xf>
    <xf numFmtId="166" fontId="2" fillId="3" borderId="0" xfId="1" applyNumberFormat="1" applyFont="1" applyFill="1" applyAlignment="1">
      <alignment horizontal="center" vertical="center"/>
    </xf>
    <xf numFmtId="167" fontId="2" fillId="3" borderId="0" xfId="2" applyNumberFormat="1" applyFont="1" applyFill="1" applyAlignment="1">
      <alignment horizontal="center" vertical="center"/>
    </xf>
    <xf numFmtId="168" fontId="2" fillId="3" borderId="0" xfId="2" applyNumberFormat="1" applyFont="1" applyFill="1" applyAlignment="1">
      <alignment horizontal="center" vertical="center"/>
    </xf>
    <xf numFmtId="38" fontId="2" fillId="3" borderId="0" xfId="1" applyNumberFormat="1" applyFont="1" applyFill="1" applyAlignment="1">
      <alignment horizontal="center" vertical="center"/>
    </xf>
    <xf numFmtId="38" fontId="2" fillId="3" borderId="0" xfId="2" applyNumberFormat="1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69" fontId="0" fillId="5" borderId="2" xfId="0" applyNumberForma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38" fontId="5" fillId="5" borderId="2" xfId="0" applyNumberFormat="1" applyFont="1" applyFill="1" applyBorder="1" applyAlignment="1">
      <alignment horizontal="center" vertical="center" wrapText="1"/>
    </xf>
    <xf numFmtId="6" fontId="0" fillId="5" borderId="2" xfId="0" applyNumberFormat="1" applyFill="1" applyBorder="1" applyAlignment="1">
      <alignment horizontal="center" vertical="center" wrapText="1"/>
    </xf>
    <xf numFmtId="167" fontId="0" fillId="5" borderId="2" xfId="0" applyNumberFormat="1" applyFill="1" applyBorder="1" applyAlignment="1">
      <alignment horizontal="center" vertical="center" wrapText="1"/>
    </xf>
    <xf numFmtId="40" fontId="5" fillId="5" borderId="2" xfId="0" applyNumberFormat="1" applyFont="1" applyFill="1" applyBorder="1" applyAlignment="1">
      <alignment horizontal="center" vertical="center" wrapText="1"/>
    </xf>
    <xf numFmtId="38" fontId="5" fillId="0" borderId="1" xfId="0" applyNumberFormat="1" applyFon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40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38" fontId="5" fillId="5" borderId="1" xfId="0" applyNumberFormat="1" applyFont="1" applyFill="1" applyBorder="1" applyAlignment="1">
      <alignment horizontal="center" vertical="center" wrapText="1"/>
    </xf>
    <xf numFmtId="6" fontId="0" fillId="5" borderId="1" xfId="0" applyNumberFormat="1" applyFill="1" applyBorder="1" applyAlignment="1">
      <alignment horizontal="center" vertical="center" wrapText="1"/>
    </xf>
    <xf numFmtId="167" fontId="0" fillId="5" borderId="1" xfId="0" applyNumberFormat="1" applyFill="1" applyBorder="1" applyAlignment="1">
      <alignment horizontal="center" vertical="center" wrapText="1"/>
    </xf>
    <xf numFmtId="40" fontId="5" fillId="5" borderId="1" xfId="0" applyNumberFormat="1" applyFont="1" applyFill="1" applyBorder="1" applyAlignment="1">
      <alignment horizontal="center" vertical="center" wrapText="1"/>
    </xf>
    <xf numFmtId="38" fontId="6" fillId="6" borderId="1" xfId="0" applyNumberFormat="1" applyFont="1" applyFill="1" applyBorder="1" applyAlignment="1">
      <alignment horizontal="center" vertical="center" wrapText="1"/>
    </xf>
    <xf numFmtId="40" fontId="6" fillId="7" borderId="1" xfId="0" applyNumberFormat="1" applyFont="1" applyFill="1" applyBorder="1" applyAlignment="1">
      <alignment horizontal="center" vertical="center" wrapText="1"/>
    </xf>
    <xf numFmtId="38" fontId="6" fillId="8" borderId="1" xfId="0" applyNumberFormat="1" applyFont="1" applyFill="1" applyBorder="1" applyAlignment="1">
      <alignment horizontal="center" vertical="center" wrapText="1"/>
    </xf>
    <xf numFmtId="40" fontId="5" fillId="9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40" fontId="5" fillId="10" borderId="1" xfId="0" applyNumberFormat="1" applyFont="1" applyFill="1" applyBorder="1" applyAlignment="1">
      <alignment horizontal="center" vertical="center" wrapText="1"/>
    </xf>
    <xf numFmtId="40" fontId="5" fillId="0" borderId="3" xfId="0" applyNumberFormat="1" applyFont="1" applyBorder="1" applyAlignment="1">
      <alignment horizontal="center" vertical="center" wrapText="1"/>
    </xf>
    <xf numFmtId="6" fontId="0" fillId="0" borderId="3" xfId="0" applyNumberFormat="1" applyBorder="1" applyAlignment="1">
      <alignment horizontal="center" vertical="center" wrapText="1"/>
    </xf>
    <xf numFmtId="167" fontId="0" fillId="0" borderId="3" xfId="0" applyNumberForma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166" fontId="2" fillId="9" borderId="0" xfId="1" applyNumberFormat="1" applyFont="1" applyFill="1" applyAlignment="1">
      <alignment horizontal="center" vertical="center"/>
    </xf>
    <xf numFmtId="166" fontId="2" fillId="11" borderId="0" xfId="1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6" fontId="2" fillId="11" borderId="0" xfId="2" applyNumberFormat="1" applyFont="1" applyFill="1" applyAlignment="1">
      <alignment horizontal="center" vertical="center"/>
    </xf>
    <xf numFmtId="167" fontId="2" fillId="11" borderId="0" xfId="2" applyNumberFormat="1" applyFont="1" applyFill="1" applyAlignment="1">
      <alignment horizontal="center" vertical="center"/>
    </xf>
    <xf numFmtId="168" fontId="2" fillId="11" borderId="0" xfId="2" applyNumberFormat="1" applyFont="1" applyFill="1" applyAlignment="1">
      <alignment horizontal="center" vertical="center"/>
    </xf>
    <xf numFmtId="38" fontId="2" fillId="11" borderId="0" xfId="1" applyNumberFormat="1" applyFont="1" applyFill="1" applyAlignment="1">
      <alignment horizontal="center" vertical="center"/>
    </xf>
    <xf numFmtId="38" fontId="2" fillId="11" borderId="0" xfId="2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6" fontId="2" fillId="9" borderId="0" xfId="2" applyNumberFormat="1" applyFont="1" applyFill="1" applyBorder="1" applyAlignment="1">
      <alignment horizontal="center" vertical="center"/>
    </xf>
    <xf numFmtId="166" fontId="2" fillId="9" borderId="0" xfId="1" applyNumberFormat="1" applyFont="1" applyFill="1" applyBorder="1" applyAlignment="1">
      <alignment horizontal="center" vertical="center"/>
    </xf>
    <xf numFmtId="167" fontId="2" fillId="9" borderId="0" xfId="2" applyNumberFormat="1" applyFont="1" applyFill="1" applyBorder="1" applyAlignment="1">
      <alignment horizontal="center" vertical="center"/>
    </xf>
    <xf numFmtId="168" fontId="2" fillId="9" borderId="0" xfId="2" applyNumberFormat="1" applyFont="1" applyFill="1" applyBorder="1" applyAlignment="1">
      <alignment horizontal="center" vertical="center"/>
    </xf>
    <xf numFmtId="38" fontId="2" fillId="9" borderId="0" xfId="1" applyNumberFormat="1" applyFont="1" applyFill="1" applyBorder="1" applyAlignment="1">
      <alignment horizontal="center" vertical="center"/>
    </xf>
    <xf numFmtId="38" fontId="2" fillId="9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6" fontId="2" fillId="9" borderId="0" xfId="2" applyNumberFormat="1" applyFont="1" applyFill="1" applyAlignment="1">
      <alignment horizontal="center" vertical="center"/>
    </xf>
    <xf numFmtId="167" fontId="2" fillId="9" borderId="0" xfId="2" applyNumberFormat="1" applyFont="1" applyFill="1" applyAlignment="1">
      <alignment horizontal="center" vertical="center"/>
    </xf>
    <xf numFmtId="168" fontId="2" fillId="9" borderId="0" xfId="2" applyNumberFormat="1" applyFont="1" applyFill="1" applyAlignment="1">
      <alignment horizontal="center" vertical="center"/>
    </xf>
    <xf numFmtId="38" fontId="2" fillId="9" borderId="0" xfId="1" applyNumberFormat="1" applyFont="1" applyFill="1" applyAlignment="1">
      <alignment horizontal="center" vertical="center"/>
    </xf>
    <xf numFmtId="38" fontId="2" fillId="9" borderId="0" xfId="2" applyNumberFormat="1" applyFont="1" applyFill="1" applyAlignment="1">
      <alignment horizontal="center" vertical="center"/>
    </xf>
    <xf numFmtId="166" fontId="2" fillId="12" borderId="0" xfId="1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6" fontId="2" fillId="12" borderId="0" xfId="2" applyNumberFormat="1" applyFont="1" applyFill="1" applyAlignment="1">
      <alignment horizontal="center" vertical="center"/>
    </xf>
    <xf numFmtId="167" fontId="2" fillId="12" borderId="0" xfId="2" applyNumberFormat="1" applyFont="1" applyFill="1" applyAlignment="1">
      <alignment horizontal="center" vertical="center"/>
    </xf>
    <xf numFmtId="168" fontId="2" fillId="12" borderId="0" xfId="2" applyNumberFormat="1" applyFont="1" applyFill="1" applyAlignment="1">
      <alignment horizontal="center" vertical="center"/>
    </xf>
    <xf numFmtId="38" fontId="2" fillId="12" borderId="0" xfId="1" applyNumberFormat="1" applyFont="1" applyFill="1" applyAlignment="1">
      <alignment horizontal="center" vertical="center"/>
    </xf>
    <xf numFmtId="38" fontId="2" fillId="12" borderId="0" xfId="2" applyNumberFormat="1" applyFont="1" applyFill="1" applyAlignment="1">
      <alignment horizontal="center" vertical="center"/>
    </xf>
    <xf numFmtId="0" fontId="0" fillId="12" borderId="0" xfId="0" applyFill="1"/>
  </cellXfs>
  <cellStyles count="3">
    <cellStyle name="Millares 2" xfId="1" xr:uid="{DBB278E2-12E4-4F5B-B6BF-684EED6510F8}"/>
    <cellStyle name="Moneda 2" xfId="2" xr:uid="{2E7E3E8F-DBC6-476D-A958-E8DC81898D0D}"/>
    <cellStyle name="Normal" xfId="0" builtinId="0"/>
  </cellStyles>
  <dxfs count="315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auto="1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9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8" formatCode="[$$-409]#,##0.00_);[Red]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7" formatCode="&quot;$&quot;#,##0.0_);[Red]\(&quot;$&quot;#,##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yriad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4BACC6"/>
      <color rgb="FFF79646"/>
      <color rgb="FF9BB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D1EE54-88D3-4F10-A768-88659ADD59C9}" name="Opti_Medias__30_INS_1" displayName="Opti_Medias__30_INS_1" ref="A1:AL101" totalsRowShown="0" headerRowDxfId="314" dataDxfId="313" headerRowCellStyle="Millares 2" dataCellStyle="Millares 2">
  <autoFilter ref="A1:AL101" xr:uid="{CBD1EE54-88D3-4F10-A768-88659ADD59C9}"/>
  <sortState xmlns:xlrd2="http://schemas.microsoft.com/office/spreadsheetml/2017/richdata2" ref="A2:AL101">
    <sortCondition descending="1" ref="AL1:AL101"/>
  </sortState>
  <tableColumns count="38">
    <tableColumn id="38" xr3:uid="{0C991F7E-1840-4169-88FD-5FB31D07A9BE}" name="MEJORES" dataDxfId="312" dataCellStyle="Millares 2"/>
    <tableColumn id="1" xr3:uid="{F1CC4195-5053-4C33-BC4A-0965E83FC32C}" name="CURSO-TENDENCIA-INTRADIA: Fast_Avg" dataDxfId="311"/>
    <tableColumn id="2" xr3:uid="{8EA4BCD4-A0C8-4591-9F51-624612A06A85}" name="CURSO-TENDENCIA-INTRADIA: media" dataDxfId="310"/>
    <tableColumn id="3" xr3:uid="{D0398C72-0B5D-446F-BB64-97D85734FA5F}" name="Test" dataDxfId="309"/>
    <tableColumn id="4" xr3:uid="{AF38DED4-9230-478D-B29F-3066BF9934ED}" name="All: Net Profit" dataDxfId="308" dataCellStyle="Moneda 2"/>
    <tableColumn id="5" xr3:uid="{AE4C7AE7-3E05-4CF3-A34D-9AED46369701}" name="All: Gross Profit" dataDxfId="307" dataCellStyle="Moneda 2"/>
    <tableColumn id="6" xr3:uid="{CA16C340-43B0-40B4-94B2-1FDCC8DCC7FF}" name="All: Gross Loss" dataDxfId="306" dataCellStyle="Moneda 2"/>
    <tableColumn id="7" xr3:uid="{18DA7321-5D12-4407-8C10-8CDEAB194E10}" name="All: Total Trades" dataDxfId="305"/>
    <tableColumn id="8" xr3:uid="{F5BAB726-9DC2-4DA0-8411-10F3C368B502}" name="All: % Profitable" dataDxfId="304" dataCellStyle="Millares 2"/>
    <tableColumn id="9" xr3:uid="{B34005AD-5E8E-4E88-A95B-90C463B2261C}" name="All: Winning Trades" dataDxfId="303"/>
    <tableColumn id="10" xr3:uid="{CACF8CF4-CF0B-44B2-BECB-02DCB6DFD058}" name="All: Losing Trades" dataDxfId="302"/>
    <tableColumn id="11" xr3:uid="{09EA7192-3ACA-40D2-82AB-ECB047915D61}" name="All: Max Winning Trade" dataDxfId="301" dataCellStyle="Moneda 2"/>
    <tableColumn id="12" xr3:uid="{845D204C-4B70-4EB7-B302-A6F4AD7F62F8}" name="All: Max Losing Trade" dataDxfId="300" dataCellStyle="Moneda 2"/>
    <tableColumn id="13" xr3:uid="{E5E20B50-72E5-4353-9498-4FB43840763F}" name="All: Avg Winning Trade" dataDxfId="299" dataCellStyle="Moneda 2"/>
    <tableColumn id="14" xr3:uid="{7F707424-BF63-4EFC-8CCC-66C91E279612}" name="All: Avg Losing Trade" dataDxfId="298" dataCellStyle="Moneda 2"/>
    <tableColumn id="15" xr3:uid="{E285777F-68A8-49D0-8F27-B3D04EB0BEA9}" name="All: Win/Loss Ratio" dataDxfId="297" dataCellStyle="Millares 2"/>
    <tableColumn id="16" xr3:uid="{471BCE14-0A92-4BF8-A056-3E3C6A9B7E63}" name="All: Avg Trade" dataDxfId="296" dataCellStyle="Moneda 2"/>
    <tableColumn id="17" xr3:uid="{0CEF2883-2737-40B2-9F7A-DE704ADFDCF8}" name="All: Max Consecutive Winners" dataDxfId="295"/>
    <tableColumn id="18" xr3:uid="{D7E152D7-2F60-4434-9100-3D794B7D06E8}" name="All: Max Consecutive Losers" dataDxfId="294"/>
    <tableColumn id="19" xr3:uid="{9417D2A9-354C-4E9A-85B6-B89B85E477F6}" name="All: Avg Bars in Winner" dataDxfId="293"/>
    <tableColumn id="20" xr3:uid="{60D1F9C0-5EAE-44F8-87CF-51539CFCB9D4}" name="All: Avg Bars in Loser" dataDxfId="292"/>
    <tableColumn id="21" xr3:uid="{0AE6065E-9351-4793-8C21-8973075D8628}" name="All: Max Intraday Drawdown" dataDxfId="291" dataCellStyle="Moneda 2"/>
    <tableColumn id="22" xr3:uid="{877F2CD4-9C65-440D-B367-58F2506290E6}" name="All: ProfitFactor" dataDxfId="290" dataCellStyle="Millares 2"/>
    <tableColumn id="23" xr3:uid="{B3144649-4393-4F6C-8D6C-CF2600ACF010}" name="All: Max Contracts Held" dataDxfId="289"/>
    <tableColumn id="24" xr3:uid="{86AF0053-D0FA-443C-9669-D7A6D560726B}" name="All: Required Account Size" dataDxfId="288" dataCellStyle="Moneda 2"/>
    <tableColumn id="25" xr3:uid="{66A37CE9-0E6E-4379-A2C5-4B6D7B671FEA}" name="All: Return on Account" dataDxfId="287" dataCellStyle="Millares 2"/>
    <tableColumn id="26" xr3:uid="{82D4B970-2600-4D60-A2D8-6DC8322855EE}" name="All: TS Index" dataDxfId="286" dataCellStyle="Millares 2"/>
    <tableColumn id="27" xr3:uid="{73B79FDF-663E-41CE-B794-15F66A00E356}" name="All: Expectancy Score" dataDxfId="285" dataCellStyle="Millares 2"/>
    <tableColumn id="28" xr3:uid="{F8844352-6C8D-4803-BA20-CAC5D6DC6DCA}" name="All: Pessimistic Return On Capital" dataDxfId="284" dataCellStyle="Millares 2"/>
    <tableColumn id="29" xr3:uid="{7890ACA9-B421-49D7-B7FF-F3F5DD7C1BEA}" name="All: Perfect Profit Correlation" dataDxfId="283" dataCellStyle="Moneda 2"/>
    <tableColumn id="30" xr3:uid="{192C6A45-0ACE-42D9-B2A7-0C2E2F4C38E0}" name="All: Robustness Index" dataDxfId="282" dataCellStyle="Millares 2"/>
    <tableColumn id="31" xr3:uid="{58857727-7348-4FC3-A411-BB4EE925BED4}" name="VAR TS Index" dataDxfId="281" dataCellStyle="Millares 2">
      <calculatedColumnFormula>(Opti_Medias__30_INS_1[[#This Row],[All: TS Index]]-AA$114) /ABS(AA$114)</calculatedColumnFormula>
    </tableColumn>
    <tableColumn id="32" xr3:uid="{CF7AEA1A-DB80-43F4-9642-2F1BFBF97E7D}" name="VAR Expectancy Score" dataDxfId="280" dataCellStyle="Millares 2">
      <calculatedColumnFormula>(Opti_Medias__30_INS_1[[#This Row],[All: Expectancy Score]]-AB$114) /ABS(AB$114)</calculatedColumnFormula>
    </tableColumn>
    <tableColumn id="33" xr3:uid="{6D73FF2E-0408-4187-9664-FE78A1C2B198}" name="Columna1" dataDxfId="279" dataCellStyle="Millares 2"/>
    <tableColumn id="34" xr3:uid="{2B668A83-29FF-48F0-ADFD-68165B500449}" name="VAR Perfect Profit Correlation" dataDxfId="278" dataCellStyle="Millares 2">
      <calculatedColumnFormula>(Opti_Medias__30_INS_1[[#This Row],[All: Perfect Profit Correlation]]-AD$114) /ABS(AD$114)</calculatedColumnFormula>
    </tableColumn>
    <tableColumn id="35" xr3:uid="{A17451FB-C9B3-4174-AFDD-741470DB74C8}" name="VAR Robustness Index" dataDxfId="277" dataCellStyle="Millares 2">
      <calculatedColumnFormula>(Opti_Medias__30_INS_1[[#This Row],[All: Robustness Index]]-AE$114) /ABS(AE$114)</calculatedColumnFormula>
    </tableColumn>
    <tableColumn id="36" xr3:uid="{29EBD64A-ED6B-4431-8BAC-F59547C186D5}" name="SUMA" dataDxfId="276" dataCellStyle="Millares 2">
      <calculatedColumnFormula>SUM(Opti_Medias__30_INS_1[[#This Row],[VAR TS Index]:[VAR Robustness Index]])</calculatedColumnFormula>
    </tableColumn>
    <tableColumn id="37" xr3:uid="{6DA0F862-5C43-409B-B4FF-23F52E0DD017}" name="SUMA SIN ROB" dataDxfId="275" dataCellStyle="Millares 2">
      <calculatedColumnFormula>Opti_Medias__30_INS_1[[#This Row],[SUMA]]-Opti_Medias__30_INS_1[[#This Row],[VAR Robustness Index]]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20E4A6D-9795-41FF-9197-25A98DB838E3}" name="Tabla12" displayName="Tabla12" ref="A104:AE115" headerRowCount="0" totalsRowShown="0" headerRowDxfId="274" dataDxfId="273" tableBorderDxfId="272">
  <tableColumns count="31">
    <tableColumn id="1" xr3:uid="{52DF9361-187F-4FEA-84C2-93BD9083B162}" name="Columna1" headerRowDxfId="271" dataDxfId="270"/>
    <tableColumn id="2" xr3:uid="{1AA1D0AB-69E4-4ECC-969F-9B01EEEB61CE}" name="Columna2" headerRowDxfId="269" dataDxfId="268"/>
    <tableColumn id="3" xr3:uid="{EF9FEBE0-0C0C-41CC-A75D-0A9E864351CE}" name="Columna3" headerRowDxfId="267" dataDxfId="266"/>
    <tableColumn id="4" xr3:uid="{F051389F-57DD-4764-8AEC-0925991629E3}" name="Columna4" headerRowDxfId="265" dataDxfId="264"/>
    <tableColumn id="5" xr3:uid="{65E1C086-38A3-433C-983D-6A144E1BA8E1}" name="Columna5" headerRowDxfId="263" dataDxfId="262"/>
    <tableColumn id="6" xr3:uid="{6FC0290E-623C-40CB-9D2E-AE729ECD63A1}" name="Columna6" headerRowDxfId="261" dataDxfId="260"/>
    <tableColumn id="7" xr3:uid="{F417751A-87AE-442D-8E45-AE812A36AA38}" name="Columna7" headerRowDxfId="259" dataDxfId="258"/>
    <tableColumn id="8" xr3:uid="{BF08AB36-14A9-43AB-8A4F-B760D0FEF2B0}" name="Columna8" headerRowDxfId="257" dataDxfId="256"/>
    <tableColumn id="9" xr3:uid="{8D055B62-53EA-4B38-AC50-BB500DADB983}" name="Columna9" headerRowDxfId="255" dataDxfId="254"/>
    <tableColumn id="10" xr3:uid="{C85EBC89-AD1D-4BE0-B64C-8C42D8FCD4F1}" name="Columna10" headerRowDxfId="253" dataDxfId="252"/>
    <tableColumn id="11" xr3:uid="{DF81DD03-3B0A-4F36-AEE8-57ECDFAEE9ED}" name="Columna11" headerRowDxfId="251" dataDxfId="250"/>
    <tableColumn id="12" xr3:uid="{D036F2A4-A761-4200-8FE2-786B76A07204}" name="Columna12" headerRowDxfId="249" dataDxfId="248"/>
    <tableColumn id="13" xr3:uid="{57B422FA-8EDA-4B21-A15A-77E332256BBE}" name="Columna13" headerRowDxfId="247" dataDxfId="246"/>
    <tableColumn id="14" xr3:uid="{DADCA5B6-E898-416E-BDB1-AB9E513F3168}" name="Columna14" headerRowDxfId="245" dataDxfId="244"/>
    <tableColumn id="15" xr3:uid="{2B91B507-DE65-49D7-B754-D1708C190135}" name="Columna15" headerRowDxfId="243" dataDxfId="242"/>
    <tableColumn id="16" xr3:uid="{BD88739B-9173-4F1E-8628-C98D6F43BB82}" name="Columna16" headerRowDxfId="241" dataDxfId="240"/>
    <tableColumn id="17" xr3:uid="{5EDFBBAE-36B1-4342-9F5C-F8F9F955D477}" name="Columna17" headerRowDxfId="239" dataDxfId="238"/>
    <tableColumn id="18" xr3:uid="{5F434959-73B3-44F8-A819-07E402E7CE7E}" name="Columna18" headerRowDxfId="237" dataDxfId="236"/>
    <tableColumn id="19" xr3:uid="{A71CAA31-6C21-48D7-8D0B-47D55C45A29C}" name="Columna19" headerRowDxfId="235" dataDxfId="234"/>
    <tableColumn id="20" xr3:uid="{DD74961B-33AE-402A-8AAA-E2BEBF9E6E89}" name="Columna20" headerRowDxfId="233" dataDxfId="232"/>
    <tableColumn id="21" xr3:uid="{DD8A4C24-DBB9-432B-9525-86045E9DEA99}" name="Columna21" headerRowDxfId="231" dataDxfId="230"/>
    <tableColumn id="22" xr3:uid="{7E5E124E-86E6-44C0-B89C-41C0ECE546D3}" name="Columna22" headerRowDxfId="229" dataDxfId="228"/>
    <tableColumn id="23" xr3:uid="{F634327A-B3F5-4B15-9C88-A3A872952A09}" name="Columna23" headerRowDxfId="227" dataDxfId="226"/>
    <tableColumn id="24" xr3:uid="{2B921A4C-AA1C-4E9B-81D1-4D962D2A5428}" name="Columna24" headerRowDxfId="225" dataDxfId="224"/>
    <tableColumn id="25" xr3:uid="{4511EC67-3B19-403B-A8F4-EA93B15602A3}" name="Columna25" headerRowDxfId="223" dataDxfId="222"/>
    <tableColumn id="26" xr3:uid="{F03D73B2-E8BB-4E9A-90BC-026327D8EFA0}" name="Columna26" headerRowDxfId="221" dataDxfId="220"/>
    <tableColumn id="27" xr3:uid="{03E5C8B9-FF90-472B-901E-D5107209B47F}" name="Columna27" headerRowDxfId="219" dataDxfId="218"/>
    <tableColumn id="28" xr3:uid="{74AF1F25-9D21-445B-9F15-709905D26D5F}" name="Columna28" headerRowDxfId="217" dataDxfId="216"/>
    <tableColumn id="29" xr3:uid="{801453D9-C1BB-4700-A6BE-3F7D186EEAC6}" name="Columna29" headerRowDxfId="215" dataDxfId="214"/>
    <tableColumn id="30" xr3:uid="{F6FDE929-FF36-445C-825C-61C92CCF5257}" name="Columna30" headerRowDxfId="213" dataDxfId="212"/>
    <tableColumn id="31" xr3:uid="{2D59BCDD-51AB-446E-A845-4286A3EA0EB8}" name="Columna31" headerRowDxfId="211" dataDxfId="2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5C3E74-8469-47A7-AF56-A444DF031071}" name="Opti_Medias__30_OOS_1" displayName="Opti_Medias__30_OOS_1" ref="A1:AL101" totalsRowShown="0" headerRowDxfId="209" dataDxfId="208" headerRowCellStyle="Millares 2" dataCellStyle="Millares 2">
  <autoFilter ref="A1:AL101" xr:uid="{475C3E74-8469-47A7-AF56-A444DF031071}"/>
  <sortState xmlns:xlrd2="http://schemas.microsoft.com/office/spreadsheetml/2017/richdata2" ref="A2:AL101">
    <sortCondition descending="1" ref="AL1:AL101"/>
  </sortState>
  <tableColumns count="38">
    <tableColumn id="38" xr3:uid="{29EF2F4A-DD8C-46AB-B679-0C9468D81479}" name="MEJORES" dataDxfId="207" dataCellStyle="Millares 2"/>
    <tableColumn id="1" xr3:uid="{FC2DDAFC-0D6A-481C-B6AB-AF57BE9CFAD1}" name="CURSO-TENDENCIA-INTRADIA: Fast_Avg" dataDxfId="206"/>
    <tableColumn id="2" xr3:uid="{98DC979B-BBD9-4D12-8ABE-600DD1AD196D}" name="CURSO-TENDENCIA-INTRADIA: media" dataDxfId="205"/>
    <tableColumn id="3" xr3:uid="{D187A043-3E40-453E-84C1-E2113F68AD25}" name="Test" dataDxfId="204"/>
    <tableColumn id="4" xr3:uid="{E88C24AD-D960-43E6-87D1-C5C8E50A3D40}" name="All: Net Profit" dataDxfId="203" dataCellStyle="Moneda 2"/>
    <tableColumn id="5" xr3:uid="{1C54BDF2-73CA-49F0-BDDA-3839E2177232}" name="All: Gross Profit" dataDxfId="202" dataCellStyle="Moneda 2"/>
    <tableColumn id="6" xr3:uid="{56AB1E25-40CF-4C01-8BD3-AFE393FACAE8}" name="All: Gross Loss" dataDxfId="201" dataCellStyle="Moneda 2"/>
    <tableColumn id="7" xr3:uid="{DF794283-F0F1-40C4-AE41-86202E719DF5}" name="All: Total Trades" dataDxfId="200"/>
    <tableColumn id="8" xr3:uid="{8DCCFC0A-1E27-4FCE-B6DC-7F92CD594DEE}" name="All: % Profitable" dataDxfId="199" dataCellStyle="Millares 2"/>
    <tableColumn id="9" xr3:uid="{31679183-C4A1-4996-9303-A05C32055541}" name="All: Winning Trades" dataDxfId="198"/>
    <tableColumn id="10" xr3:uid="{9B6BEFF1-B9DA-4EFC-A766-9A8F0EF7A816}" name="All: Losing Trades" dataDxfId="197"/>
    <tableColumn id="11" xr3:uid="{C7BFF950-CEA3-4608-90A6-88D0FA06958B}" name="All: Max Winning Trade" dataDxfId="196" dataCellStyle="Moneda 2"/>
    <tableColumn id="12" xr3:uid="{85E87238-D643-4541-B002-D5786D58AAD6}" name="All: Max Losing Trade" dataDxfId="195" dataCellStyle="Moneda 2"/>
    <tableColumn id="13" xr3:uid="{B1CD6F1D-1F83-40E1-B47D-2165AE67DE41}" name="All: Avg Winning Trade" dataDxfId="194" dataCellStyle="Moneda 2"/>
    <tableColumn id="14" xr3:uid="{70279E38-B005-4655-A038-32F9FCB49C0E}" name="All: Avg Losing Trade" dataDxfId="193" dataCellStyle="Moneda 2"/>
    <tableColumn id="15" xr3:uid="{1E438DF6-9105-44DF-9A6E-86BBCBC817A9}" name="All: Win/Loss Ratio" dataDxfId="192" dataCellStyle="Millares 2"/>
    <tableColumn id="16" xr3:uid="{C3D3AE5A-2C8A-4B2B-AE92-D79F44196961}" name="All: Avg Trade" dataDxfId="191" dataCellStyle="Moneda 2"/>
    <tableColumn id="17" xr3:uid="{31D03C36-FC19-4494-9498-545536EA3846}" name="All: Max Consecutive Winners" dataDxfId="190"/>
    <tableColumn id="18" xr3:uid="{BA796738-643A-4CD8-9BDE-17AB3A1469A5}" name="All: Max Consecutive Losers" dataDxfId="189"/>
    <tableColumn id="19" xr3:uid="{CEA87FCE-2E76-4E93-9107-FFB0B40B1710}" name="All: Avg Bars in Winner" dataDxfId="188"/>
    <tableColumn id="20" xr3:uid="{E05E6A7D-31D7-41CF-8A17-D44CBF5010DC}" name="All: Avg Bars in Loser" dataDxfId="187"/>
    <tableColumn id="21" xr3:uid="{87D54239-528F-4E3A-AB30-3D71606DCABC}" name="All: Max Intraday Drawdown" dataDxfId="186" dataCellStyle="Moneda 2"/>
    <tableColumn id="22" xr3:uid="{982CA1B9-9FAC-4C34-AD87-41EDA83FD07D}" name="All: ProfitFactor" dataDxfId="185" dataCellStyle="Millares 2"/>
    <tableColumn id="23" xr3:uid="{240E5DAA-9B06-4967-B616-3E906A6EA935}" name="All: Max Contracts Held" dataDxfId="184"/>
    <tableColumn id="24" xr3:uid="{99D15DB3-2010-4E6E-8D4C-07131C4600C0}" name="All: Required Account Size" dataDxfId="183" dataCellStyle="Moneda 2"/>
    <tableColumn id="25" xr3:uid="{315917F0-D242-42D2-91AD-FE5424D6C49D}" name="All: Return on Account" dataDxfId="182" dataCellStyle="Millares 2"/>
    <tableColumn id="26" xr3:uid="{EF751636-9142-4C0A-A7FB-C952C1B07BB0}" name="All: TS Index" dataDxfId="181" dataCellStyle="Millares 2"/>
    <tableColumn id="27" xr3:uid="{D5E4EEC6-E651-46A5-963D-43E4E5BB9486}" name="All: Expectancy Score" dataDxfId="180" dataCellStyle="Millares 2"/>
    <tableColumn id="28" xr3:uid="{86568A9B-DE28-4232-840F-A24119A230C2}" name="All: Pessimistic Return On Capital" dataDxfId="179" dataCellStyle="Millares 2"/>
    <tableColumn id="29" xr3:uid="{50EAC981-6DE3-4F8C-A08E-018CF991CC6E}" name="All: Perfect Profit Correlation" dataDxfId="178" dataCellStyle="Moneda 2"/>
    <tableColumn id="30" xr3:uid="{3B7BFEE5-F742-499B-8882-075FAFFE116A}" name="All: Robustness Index" dataDxfId="177" dataCellStyle="Millares 2"/>
    <tableColumn id="31" xr3:uid="{21BF1820-A990-44BC-8F46-2D5F1364F8D9}" name="VAR TS Index" dataDxfId="176" dataCellStyle="Millares 2">
      <calculatedColumnFormula>(Opti_Medias__30_OOS_1[[#This Row],[All: TS Index]]-AA$114) /ABS(AA$114)</calculatedColumnFormula>
    </tableColumn>
    <tableColumn id="32" xr3:uid="{BA32BFCD-093D-474B-BADF-70E5D0A8B835}" name="VAR Expectancy Score" dataDxfId="175" dataCellStyle="Millares 2">
      <calculatedColumnFormula>(Opti_Medias__30_OOS_1[[#This Row],[All: Expectancy Score]]-AB$114) /ABS(AB$114)</calculatedColumnFormula>
    </tableColumn>
    <tableColumn id="33" xr3:uid="{599D0B54-1A2A-4B1C-89C8-C5707FDDF5D8}" name="Columna1" dataDxfId="174" dataCellStyle="Millares 2"/>
    <tableColumn id="34" xr3:uid="{00390072-3A2C-4F51-A036-C3C2E9BDF783}" name="VAR Perfect Profit Correlation" dataDxfId="173" dataCellStyle="Millares 2">
      <calculatedColumnFormula>(Opti_Medias__30_OOS_1[[#This Row],[All: Perfect Profit Correlation]]-AD$114) /ABS(AD$114)</calculatedColumnFormula>
    </tableColumn>
    <tableColumn id="35" xr3:uid="{C9915131-F1AE-4E1B-942A-51A7C3D024D0}" name="VAR Robustness Index" dataDxfId="172" dataCellStyle="Millares 2">
      <calculatedColumnFormula>(Opti_Medias__30_OOS_1[[#This Row],[All: Robustness Index]]-AE$114) /ABS(AE$114)</calculatedColumnFormula>
    </tableColumn>
    <tableColumn id="36" xr3:uid="{A3AF76B1-D3C6-46E0-9E47-209510701745}" name="SUMA" dataDxfId="171" dataCellStyle="Millares 2">
      <calculatedColumnFormula>SUM(Opti_Medias__30_OOS_1[[#This Row],[VAR TS Index]:[VAR Robustness Index]])</calculatedColumnFormula>
    </tableColumn>
    <tableColumn id="37" xr3:uid="{BD36E165-37A8-42C1-9D10-33DDEC8C017B}" name="SUMA SIN ROB" dataDxfId="170" dataCellStyle="Millares 2">
      <calculatedColumnFormula>Opti_Medias__30_OOS_1[[#This Row],[SUMA]]-Opti_Medias__30_OOS_1[[#This Row],[VAR Robustness Index]]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F24175-F883-445B-81CA-FE36F3E5AF8A}" name="Tabla11" displayName="Tabla11" ref="A104:AE115" headerRowCount="0" totalsRowShown="0" headerRowDxfId="169" dataDxfId="168" tableBorderDxfId="167">
  <tableColumns count="31">
    <tableColumn id="1" xr3:uid="{33FDE1A6-AED4-40CB-A46A-CB1674260D71}" name="Columna1" headerRowDxfId="166" dataDxfId="165"/>
    <tableColumn id="2" xr3:uid="{18D9DC00-6D3F-46AC-86E1-C075D74B05DC}" name="Columna2" headerRowDxfId="164" dataDxfId="163"/>
    <tableColumn id="3" xr3:uid="{3E0D6992-AEB1-4ADF-81EE-DF7B3FF80E05}" name="Columna3" headerRowDxfId="162" dataDxfId="161"/>
    <tableColumn id="4" xr3:uid="{A495E0ED-D8BB-4BCA-8C55-F95318F3429E}" name="Columna4" headerRowDxfId="160" dataDxfId="159"/>
    <tableColumn id="5" xr3:uid="{075BD912-34F1-4AF4-9B13-63B7CB06B75D}" name="Columna5" headerRowDxfId="158" dataDxfId="157"/>
    <tableColumn id="6" xr3:uid="{99C42542-B252-4040-8164-C05AC4D77F88}" name="Columna6" headerRowDxfId="156" dataDxfId="155"/>
    <tableColumn id="7" xr3:uid="{C0649265-6741-4A91-99AB-FB386D19D908}" name="Columna7" headerRowDxfId="154" dataDxfId="153"/>
    <tableColumn id="8" xr3:uid="{F7D135B8-F42A-4846-8B0C-459045D03AEB}" name="Columna8" headerRowDxfId="152" dataDxfId="151"/>
    <tableColumn id="9" xr3:uid="{1D3CE17C-34CB-4F2D-9F86-CBEB078BB844}" name="Columna9" headerRowDxfId="150" dataDxfId="149"/>
    <tableColumn id="10" xr3:uid="{5E1C473D-C4C8-4D7E-9BFC-8EF77C22948B}" name="Columna10" headerRowDxfId="148" dataDxfId="147"/>
    <tableColumn id="11" xr3:uid="{1AE5F5DD-CB16-4E3F-83A3-82578D5A66A1}" name="Columna11" headerRowDxfId="146" dataDxfId="145"/>
    <tableColumn id="12" xr3:uid="{4D00501C-A5AC-4498-9E0D-1F4BAE80B3FC}" name="Columna12" headerRowDxfId="144" dataDxfId="143"/>
    <tableColumn id="13" xr3:uid="{D052D5B2-BD5E-42C6-AEA0-155370600C87}" name="Columna13" headerRowDxfId="142" dataDxfId="141"/>
    <tableColumn id="14" xr3:uid="{FCEFFCE4-2444-4757-8D32-122B15AA9551}" name="Columna14" headerRowDxfId="140" dataDxfId="139"/>
    <tableColumn id="15" xr3:uid="{63F2D9B9-1E2D-41FA-B3B0-AF57FDC56E8E}" name="Columna15" headerRowDxfId="138" dataDxfId="137"/>
    <tableColumn id="16" xr3:uid="{EA4C7691-A938-4B71-B7B6-18A81B237409}" name="Columna16" headerRowDxfId="136" dataDxfId="135"/>
    <tableColumn id="17" xr3:uid="{C92AD0B5-5AED-4169-BF82-3D2FBB3D5A75}" name="Columna17" headerRowDxfId="134" dataDxfId="133"/>
    <tableColumn id="18" xr3:uid="{07E82169-B209-4948-B31E-1F5721FCD33E}" name="Columna18" headerRowDxfId="132" dataDxfId="131"/>
    <tableColumn id="19" xr3:uid="{F8AAC9F6-94A5-477B-AAA4-B6FADC54432A}" name="Columna19" headerRowDxfId="130" dataDxfId="129"/>
    <tableColumn id="20" xr3:uid="{F666EB31-DEE6-429A-BB13-29FA8E2660AA}" name="Columna20" headerRowDxfId="128" dataDxfId="127"/>
    <tableColumn id="21" xr3:uid="{CE760D52-46EE-49BA-B8EA-30C1F4A17155}" name="Columna21" headerRowDxfId="126" dataDxfId="125"/>
    <tableColumn id="22" xr3:uid="{4CA723B8-E39F-4793-8FB7-D51CFDD1A1A5}" name="Columna22" headerRowDxfId="124" dataDxfId="123"/>
    <tableColumn id="23" xr3:uid="{5E158149-52DB-4AFE-A677-D99D6637C97A}" name="Columna23" headerRowDxfId="122" dataDxfId="121"/>
    <tableColumn id="24" xr3:uid="{C6734C01-2185-4F7B-AA04-2F38D2D69E76}" name="Columna24" headerRowDxfId="120" dataDxfId="119"/>
    <tableColumn id="25" xr3:uid="{9A08F822-524C-4DC7-A115-F847EA8C453F}" name="Columna25" headerRowDxfId="118" dataDxfId="117"/>
    <tableColumn id="26" xr3:uid="{9A74A6A4-F4B9-49B8-B1A1-FBB8E05A09C1}" name="Columna26" headerRowDxfId="116" dataDxfId="115"/>
    <tableColumn id="27" xr3:uid="{0A11D91C-0523-46D0-BF9F-E7803AE6EFE0}" name="Columna27" headerRowDxfId="114" dataDxfId="113"/>
    <tableColumn id="28" xr3:uid="{92393A03-53B5-4003-A920-076DC0D6085F}" name="Columna28" headerRowDxfId="112" dataDxfId="111"/>
    <tableColumn id="29" xr3:uid="{E325B16F-69BE-4CCE-956D-1E544C0862BB}" name="Columna29" headerRowDxfId="110" dataDxfId="109"/>
    <tableColumn id="30" xr3:uid="{6AFC4460-206F-4057-9610-6B100C43C802}" name="Columna30" headerRowDxfId="108" dataDxfId="107"/>
    <tableColumn id="31" xr3:uid="{B88D09E8-7680-4F47-8C17-8926B342B766}" name="Columna31" headerRowDxfId="106" dataDxfId="1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BCE12C-9EB1-4BAC-815F-FC0E708844DA}" name="Opti_Medias__30_ALL_DATA_1" displayName="Opti_Medias__30_ALL_DATA_1" ref="A1:AL101" totalsRowShown="0" headerRowDxfId="104" dataDxfId="103" headerRowCellStyle="Millares 2" dataCellStyle="Millares 2">
  <autoFilter ref="A1:AL101" xr:uid="{1DBCE12C-9EB1-4BAC-815F-FC0E708844DA}"/>
  <sortState xmlns:xlrd2="http://schemas.microsoft.com/office/spreadsheetml/2017/richdata2" ref="A2:AL101">
    <sortCondition descending="1" ref="AL1:AL101"/>
  </sortState>
  <tableColumns count="38">
    <tableColumn id="38" xr3:uid="{3BC7252A-565F-4685-980D-EE551C7A00B5}" name="MEJORES" dataDxfId="102" dataCellStyle="Millares 2"/>
    <tableColumn id="1" xr3:uid="{DD0E6697-B43C-4AE7-BFE0-C13FFBD3C8C0}" name="CURSO-TENDENCIA-INTRADIA: Fast_Avg" dataDxfId="101"/>
    <tableColumn id="2" xr3:uid="{FA1DC71E-8940-4E0B-A412-07AFD4A7B157}" name="CURSO-TENDENCIA-INTRADIA: media" dataDxfId="100"/>
    <tableColumn id="3" xr3:uid="{93E17891-E89B-410F-86ED-012584152E5D}" name="Test" dataDxfId="99"/>
    <tableColumn id="4" xr3:uid="{E538D024-BD68-4969-9E8C-F4763F0B40C5}" name="All: Net Profit" dataDxfId="98" dataCellStyle="Moneda 2"/>
    <tableColumn id="5" xr3:uid="{43327D34-0882-436E-859D-1EEF58BFCD46}" name="All: Gross Profit" dataDxfId="97" dataCellStyle="Moneda 2"/>
    <tableColumn id="6" xr3:uid="{64BCDA29-449F-4663-B52E-61FB684C2836}" name="All: Gross Loss" dataDxfId="96" dataCellStyle="Moneda 2"/>
    <tableColumn id="7" xr3:uid="{C8BADCC5-F2FD-42F7-8515-522D4B8EA2B3}" name="All: Total Trades" dataDxfId="95"/>
    <tableColumn id="8" xr3:uid="{BD07D596-78E1-4C5E-9242-980A0A267C46}" name="All: % Profitable" dataDxfId="94" dataCellStyle="Millares 2"/>
    <tableColumn id="9" xr3:uid="{32FE2321-976B-49E6-9A0D-C31783C7A6A8}" name="All: Winning Trades" dataDxfId="93"/>
    <tableColumn id="10" xr3:uid="{4758788C-878A-4321-8C85-8A6F83D09B56}" name="All: Losing Trades" dataDxfId="92"/>
    <tableColumn id="11" xr3:uid="{BDAC44B3-FE5B-426A-BF76-43EAE77F5EC8}" name="All: Max Winning Trade" dataDxfId="91" dataCellStyle="Moneda 2"/>
    <tableColumn id="12" xr3:uid="{D7E6EDD7-BE2C-478A-94D8-2D7D7DDF6DAF}" name="All: Max Losing Trade" dataDxfId="90" dataCellStyle="Moneda 2"/>
    <tableColumn id="13" xr3:uid="{1F740EA9-896D-4ABF-9B70-6EDC0849B651}" name="All: Avg Winning Trade" dataDxfId="89" dataCellStyle="Moneda 2"/>
    <tableColumn id="14" xr3:uid="{D7D78187-9038-42AC-A612-1F3BF99B59D4}" name="All: Avg Losing Trade" dataDxfId="88" dataCellStyle="Moneda 2"/>
    <tableColumn id="15" xr3:uid="{786ECF09-D904-452C-9477-A563532F62DF}" name="All: Win/Loss Ratio" dataDxfId="87" dataCellStyle="Millares 2"/>
    <tableColumn id="16" xr3:uid="{564B8AFA-28F9-4227-8F47-CBD80ED49E2B}" name="All: Avg Trade" dataDxfId="86" dataCellStyle="Moneda 2"/>
    <tableColumn id="17" xr3:uid="{D366EBAC-EBC1-49E1-9EF4-ADD43C4EE080}" name="All: Max Consecutive Winners" dataDxfId="85"/>
    <tableColumn id="18" xr3:uid="{CF75827D-BDF9-44A2-8AA7-57C295474551}" name="All: Max Consecutive Losers" dataDxfId="84"/>
    <tableColumn id="19" xr3:uid="{1F7C3F65-D0B1-4ACD-BAB6-433C4A2CA31E}" name="All: Avg Bars in Winner" dataDxfId="83"/>
    <tableColumn id="20" xr3:uid="{1AEEA84B-687E-4A68-8B70-649CCBE86DF3}" name="All: Avg Bars in Loser" dataDxfId="82"/>
    <tableColumn id="21" xr3:uid="{B5B73ED3-0256-4234-B5C9-C9132F8B835D}" name="All: Max Intraday Drawdown" dataDxfId="81" dataCellStyle="Moneda 2"/>
    <tableColumn id="22" xr3:uid="{D433E1B5-BFED-4CA3-8ED6-E57F3B594494}" name="All: ProfitFactor" dataDxfId="80" dataCellStyle="Millares 2"/>
    <tableColumn id="23" xr3:uid="{B1C42FFF-32BF-4242-B6F8-BCE5E7DD3FE5}" name="All: Max Contracts Held" dataDxfId="79"/>
    <tableColumn id="24" xr3:uid="{B6998570-5988-45D4-AAE3-25070DAEAF14}" name="All: Required Account Size" dataDxfId="78" dataCellStyle="Moneda 2"/>
    <tableColumn id="25" xr3:uid="{20DCF2E0-29CA-43DF-9F58-F13A5B5A9B62}" name="All: Return on Account" dataDxfId="77" dataCellStyle="Millares 2"/>
    <tableColumn id="26" xr3:uid="{B1F58DBB-92F9-45B4-917C-B411F124B481}" name="All: TS Index" dataDxfId="76" dataCellStyle="Millares 2"/>
    <tableColumn id="27" xr3:uid="{70270501-6871-4466-9CEA-5364F7F105B1}" name="All: Expectancy Score" dataDxfId="75" dataCellStyle="Millares 2"/>
    <tableColumn id="28" xr3:uid="{2F87048E-E070-4DB6-B629-2A1707967B4F}" name="All: Pessimistic Return On Capital" dataDxfId="74" dataCellStyle="Millares 2"/>
    <tableColumn id="29" xr3:uid="{5B50A7B5-7682-41AE-B819-22E7121BB440}" name="All: Perfect Profit Correlation" dataDxfId="73" dataCellStyle="Moneda 2"/>
    <tableColumn id="30" xr3:uid="{DFDBC7F7-1B4C-4285-91A6-530D946C43A3}" name="All: Robustness Index" dataDxfId="72" dataCellStyle="Millares 2"/>
    <tableColumn id="31" xr3:uid="{CF144ABD-612F-487D-A364-922DCAE93E83}" name="VAR TS Index" dataDxfId="71" dataCellStyle="Millares 2">
      <calculatedColumnFormula>(Opti_Medias__30_ALL_DATA_1[[#This Row],[All: TS Index]]-AA$114) /ABS(AA$114)</calculatedColumnFormula>
    </tableColumn>
    <tableColumn id="32" xr3:uid="{49843AAE-58D0-433B-A717-F7E2E8E9B9D2}" name="VAR Expectancy Score" dataDxfId="70" dataCellStyle="Millares 2">
      <calculatedColumnFormula>(Opti_Medias__30_ALL_DATA_1[[#This Row],[All: Expectancy Score]]-AB$114) /ABS(AB$114)</calculatedColumnFormula>
    </tableColumn>
    <tableColumn id="33" xr3:uid="{7759B333-63CA-4D73-BA82-D4DB77A820E9}" name="Columna1" dataDxfId="69" dataCellStyle="Millares 2"/>
    <tableColumn id="34" xr3:uid="{1C337E40-6F84-4917-980F-DC57CA3CF264}" name="VAR Perfect Profit Correlation" dataDxfId="68" dataCellStyle="Millares 2">
      <calculatedColumnFormula>(Opti_Medias__30_ALL_DATA_1[[#This Row],[All: Perfect Profit Correlation]]-AD$114) /ABS(AD$114)</calculatedColumnFormula>
    </tableColumn>
    <tableColumn id="35" xr3:uid="{7F785E86-96F1-4EAA-AC50-03757E44714C}" name="VAR Robustness Index" dataDxfId="67" dataCellStyle="Millares 2">
      <calculatedColumnFormula>(Opti_Medias__30_ALL_DATA_1[[#This Row],[All: Robustness Index]]-AE$114) /ABS(AE$114)</calculatedColumnFormula>
    </tableColumn>
    <tableColumn id="36" xr3:uid="{6ABFF7FD-7C21-4997-925A-6FEDCF5D4285}" name="SUMA" dataDxfId="66" dataCellStyle="Millares 2">
      <calculatedColumnFormula>SUM(Opti_Medias__30_ALL_DATA_1[[#This Row],[VAR TS Index]:[VAR Robustness Index]])</calculatedColumnFormula>
    </tableColumn>
    <tableColumn id="37" xr3:uid="{154AD7A7-F050-4FDC-8449-41ECAC195E92}" name="SUMA SIN ROB" dataDxfId="65" dataCellStyle="Millares 2">
      <calculatedColumnFormula>Opti_Medias__30_ALL_DATA_1[[#This Row],[SUMA]]-Opti_Medias__30_ALL_DATA_1[[#This Row],[VAR Robustness Index]]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0182665-8769-4622-8366-D5133860E77D}" name="Tabla10" displayName="Tabla10" ref="A104:AE115" headerRowCount="0" totalsRowShown="0" headerRowDxfId="64" dataDxfId="63" tableBorderDxfId="62">
  <tableColumns count="31">
    <tableColumn id="1" xr3:uid="{ADD95397-0518-4382-8CF7-11955550A41E}" name="Columna1" headerRowDxfId="61" dataDxfId="60"/>
    <tableColumn id="2" xr3:uid="{70773DF2-43FE-471E-99EF-AE339FB83B15}" name="Columna2" headerRowDxfId="59" dataDxfId="58"/>
    <tableColumn id="3" xr3:uid="{AA7169E9-61F1-412D-A0BE-E04B81919E9E}" name="Columna3" headerRowDxfId="57" dataDxfId="56"/>
    <tableColumn id="4" xr3:uid="{09CD9EF8-D24E-487B-83AD-DE8FB6593944}" name="Columna4" headerRowDxfId="55" dataDxfId="54"/>
    <tableColumn id="5" xr3:uid="{DAD655FA-1508-4E48-AAFE-0148FED30AD9}" name="Columna5" headerRowDxfId="53" dataDxfId="52"/>
    <tableColumn id="6" xr3:uid="{D564101D-608C-4977-91A5-4EB24FDD2C29}" name="Columna6" headerRowDxfId="51" dataDxfId="50"/>
    <tableColumn id="7" xr3:uid="{5CD21677-9BB9-4260-8B11-0B818465A1A1}" name="Columna7" headerRowDxfId="49" dataDxfId="48"/>
    <tableColumn id="8" xr3:uid="{1A31F69E-BFC6-4D97-AE64-DF6196DF5427}" name="Columna8" headerRowDxfId="47" dataDxfId="46"/>
    <tableColumn id="9" xr3:uid="{18E18E4A-DC63-4098-8B85-7E13A570B824}" name="Columna9" headerRowDxfId="45" dataDxfId="44"/>
    <tableColumn id="10" xr3:uid="{C9B87F96-EA93-457A-8C3C-922FD66CD7E6}" name="Columna10" headerRowDxfId="43" dataDxfId="42"/>
    <tableColumn id="11" xr3:uid="{40059A52-2B84-47CA-B0B0-B321CCD0B083}" name="Columna11" headerRowDxfId="41" dataDxfId="40"/>
    <tableColumn id="12" xr3:uid="{7B2E96E3-D886-4FC4-9474-111B97B3A1C0}" name="Columna12" headerRowDxfId="39" dataDxfId="38"/>
    <tableColumn id="13" xr3:uid="{F52DDC3C-9E53-4EFD-AFB4-FE57F515EBAB}" name="Columna13" headerRowDxfId="37" dataDxfId="36"/>
    <tableColumn id="14" xr3:uid="{5A98305D-BCD1-47D0-9FD7-11D0FE2145D3}" name="Columna14" headerRowDxfId="35" dataDxfId="34"/>
    <tableColumn id="15" xr3:uid="{33FDA14D-DA79-4748-AD9C-64CD1EDCA8FF}" name="Columna15" headerRowDxfId="33" dataDxfId="32"/>
    <tableColumn id="16" xr3:uid="{81271E3F-540F-48E7-8F64-B2C1780180EE}" name="Columna16" headerRowDxfId="31" dataDxfId="30"/>
    <tableColumn id="17" xr3:uid="{EB14B5FA-6E12-4208-9F8A-16CEC216A15D}" name="Columna17" headerRowDxfId="29" dataDxfId="28"/>
    <tableColumn id="18" xr3:uid="{5DF5D21F-C218-40DF-A687-066089F3D1AC}" name="Columna18" headerRowDxfId="27" dataDxfId="26"/>
    <tableColumn id="19" xr3:uid="{25FF5E06-187E-49D4-9626-51F6CC6C8B29}" name="Columna19" headerRowDxfId="25" dataDxfId="24"/>
    <tableColumn id="20" xr3:uid="{5CA55E3F-1F39-4B26-AD75-376610761B3F}" name="Columna20" headerRowDxfId="23" dataDxfId="22"/>
    <tableColumn id="21" xr3:uid="{E1C8056D-4925-4DF6-89CD-D45D35B6B04D}" name="Columna21" headerRowDxfId="21" dataDxfId="20"/>
    <tableColumn id="22" xr3:uid="{CD7C0BC1-775D-4CD0-ABD9-99C00F42B052}" name="Columna22" headerRowDxfId="19" dataDxfId="18"/>
    <tableColumn id="23" xr3:uid="{DDF1F7E9-E018-4AA9-A2D6-2BF26D51F59A}" name="Columna23" headerRowDxfId="17" dataDxfId="16"/>
    <tableColumn id="24" xr3:uid="{58FDDE83-0CAB-4F76-A253-91266246EBEE}" name="Columna24" headerRowDxfId="15" dataDxfId="14"/>
    <tableColumn id="25" xr3:uid="{C94ED73B-5422-4F56-82B2-9EB74BC573AD}" name="Columna25" headerRowDxfId="13" dataDxfId="12"/>
    <tableColumn id="26" xr3:uid="{E37F64CA-E9F5-43CA-90C7-83F305D1BE54}" name="Columna26" headerRowDxfId="11" dataDxfId="10"/>
    <tableColumn id="27" xr3:uid="{B944358C-4310-4B1E-A759-786CACC3B928}" name="Columna27" headerRowDxfId="9" dataDxfId="8"/>
    <tableColumn id="28" xr3:uid="{F4967813-FA1D-41DA-A017-B8B3B7290F12}" name="Columna28" headerRowDxfId="7" dataDxfId="6"/>
    <tableColumn id="29" xr3:uid="{2E62EAC2-19B1-4BCB-B982-5F9181DE95A0}" name="Columna29" headerRowDxfId="5" dataDxfId="4"/>
    <tableColumn id="30" xr3:uid="{0B2E3349-54D9-43D9-B717-8C15520FB79E}" name="Columna30" headerRowDxfId="3" dataDxfId="2"/>
    <tableColumn id="31" xr3:uid="{3021CAC8-5AF7-44FD-9A1A-E98BBA8BEFAC}" name="Columna31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ersan Sistemas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ersan Sistemas">
      <a:majorFont>
        <a:latin typeface="Myriad Pro Black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E857-69DC-411D-B660-F3DCCFCE004D}">
  <dimension ref="A1:AL11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4" sqref="E4"/>
    </sheetView>
  </sheetViews>
  <sheetFormatPr baseColWidth="10" defaultColWidth="1.375" defaultRowHeight="15" x14ac:dyDescent="0.25"/>
  <cols>
    <col min="1" max="1" width="11.125" customWidth="1"/>
    <col min="2" max="2" width="12.75" bestFit="1" customWidth="1"/>
    <col min="3" max="3" width="11.75" bestFit="1" customWidth="1"/>
    <col min="4" max="4" width="4.875" bestFit="1" customWidth="1"/>
    <col min="5" max="5" width="8.75" bestFit="1" customWidth="1"/>
    <col min="6" max="6" width="10.125" bestFit="1" customWidth="1"/>
    <col min="7" max="7" width="10.625" bestFit="1" customWidth="1"/>
    <col min="8" max="8" width="7.625" bestFit="1" customWidth="1"/>
    <col min="9" max="9" width="7.5" bestFit="1" customWidth="1"/>
    <col min="10" max="10" width="8.375" bestFit="1" customWidth="1"/>
    <col min="11" max="11" width="7.625" bestFit="1" customWidth="1"/>
    <col min="12" max="15" width="9.25" bestFit="1" customWidth="1"/>
    <col min="16" max="16" width="8.625" bestFit="1" customWidth="1"/>
    <col min="17" max="17" width="7.375" bestFit="1" customWidth="1"/>
    <col min="18" max="18" width="11" bestFit="1" customWidth="1"/>
    <col min="19" max="19" width="9.875" bestFit="1" customWidth="1"/>
    <col min="20" max="20" width="10" bestFit="1" customWidth="1"/>
    <col min="21" max="21" width="9.125" bestFit="1" customWidth="1"/>
    <col min="22" max="22" width="11" bestFit="1" customWidth="1"/>
    <col min="23" max="23" width="7.5" bestFit="1" customWidth="1"/>
    <col min="24" max="24" width="8.625" bestFit="1" customWidth="1"/>
    <col min="25" max="25" width="10.125" bestFit="1" customWidth="1"/>
    <col min="26" max="26" width="8.875" bestFit="1" customWidth="1"/>
    <col min="27" max="27" width="7.375" bestFit="1" customWidth="1"/>
    <col min="28" max="28" width="9.25" bestFit="1" customWidth="1"/>
    <col min="29" max="29" width="12.375" bestFit="1" customWidth="1"/>
    <col min="30" max="30" width="10.125" bestFit="1" customWidth="1"/>
    <col min="31" max="31" width="9.25" bestFit="1" customWidth="1"/>
    <col min="32" max="32" width="10.125" bestFit="1" customWidth="1"/>
    <col min="33" max="33" width="13.875" bestFit="1" customWidth="1"/>
    <col min="34" max="34" width="13" bestFit="1" customWidth="1"/>
    <col min="35" max="35" width="14" bestFit="1" customWidth="1"/>
    <col min="36" max="36" width="13.125" bestFit="1" customWidth="1"/>
    <col min="37" max="37" width="9.625" bestFit="1" customWidth="1"/>
    <col min="38" max="38" width="12.625" bestFit="1" customWidth="1"/>
  </cols>
  <sheetData>
    <row r="1" spans="1:38" ht="83.25" customHeight="1" x14ac:dyDescent="0.25">
      <c r="A1" s="1" t="s">
        <v>30</v>
      </c>
      <c r="B1" s="88" t="s">
        <v>0</v>
      </c>
      <c r="C1" s="88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88" t="s">
        <v>7</v>
      </c>
      <c r="J1" s="88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88" t="s">
        <v>15</v>
      </c>
      <c r="R1" s="88" t="s">
        <v>16</v>
      </c>
      <c r="S1" s="88" t="s">
        <v>17</v>
      </c>
      <c r="T1" s="88" t="s">
        <v>18</v>
      </c>
      <c r="U1" s="2" t="s">
        <v>19</v>
      </c>
      <c r="V1" s="2" t="s">
        <v>20</v>
      </c>
      <c r="W1" s="88" t="s">
        <v>21</v>
      </c>
      <c r="X1" s="2" t="s">
        <v>22</v>
      </c>
      <c r="Y1" s="2" t="s">
        <v>23</v>
      </c>
      <c r="Z1" s="1" t="s">
        <v>24</v>
      </c>
      <c r="AA1" s="16" t="s">
        <v>25</v>
      </c>
      <c r="AB1" s="17" t="s">
        <v>26</v>
      </c>
      <c r="AC1" s="18" t="s">
        <v>27</v>
      </c>
      <c r="AD1" s="19" t="s">
        <v>28</v>
      </c>
      <c r="AE1" s="20" t="s">
        <v>29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73" t="s">
        <v>51</v>
      </c>
      <c r="B2" s="75">
        <v>34</v>
      </c>
      <c r="C2" s="75">
        <v>11</v>
      </c>
      <c r="D2" s="75">
        <v>484</v>
      </c>
      <c r="E2" s="76">
        <v>164430</v>
      </c>
      <c r="F2" s="76">
        <v>1632740</v>
      </c>
      <c r="G2" s="76">
        <v>-1468310</v>
      </c>
      <c r="H2" s="75">
        <v>3683</v>
      </c>
      <c r="I2" s="74">
        <v>36.356231333152323</v>
      </c>
      <c r="J2" s="75">
        <v>1339</v>
      </c>
      <c r="K2" s="75">
        <v>2330</v>
      </c>
      <c r="L2" s="77">
        <v>18960</v>
      </c>
      <c r="M2" s="77">
        <v>-5350</v>
      </c>
      <c r="N2" s="77">
        <v>1219.3726806640625</v>
      </c>
      <c r="O2" s="77">
        <v>-630.17596435546875</v>
      </c>
      <c r="P2" s="74">
        <v>1.9349717374752819</v>
      </c>
      <c r="Q2" s="78">
        <v>44.645669291338585</v>
      </c>
      <c r="R2" s="75">
        <v>9</v>
      </c>
      <c r="S2" s="75">
        <v>15</v>
      </c>
      <c r="T2" s="75">
        <v>67</v>
      </c>
      <c r="U2" s="75">
        <v>24</v>
      </c>
      <c r="V2" s="77">
        <v>-41585</v>
      </c>
      <c r="W2" s="74">
        <v>1.1119858885385241</v>
      </c>
      <c r="X2" s="75">
        <v>1</v>
      </c>
      <c r="Y2" s="77">
        <v>41585</v>
      </c>
      <c r="Z2" s="74">
        <v>395.40699771552244</v>
      </c>
      <c r="AA2" s="79">
        <v>5294.4996994108451</v>
      </c>
      <c r="AB2" s="74">
        <v>1.837687268626959</v>
      </c>
      <c r="AC2" s="74">
        <v>1.5022893013612091</v>
      </c>
      <c r="AD2" s="80">
        <v>139521.95465219714</v>
      </c>
      <c r="AE2" s="74">
        <v>163.8024821526451</v>
      </c>
      <c r="AF2" s="11">
        <f>(Opti_Medias__30_INS_1[[#This Row],[All: TS Index]]-AA$114) /ABS(AA$114)</f>
        <v>-9.1916358767391348E-2</v>
      </c>
      <c r="AG2" s="11">
        <f>(Opti_Medias__30_INS_1[[#This Row],[All: Expectancy Score]]-AB$114) /ABS(AB$114)</f>
        <v>-0.19556605491994239</v>
      </c>
      <c r="AH2" s="11"/>
      <c r="AI2" s="11">
        <f>(Opti_Medias__30_INS_1[[#This Row],[All: Perfect Profit Correlation]]-AD$114) /ABS(AD$114)</f>
        <v>-4.3558117629675056E-2</v>
      </c>
      <c r="AJ2" s="11">
        <f>(Opti_Medias__30_INS_1[[#This Row],[All: Robustness Index]]-AE$114) /ABS(AE$114)</f>
        <v>-0.80324780824286934</v>
      </c>
      <c r="AK2" s="11">
        <f>SUM(Opti_Medias__30_INS_1[[#This Row],[VAR TS Index]:[VAR Robustness Index]])</f>
        <v>-1.1342883395598782</v>
      </c>
      <c r="AL2" s="11">
        <f>Opti_Medias__30_INS_1[[#This Row],[SUMA]]-Opti_Medias__30_INS_1[[#This Row],[VAR Robustness Index]]</f>
        <v>-0.33104053131700883</v>
      </c>
    </row>
    <row r="3" spans="1:38" x14ac:dyDescent="0.25">
      <c r="A3" s="73" t="s">
        <v>54</v>
      </c>
      <c r="B3" s="75">
        <v>35</v>
      </c>
      <c r="C3" s="75">
        <v>1</v>
      </c>
      <c r="D3" s="75">
        <v>35</v>
      </c>
      <c r="E3" s="76">
        <v>143330</v>
      </c>
      <c r="F3" s="76">
        <v>1635550</v>
      </c>
      <c r="G3" s="76">
        <v>-1492220</v>
      </c>
      <c r="H3" s="75">
        <v>3977</v>
      </c>
      <c r="I3" s="74">
        <v>33.215991953733969</v>
      </c>
      <c r="J3" s="75">
        <v>1321</v>
      </c>
      <c r="K3" s="75">
        <v>2639</v>
      </c>
      <c r="L3" s="77">
        <v>18070</v>
      </c>
      <c r="M3" s="77">
        <v>-5370</v>
      </c>
      <c r="N3" s="77">
        <v>1238.1151123046875</v>
      </c>
      <c r="O3" s="77">
        <v>-565.44903564453125</v>
      </c>
      <c r="P3" s="74">
        <v>2.1896139780191031</v>
      </c>
      <c r="Q3" s="78">
        <v>36.0397284385215</v>
      </c>
      <c r="R3" s="75">
        <v>7</v>
      </c>
      <c r="S3" s="75">
        <v>17</v>
      </c>
      <c r="T3" s="75">
        <v>67</v>
      </c>
      <c r="U3" s="75">
        <v>22</v>
      </c>
      <c r="V3" s="77">
        <v>-39525</v>
      </c>
      <c r="W3" s="74">
        <v>1.0960515205532699</v>
      </c>
      <c r="X3" s="75">
        <v>1</v>
      </c>
      <c r="Y3" s="77">
        <v>39525</v>
      </c>
      <c r="Z3" s="74">
        <v>362.63124604680581</v>
      </c>
      <c r="AA3" s="79">
        <v>4790.3587602783045</v>
      </c>
      <c r="AB3" s="74">
        <v>2.0677337702797791</v>
      </c>
      <c r="AC3" s="74">
        <v>1.2737780443103099</v>
      </c>
      <c r="AD3" s="80">
        <v>117109.25848503014</v>
      </c>
      <c r="AE3" s="74">
        <v>146.71243385662061</v>
      </c>
      <c r="AF3" s="11">
        <f>(Opti_Medias__30_INS_1[[#This Row],[All: TS Index]]-AA$114) /ABS(AA$114)</f>
        <v>-0.17838385630126544</v>
      </c>
      <c r="AG3" s="11">
        <f>(Opti_Medias__30_INS_1[[#This Row],[All: Expectancy Score]]-AB$114) /ABS(AB$114)</f>
        <v>-9.4864908410552395E-2</v>
      </c>
      <c r="AH3" s="11"/>
      <c r="AI3" s="11">
        <f>(Opti_Medias__30_INS_1[[#This Row],[All: Perfect Profit Correlation]]-AD$114) /ABS(AD$114)</f>
        <v>-0.19720018324262123</v>
      </c>
      <c r="AJ3" s="11">
        <f>(Opti_Medias__30_INS_1[[#This Row],[All: Robustness Index]]-AE$114) /ABS(AE$114)</f>
        <v>-0.82377560742691691</v>
      </c>
      <c r="AK3" s="11">
        <f>SUM(Opti_Medias__30_INS_1[[#This Row],[VAR TS Index]:[VAR Robustness Index]])</f>
        <v>-1.2942245553813558</v>
      </c>
      <c r="AL3" s="11">
        <f>Opti_Medias__30_INS_1[[#This Row],[SUMA]]-Opti_Medias__30_INS_1[[#This Row],[VAR Robustness Index]]</f>
        <v>-0.47044894795443892</v>
      </c>
    </row>
    <row r="4" spans="1:38" x14ac:dyDescent="0.25">
      <c r="A4" s="73" t="s">
        <v>52</v>
      </c>
      <c r="B4" s="28">
        <v>27</v>
      </c>
      <c r="C4" s="28">
        <v>11</v>
      </c>
      <c r="D4" s="28">
        <v>477</v>
      </c>
      <c r="E4" s="29">
        <v>155780</v>
      </c>
      <c r="F4" s="29">
        <v>1651460</v>
      </c>
      <c r="G4" s="29">
        <v>-1495680</v>
      </c>
      <c r="H4" s="28">
        <v>3707</v>
      </c>
      <c r="I4" s="30">
        <v>39.007283517669272</v>
      </c>
      <c r="J4" s="28">
        <v>1446</v>
      </c>
      <c r="K4" s="28">
        <v>2245</v>
      </c>
      <c r="L4" s="31">
        <v>17310</v>
      </c>
      <c r="M4" s="31">
        <v>-4970</v>
      </c>
      <c r="N4" s="31">
        <v>1142.0885009765625</v>
      </c>
      <c r="O4" s="31">
        <v>-666.2271728515625</v>
      </c>
      <c r="P4" s="30">
        <v>1.714262863353704</v>
      </c>
      <c r="Q4" s="32">
        <v>42.023199352576206</v>
      </c>
      <c r="R4" s="28">
        <v>7</v>
      </c>
      <c r="S4" s="28">
        <v>15</v>
      </c>
      <c r="T4" s="28">
        <v>61</v>
      </c>
      <c r="U4" s="28">
        <v>26</v>
      </c>
      <c r="V4" s="31">
        <v>-38635</v>
      </c>
      <c r="W4" s="30">
        <v>1.104153294822422</v>
      </c>
      <c r="X4" s="28">
        <v>1</v>
      </c>
      <c r="Y4" s="31">
        <v>38635</v>
      </c>
      <c r="Z4" s="30">
        <v>403.20952504206031</v>
      </c>
      <c r="AA4" s="33">
        <v>5830.4097321081917</v>
      </c>
      <c r="AB4" s="30">
        <v>1.2436286699449239</v>
      </c>
      <c r="AC4" s="30">
        <v>1.439173884075039</v>
      </c>
      <c r="AD4" s="34">
        <v>141315.84277847622</v>
      </c>
      <c r="AE4" s="30">
        <v>75.851615888452912</v>
      </c>
      <c r="AF4" s="11">
        <f>(Opti_Medias__30_INS_1[[#This Row],[All: TS Index]]-AA$114) /ABS(AA$114)</f>
        <v>0</v>
      </c>
      <c r="AG4" s="11">
        <f>(Opti_Medias__30_INS_1[[#This Row],[All: Expectancy Score]]-AB$114) /ABS(AB$114)</f>
        <v>-0.45561079175025859</v>
      </c>
      <c r="AH4" s="11"/>
      <c r="AI4" s="11">
        <f>(Opti_Medias__30_INS_1[[#This Row],[All: Perfect Profit Correlation]]-AD$114) /ABS(AD$114)</f>
        <v>-3.1260771734993517E-2</v>
      </c>
      <c r="AJ4" s="11">
        <f>(Opti_Medias__30_INS_1[[#This Row],[All: Robustness Index]]-AE$114) /ABS(AE$114)</f>
        <v>-0.90889044245089234</v>
      </c>
      <c r="AK4" s="11">
        <f>SUM(Opti_Medias__30_INS_1[[#This Row],[VAR TS Index]:[VAR Robustness Index]])</f>
        <v>-1.3957620059361444</v>
      </c>
      <c r="AL4" s="11">
        <f>Opti_Medias__30_INS_1[[#This Row],[SUMA]]-Opti_Medias__30_INS_1[[#This Row],[VAR Robustness Index]]</f>
        <v>-0.48687156348525207</v>
      </c>
    </row>
    <row r="5" spans="1:38" x14ac:dyDescent="0.25">
      <c r="A5" s="73" t="s">
        <v>55</v>
      </c>
      <c r="B5" s="75">
        <v>22</v>
      </c>
      <c r="C5" s="75">
        <v>8</v>
      </c>
      <c r="D5" s="75">
        <v>337</v>
      </c>
      <c r="E5" s="76">
        <v>140730</v>
      </c>
      <c r="F5" s="76">
        <v>1595080</v>
      </c>
      <c r="G5" s="76">
        <v>-1454350</v>
      </c>
      <c r="H5" s="75">
        <v>3547</v>
      </c>
      <c r="I5" s="74">
        <v>34.254299407950377</v>
      </c>
      <c r="J5" s="75">
        <v>1215</v>
      </c>
      <c r="K5" s="75">
        <v>2319</v>
      </c>
      <c r="L5" s="77">
        <v>17090</v>
      </c>
      <c r="M5" s="77">
        <v>-5240</v>
      </c>
      <c r="N5" s="77">
        <v>1312.822998046875</v>
      </c>
      <c r="O5" s="77">
        <v>-627.14532470703125</v>
      </c>
      <c r="P5" s="74">
        <v>2.0933313959729438</v>
      </c>
      <c r="Q5" s="78">
        <v>39.675782351282777</v>
      </c>
      <c r="R5" s="75">
        <v>7</v>
      </c>
      <c r="S5" s="75">
        <v>15</v>
      </c>
      <c r="T5" s="75">
        <v>73</v>
      </c>
      <c r="U5" s="75">
        <v>25</v>
      </c>
      <c r="V5" s="77">
        <v>-35235</v>
      </c>
      <c r="W5" s="74">
        <v>1.096764877780452</v>
      </c>
      <c r="X5" s="75">
        <v>1</v>
      </c>
      <c r="Y5" s="77">
        <v>35235</v>
      </c>
      <c r="Z5" s="74">
        <v>399.40400170285227</v>
      </c>
      <c r="AA5" s="79">
        <v>4852.7586206896549</v>
      </c>
      <c r="AB5" s="74">
        <v>1.7934232170931641</v>
      </c>
      <c r="AC5" s="74">
        <v>1.251699317851134</v>
      </c>
      <c r="AD5" s="80">
        <v>124528.39785296223</v>
      </c>
      <c r="AE5" s="74">
        <v>195.20156532740464</v>
      </c>
      <c r="AF5" s="11">
        <f>(Opti_Medias__30_INS_1[[#This Row],[All: TS Index]]-AA$114) /ABS(AA$114)</f>
        <v>-0.16768137340924621</v>
      </c>
      <c r="AG5" s="11">
        <f>(Opti_Medias__30_INS_1[[#This Row],[All: Expectancy Score]]-AB$114) /ABS(AB$114)</f>
        <v>-0.21494231453084015</v>
      </c>
      <c r="AH5" s="11"/>
      <c r="AI5" s="11">
        <f>(Opti_Medias__30_INS_1[[#This Row],[All: Perfect Profit Correlation]]-AD$114) /ABS(AD$114)</f>
        <v>-0.14634097875167407</v>
      </c>
      <c r="AJ5" s="11">
        <f>(Opti_Medias__30_INS_1[[#This Row],[All: Robustness Index]]-AE$114) /ABS(AE$114)</f>
        <v>-0.76553263840776664</v>
      </c>
      <c r="AK5" s="11">
        <f>SUM(Opti_Medias__30_INS_1[[#This Row],[VAR TS Index]:[VAR Robustness Index]])</f>
        <v>-1.2944973050995272</v>
      </c>
      <c r="AL5" s="11">
        <f>Opti_Medias__30_INS_1[[#This Row],[SUMA]]-Opti_Medias__30_INS_1[[#This Row],[VAR Robustness Index]]</f>
        <v>-0.52896466669176057</v>
      </c>
    </row>
    <row r="6" spans="1:38" x14ac:dyDescent="0.25">
      <c r="A6" s="73" t="s">
        <v>56</v>
      </c>
      <c r="B6" s="75">
        <v>35</v>
      </c>
      <c r="C6" s="75">
        <v>11</v>
      </c>
      <c r="D6" s="75">
        <v>485</v>
      </c>
      <c r="E6" s="76">
        <v>166220</v>
      </c>
      <c r="F6" s="76">
        <v>1622610</v>
      </c>
      <c r="G6" s="76">
        <v>-1456390</v>
      </c>
      <c r="H6" s="75">
        <v>3727</v>
      </c>
      <c r="I6" s="74">
        <v>35.363563187550305</v>
      </c>
      <c r="J6" s="75">
        <v>1318</v>
      </c>
      <c r="K6" s="75">
        <v>2391</v>
      </c>
      <c r="L6" s="77">
        <v>18780</v>
      </c>
      <c r="M6" s="77">
        <v>-5640</v>
      </c>
      <c r="N6" s="77">
        <v>1231.1153564453125</v>
      </c>
      <c r="O6" s="77">
        <v>-609.11334228515625</v>
      </c>
      <c r="P6" s="74">
        <v>2.0211597267376331</v>
      </c>
      <c r="Q6" s="78">
        <v>44.59887308827475</v>
      </c>
      <c r="R6" s="75">
        <v>9</v>
      </c>
      <c r="S6" s="75">
        <v>12</v>
      </c>
      <c r="T6" s="75">
        <v>68</v>
      </c>
      <c r="U6" s="75">
        <v>24</v>
      </c>
      <c r="V6" s="77">
        <v>-46315</v>
      </c>
      <c r="W6" s="74">
        <v>1.1141315169700421</v>
      </c>
      <c r="X6" s="75">
        <v>1</v>
      </c>
      <c r="Y6" s="77">
        <v>46315</v>
      </c>
      <c r="Z6" s="74">
        <v>358.89020835582426</v>
      </c>
      <c r="AA6" s="79">
        <v>4730.1729461297637</v>
      </c>
      <c r="AB6" s="74">
        <v>1.542470589926773</v>
      </c>
      <c r="AC6" s="74">
        <v>1.513095916059054</v>
      </c>
      <c r="AD6" s="80">
        <v>142555.02259397294</v>
      </c>
      <c r="AE6" s="74">
        <v>102.50413621313122</v>
      </c>
      <c r="AF6" s="11">
        <f>(Opti_Medias__30_INS_1[[#This Row],[All: TS Index]]-AA$114) /ABS(AA$114)</f>
        <v>-0.18870659808339035</v>
      </c>
      <c r="AG6" s="11">
        <f>(Opti_Medias__30_INS_1[[#This Row],[All: Expectancy Score]]-AB$114) /ABS(AB$114)</f>
        <v>-0.32479496212005537</v>
      </c>
      <c r="AH6" s="11"/>
      <c r="AI6" s="11">
        <f>(Opti_Medias__30_INS_1[[#This Row],[All: Perfect Profit Correlation]]-AD$114) /ABS(AD$114)</f>
        <v>-2.2766026386252546E-2</v>
      </c>
      <c r="AJ6" s="11">
        <f>(Opti_Medias__30_INS_1[[#This Row],[All: Robustness Index]]-AE$114) /ABS(AE$114)</f>
        <v>-0.87687663093340151</v>
      </c>
      <c r="AK6" s="11">
        <f>SUM(Opti_Medias__30_INS_1[[#This Row],[VAR TS Index]:[VAR Robustness Index]])</f>
        <v>-1.4131442175230999</v>
      </c>
      <c r="AL6" s="11">
        <f>Opti_Medias__30_INS_1[[#This Row],[SUMA]]-Opti_Medias__30_INS_1[[#This Row],[VAR Robustness Index]]</f>
        <v>-0.53626758658969842</v>
      </c>
    </row>
    <row r="7" spans="1:38" x14ac:dyDescent="0.25">
      <c r="A7" s="73" t="s">
        <v>57</v>
      </c>
      <c r="B7" s="21">
        <v>2</v>
      </c>
      <c r="C7" s="21">
        <v>8</v>
      </c>
      <c r="D7" s="21">
        <v>317</v>
      </c>
      <c r="E7" s="22">
        <v>173830</v>
      </c>
      <c r="F7" s="22">
        <v>1809440</v>
      </c>
      <c r="G7" s="22">
        <v>-1635610</v>
      </c>
      <c r="H7" s="21">
        <v>4015</v>
      </c>
      <c r="I7" s="23">
        <v>39.925280199252803</v>
      </c>
      <c r="J7" s="21">
        <v>1603</v>
      </c>
      <c r="K7" s="21">
        <v>2400</v>
      </c>
      <c r="L7" s="24">
        <v>19180</v>
      </c>
      <c r="M7" s="24">
        <v>-7200</v>
      </c>
      <c r="N7" s="24">
        <v>1128.7835693359375</v>
      </c>
      <c r="O7" s="24">
        <v>-681.504150390625</v>
      </c>
      <c r="P7" s="23">
        <v>1.656312098303349</v>
      </c>
      <c r="Q7" s="25">
        <v>43.29514321295143</v>
      </c>
      <c r="R7" s="21">
        <v>9</v>
      </c>
      <c r="S7" s="21">
        <v>15</v>
      </c>
      <c r="T7" s="21">
        <v>53</v>
      </c>
      <c r="U7" s="21">
        <v>26</v>
      </c>
      <c r="V7" s="24">
        <v>-48335</v>
      </c>
      <c r="W7" s="23">
        <v>1.1062783915481069</v>
      </c>
      <c r="X7" s="21">
        <v>1</v>
      </c>
      <c r="Y7" s="24">
        <v>48335</v>
      </c>
      <c r="Z7" s="23">
        <v>359.63587462501295</v>
      </c>
      <c r="AA7" s="26">
        <v>5764.9630702389577</v>
      </c>
      <c r="AB7" s="23">
        <v>1.0825661146369769</v>
      </c>
      <c r="AC7" s="23">
        <v>1.620230985240056</v>
      </c>
      <c r="AD7" s="27">
        <v>145876.04037834847</v>
      </c>
      <c r="AE7" s="23">
        <v>206.89275743382316</v>
      </c>
      <c r="AF7" s="11">
        <f>(Opti_Medias__30_INS_1[[#This Row],[All: TS Index]]-AA$114) /ABS(AA$114)</f>
        <v>-1.1225053619957081E-2</v>
      </c>
      <c r="AG7" s="11">
        <f>(Opti_Medias__30_INS_1[[#This Row],[All: Expectancy Score]]-AB$114) /ABS(AB$114)</f>
        <v>-0.52611472840094431</v>
      </c>
      <c r="AH7" s="11"/>
      <c r="AI7" s="11">
        <f>(Opti_Medias__30_INS_1[[#This Row],[All: Perfect Profit Correlation]]-AD$114) /ABS(AD$114)</f>
        <v>0</v>
      </c>
      <c r="AJ7" s="11">
        <f>(Opti_Medias__30_INS_1[[#This Row],[All: Robustness Index]]-AE$114) /ABS(AE$114)</f>
        <v>-0.75148970303241669</v>
      </c>
      <c r="AK7" s="11">
        <f>SUM(Opti_Medias__30_INS_1[[#This Row],[VAR TS Index]:[VAR Robustness Index]])</f>
        <v>-1.2888294850533182</v>
      </c>
      <c r="AL7" s="11">
        <f>Opti_Medias__30_INS_1[[#This Row],[SUMA]]-Opti_Medias__30_INS_1[[#This Row],[VAR Robustness Index]]</f>
        <v>-0.53733978202090149</v>
      </c>
    </row>
    <row r="8" spans="1:38" x14ac:dyDescent="0.25">
      <c r="A8" s="73" t="s">
        <v>58</v>
      </c>
      <c r="B8" s="75">
        <v>4</v>
      </c>
      <c r="C8" s="75">
        <v>8</v>
      </c>
      <c r="D8" s="75">
        <v>319</v>
      </c>
      <c r="E8" s="76">
        <v>166080</v>
      </c>
      <c r="F8" s="76">
        <v>1775560</v>
      </c>
      <c r="G8" s="76">
        <v>-1609480</v>
      </c>
      <c r="H8" s="75">
        <v>4033</v>
      </c>
      <c r="I8" s="74">
        <v>38.556905529382597</v>
      </c>
      <c r="J8" s="75">
        <v>1555</v>
      </c>
      <c r="K8" s="75">
        <v>2459</v>
      </c>
      <c r="L8" s="77">
        <v>17990</v>
      </c>
      <c r="M8" s="77">
        <v>-6470</v>
      </c>
      <c r="N8" s="77">
        <v>1141.8392333984375</v>
      </c>
      <c r="O8" s="77">
        <v>-654.5262451171875</v>
      </c>
      <c r="P8" s="74">
        <v>1.7445278045252419</v>
      </c>
      <c r="Q8" s="78">
        <v>41.180262831638977</v>
      </c>
      <c r="R8" s="75">
        <v>9</v>
      </c>
      <c r="S8" s="75">
        <v>19</v>
      </c>
      <c r="T8" s="75">
        <v>54</v>
      </c>
      <c r="U8" s="75">
        <v>26</v>
      </c>
      <c r="V8" s="77">
        <v>-55055</v>
      </c>
      <c r="W8" s="74">
        <v>1.103188607500559</v>
      </c>
      <c r="X8" s="75">
        <v>1</v>
      </c>
      <c r="Y8" s="77">
        <v>55055</v>
      </c>
      <c r="Z8" s="74">
        <v>301.66197438924712</v>
      </c>
      <c r="AA8" s="79">
        <v>4690.8437017527931</v>
      </c>
      <c r="AB8" s="74">
        <v>1.3520710475483271</v>
      </c>
      <c r="AC8" s="74">
        <v>1.535101425234741</v>
      </c>
      <c r="AD8" s="80">
        <v>141352.77398397838</v>
      </c>
      <c r="AE8" s="74">
        <v>230.79359952056859</v>
      </c>
      <c r="AF8" s="11">
        <f>(Opti_Medias__30_INS_1[[#This Row],[All: TS Index]]-AA$114) /ABS(AA$114)</f>
        <v>-0.19545213504975201</v>
      </c>
      <c r="AG8" s="11">
        <f>(Opti_Medias__30_INS_1[[#This Row],[All: Expectancy Score]]-AB$114) /ABS(AB$114)</f>
        <v>-0.40814094684321689</v>
      </c>
      <c r="AH8" s="11"/>
      <c r="AI8" s="11">
        <f>(Opti_Medias__30_INS_1[[#This Row],[All: Perfect Profit Correlation]]-AD$114) /ABS(AD$114)</f>
        <v>-3.1007603322920001E-2</v>
      </c>
      <c r="AJ8" s="11">
        <f>(Opti_Medias__30_INS_1[[#This Row],[All: Robustness Index]]-AE$114) /ABS(AE$114)</f>
        <v>-0.72278108394674245</v>
      </c>
      <c r="AK8" s="11">
        <f>SUM(Opti_Medias__30_INS_1[[#This Row],[VAR TS Index]:[VAR Robustness Index]])</f>
        <v>-1.3573817691626313</v>
      </c>
      <c r="AL8" s="11">
        <f>Opti_Medias__30_INS_1[[#This Row],[SUMA]]-Opti_Medias__30_INS_1[[#This Row],[VAR Robustness Index]]</f>
        <v>-0.63460068521588886</v>
      </c>
    </row>
    <row r="9" spans="1:38" x14ac:dyDescent="0.25">
      <c r="A9" s="73" t="s">
        <v>59</v>
      </c>
      <c r="B9" s="75">
        <v>23</v>
      </c>
      <c r="C9" s="75">
        <v>8</v>
      </c>
      <c r="D9" s="75">
        <v>338</v>
      </c>
      <c r="E9" s="76">
        <v>129190</v>
      </c>
      <c r="F9" s="76">
        <v>1585080</v>
      </c>
      <c r="G9" s="76">
        <v>-1455890</v>
      </c>
      <c r="H9" s="75">
        <v>3557</v>
      </c>
      <c r="I9" s="74">
        <v>33.989316840033737</v>
      </c>
      <c r="J9" s="75">
        <v>1209</v>
      </c>
      <c r="K9" s="75">
        <v>2336</v>
      </c>
      <c r="L9" s="77">
        <v>17090</v>
      </c>
      <c r="M9" s="77">
        <v>-5240</v>
      </c>
      <c r="N9" s="77">
        <v>1311.0670166015625</v>
      </c>
      <c r="O9" s="77">
        <v>-623.2406005859375</v>
      </c>
      <c r="P9" s="74">
        <v>2.103629024439305</v>
      </c>
      <c r="Q9" s="78">
        <v>36.319932527410742</v>
      </c>
      <c r="R9" s="75">
        <v>7</v>
      </c>
      <c r="S9" s="75">
        <v>12</v>
      </c>
      <c r="T9" s="75">
        <v>73</v>
      </c>
      <c r="U9" s="75">
        <v>25</v>
      </c>
      <c r="V9" s="77">
        <v>-33435</v>
      </c>
      <c r="W9" s="74">
        <v>1.088736099567962</v>
      </c>
      <c r="X9" s="75">
        <v>1</v>
      </c>
      <c r="Y9" s="77">
        <v>33435</v>
      </c>
      <c r="Z9" s="74">
        <v>386.3915059069837</v>
      </c>
      <c r="AA9" s="79">
        <v>4671.4733064154325</v>
      </c>
      <c r="AB9" s="74">
        <v>1.7787313950590531</v>
      </c>
      <c r="AC9" s="74">
        <v>1.137258909376615</v>
      </c>
      <c r="AD9" s="80">
        <v>112046.53910953953</v>
      </c>
      <c r="AE9" s="74">
        <v>207.36414162815015</v>
      </c>
      <c r="AF9" s="11">
        <f>(Opti_Medias__30_INS_1[[#This Row],[All: TS Index]]-AA$114) /ABS(AA$114)</f>
        <v>-0.1987744393520873</v>
      </c>
      <c r="AG9" s="11">
        <f>(Opti_Medias__30_INS_1[[#This Row],[All: Expectancy Score]]-AB$114) /ABS(AB$114)</f>
        <v>-0.22137355044408907</v>
      </c>
      <c r="AH9" s="11"/>
      <c r="AI9" s="11">
        <f>(Opti_Medias__30_INS_1[[#This Row],[All: Perfect Profit Correlation]]-AD$114) /ABS(AD$114)</f>
        <v>-0.23190580976195765</v>
      </c>
      <c r="AJ9" s="11">
        <f>(Opti_Medias__30_INS_1[[#This Row],[All: Robustness Index]]-AE$114) /ABS(AE$114)</f>
        <v>-0.75092349748916321</v>
      </c>
      <c r="AK9" s="11">
        <f>SUM(Opti_Medias__30_INS_1[[#This Row],[VAR TS Index]:[VAR Robustness Index]])</f>
        <v>-1.4029772970472973</v>
      </c>
      <c r="AL9" s="11">
        <f>Opti_Medias__30_INS_1[[#This Row],[SUMA]]-Opti_Medias__30_INS_1[[#This Row],[VAR Robustness Index]]</f>
        <v>-0.65205379955813414</v>
      </c>
    </row>
    <row r="10" spans="1:38" x14ac:dyDescent="0.25">
      <c r="A10" s="73" t="s">
        <v>60</v>
      </c>
      <c r="B10" s="35">
        <v>33</v>
      </c>
      <c r="C10" s="35">
        <v>2</v>
      </c>
      <c r="D10" s="35">
        <v>78</v>
      </c>
      <c r="E10" s="36">
        <v>125660</v>
      </c>
      <c r="F10" s="36">
        <v>1451420</v>
      </c>
      <c r="G10" s="36">
        <v>-1325760</v>
      </c>
      <c r="H10" s="35">
        <v>3379</v>
      </c>
      <c r="I10" s="37">
        <v>27.789286771234092</v>
      </c>
      <c r="J10" s="35">
        <v>939</v>
      </c>
      <c r="K10" s="35">
        <v>2432</v>
      </c>
      <c r="L10" s="38">
        <v>16320</v>
      </c>
      <c r="M10" s="38">
        <v>-4370</v>
      </c>
      <c r="N10" s="38">
        <v>1545.708251953125</v>
      </c>
      <c r="O10" s="38">
        <v>-545.131591796875</v>
      </c>
      <c r="P10" s="37">
        <v>2.8354772961481221</v>
      </c>
      <c r="Q10" s="39">
        <v>37.18851731281444</v>
      </c>
      <c r="R10" s="35">
        <v>7</v>
      </c>
      <c r="S10" s="35">
        <v>18</v>
      </c>
      <c r="T10" s="35">
        <v>98</v>
      </c>
      <c r="U10" s="35">
        <v>22</v>
      </c>
      <c r="V10" s="38">
        <v>-40645</v>
      </c>
      <c r="W10" s="37">
        <v>1.094783369538981</v>
      </c>
      <c r="X10" s="35">
        <v>1</v>
      </c>
      <c r="Y10" s="38">
        <v>40645</v>
      </c>
      <c r="Z10" s="37">
        <v>309.16471890761471</v>
      </c>
      <c r="AA10" s="40">
        <v>2903.0567105425021</v>
      </c>
      <c r="AB10" s="37">
        <v>2.284447691281938</v>
      </c>
      <c r="AC10" s="37">
        <v>1.0517803230668441</v>
      </c>
      <c r="AD10" s="41">
        <v>114590.49412688366</v>
      </c>
      <c r="AE10" s="37">
        <v>103.3358349495537</v>
      </c>
      <c r="AF10" s="11">
        <f>(Opti_Medias__30_INS_1[[#This Row],[All: TS Index]]-AA$114) /ABS(AA$114)</f>
        <v>-0.50208358521437935</v>
      </c>
      <c r="AG10" s="11">
        <f>(Opti_Medias__30_INS_1[[#This Row],[All: Expectancy Score]]-AB$114) /ABS(AB$114)</f>
        <v>0</v>
      </c>
      <c r="AH10" s="11"/>
      <c r="AI10" s="11">
        <f>(Opti_Medias__30_INS_1[[#This Row],[All: Perfect Profit Correlation]]-AD$114) /ABS(AD$114)</f>
        <v>-0.21446665381320798</v>
      </c>
      <c r="AJ10" s="11">
        <f>(Opti_Medias__30_INS_1[[#This Row],[All: Robustness Index]]-AE$114) /ABS(AE$114)</f>
        <v>-0.87587763172946842</v>
      </c>
      <c r="AK10" s="11">
        <f>SUM(Opti_Medias__30_INS_1[[#This Row],[VAR TS Index]:[VAR Robustness Index]])</f>
        <v>-1.5924278707570556</v>
      </c>
      <c r="AL10" s="11">
        <f>Opti_Medias__30_INS_1[[#This Row],[SUMA]]-Opti_Medias__30_INS_1[[#This Row],[VAR Robustness Index]]</f>
        <v>-0.71655023902758719</v>
      </c>
    </row>
    <row r="11" spans="1:38" x14ac:dyDescent="0.25">
      <c r="A11" s="73" t="s">
        <v>53</v>
      </c>
      <c r="B11" s="81">
        <v>18</v>
      </c>
      <c r="C11" s="81">
        <v>8</v>
      </c>
      <c r="D11" s="81">
        <v>333</v>
      </c>
      <c r="E11" s="82">
        <v>134730</v>
      </c>
      <c r="F11" s="82">
        <v>1629610</v>
      </c>
      <c r="G11" s="82">
        <v>-1494880</v>
      </c>
      <c r="H11" s="81">
        <v>3617</v>
      </c>
      <c r="I11" s="83">
        <v>34.227260160353886</v>
      </c>
      <c r="J11" s="81">
        <v>1238</v>
      </c>
      <c r="K11" s="81">
        <v>2364</v>
      </c>
      <c r="L11" s="84">
        <v>16840</v>
      </c>
      <c r="M11" s="84">
        <v>-5940</v>
      </c>
      <c r="N11" s="84">
        <v>1316.32470703125</v>
      </c>
      <c r="O11" s="84">
        <v>-632.3519287109375</v>
      </c>
      <c r="P11" s="83">
        <v>2.0816331021787269</v>
      </c>
      <c r="Q11" s="85">
        <v>37.249101465302736</v>
      </c>
      <c r="R11" s="81">
        <v>7</v>
      </c>
      <c r="S11" s="81">
        <v>15</v>
      </c>
      <c r="T11" s="81">
        <v>70</v>
      </c>
      <c r="U11" s="81">
        <v>25</v>
      </c>
      <c r="V11" s="84">
        <v>-37995</v>
      </c>
      <c r="W11" s="83">
        <v>1.0901276356630629</v>
      </c>
      <c r="X11" s="81">
        <v>1</v>
      </c>
      <c r="Y11" s="84">
        <v>37995</v>
      </c>
      <c r="Z11" s="83">
        <v>354.59928938018163</v>
      </c>
      <c r="AA11" s="86">
        <v>4389.9392025266479</v>
      </c>
      <c r="AB11" s="83">
        <v>1.221147322610115</v>
      </c>
      <c r="AC11" s="83">
        <v>1.1916039302796519</v>
      </c>
      <c r="AD11" s="87">
        <v>115406.92562985321</v>
      </c>
      <c r="AE11" s="83">
        <v>229.90745797251711</v>
      </c>
      <c r="AF11" s="11">
        <f>(Opti_Medias__30_INS_1[[#This Row],[All: TS Index]]-AA$114) /ABS(AA$114)</f>
        <v>-0.24706162958819886</v>
      </c>
      <c r="AG11" s="11">
        <f>(Opti_Medias__30_INS_1[[#This Row],[All: Expectancy Score]]-AB$114) /ABS(AB$114)</f>
        <v>-0.46545183447607968</v>
      </c>
      <c r="AH11" s="11"/>
      <c r="AI11" s="11">
        <f>(Opti_Medias__30_INS_1[[#This Row],[All: Perfect Profit Correlation]]-AD$114) /ABS(AD$114)</f>
        <v>-0.20886990536259173</v>
      </c>
      <c r="AJ11" s="11">
        <f>(Opti_Medias__30_INS_1[[#This Row],[All: Robustness Index]]-AE$114) /ABS(AE$114)</f>
        <v>-0.72384547741315963</v>
      </c>
      <c r="AK11" s="11">
        <f>SUM(Opti_Medias__30_INS_1[[#This Row],[VAR TS Index]:[VAR Robustness Index]])</f>
        <v>-1.64522884684003</v>
      </c>
      <c r="AL11" s="11">
        <f>Opti_Medias__30_INS_1[[#This Row],[SUMA]]-Opti_Medias__30_INS_1[[#This Row],[VAR Robustness Index]]</f>
        <v>-0.92138336942687038</v>
      </c>
    </row>
    <row r="12" spans="1:38" x14ac:dyDescent="0.25">
      <c r="A12" s="74" t="s">
        <v>50</v>
      </c>
      <c r="B12" s="75">
        <v>1</v>
      </c>
      <c r="C12" s="75">
        <v>8</v>
      </c>
      <c r="D12" s="75">
        <v>316</v>
      </c>
      <c r="E12" s="76">
        <v>161370</v>
      </c>
      <c r="F12" s="76">
        <v>1803250</v>
      </c>
      <c r="G12" s="76">
        <v>-1641880</v>
      </c>
      <c r="H12" s="75">
        <v>4021</v>
      </c>
      <c r="I12" s="74">
        <v>40.363093757771701</v>
      </c>
      <c r="J12" s="75">
        <v>1623</v>
      </c>
      <c r="K12" s="75">
        <v>2377</v>
      </c>
      <c r="L12" s="77">
        <v>18350</v>
      </c>
      <c r="M12" s="77">
        <v>-7200</v>
      </c>
      <c r="N12" s="77">
        <v>1111.059814453125</v>
      </c>
      <c r="O12" s="77">
        <v>-690.7362060546875</v>
      </c>
      <c r="P12" s="74">
        <v>1.608515385054478</v>
      </c>
      <c r="Q12" s="78">
        <v>40.13180800795822</v>
      </c>
      <c r="R12" s="75">
        <v>8</v>
      </c>
      <c r="S12" s="75">
        <v>11</v>
      </c>
      <c r="T12" s="75">
        <v>52</v>
      </c>
      <c r="U12" s="75">
        <v>26</v>
      </c>
      <c r="V12" s="77">
        <v>-60485</v>
      </c>
      <c r="W12" s="74">
        <v>1.098283674811801</v>
      </c>
      <c r="X12" s="75">
        <v>1</v>
      </c>
      <c r="Y12" s="77">
        <v>60485</v>
      </c>
      <c r="Z12" s="74">
        <v>266.7934198561627</v>
      </c>
      <c r="AA12" s="79">
        <v>4330.0572042655203</v>
      </c>
      <c r="AB12" s="74">
        <v>0.97769680072908405</v>
      </c>
      <c r="AC12" s="74">
        <v>1.5028580959915741</v>
      </c>
      <c r="AD12" s="80">
        <v>132193.34011299285</v>
      </c>
      <c r="AE12" s="74">
        <v>239.98805976852395</v>
      </c>
      <c r="AF12" s="11">
        <f>(Opti_Medias__30_INS_1[[#This Row],[All: TS Index]]-AA$114) /ABS(AA$114)</f>
        <v>-0.2573322625304012</v>
      </c>
      <c r="AG12" s="11">
        <f>(Opti_Medias__30_INS_1[[#This Row],[All: Expectancy Score]]-AB$114) /ABS(AB$114)</f>
        <v>-0.57202049122847687</v>
      </c>
      <c r="AH12" s="11"/>
      <c r="AI12" s="11">
        <f>(Opti_Medias__30_INS_1[[#This Row],[All: Perfect Profit Correlation]]-AD$114) /ABS(AD$114)</f>
        <v>-9.3796762167849851E-2</v>
      </c>
      <c r="AJ12" s="11">
        <f>(Opti_Medias__30_INS_1[[#This Row],[All: Robustness Index]]-AE$114) /ABS(AE$114)</f>
        <v>-0.71173711085161429</v>
      </c>
      <c r="AK12" s="11">
        <f>SUM(Opti_Medias__30_INS_1[[#This Row],[VAR TS Index]:[VAR Robustness Index]])</f>
        <v>-1.6348866267783422</v>
      </c>
      <c r="AL12" s="11">
        <f>Opti_Medias__30_INS_1[[#This Row],[SUMA]]-Opti_Medias__30_INS_1[[#This Row],[VAR Robustness Index]]</f>
        <v>-0.92314951592672789</v>
      </c>
    </row>
    <row r="13" spans="1:38" x14ac:dyDescent="0.25">
      <c r="A13" s="11"/>
      <c r="B13" s="89">
        <v>21</v>
      </c>
      <c r="C13" s="89">
        <v>8</v>
      </c>
      <c r="D13" s="89">
        <v>336</v>
      </c>
      <c r="E13" s="10">
        <v>127950</v>
      </c>
      <c r="F13" s="10">
        <v>1601000</v>
      </c>
      <c r="G13" s="10">
        <v>-1473050</v>
      </c>
      <c r="H13" s="89">
        <v>3559</v>
      </c>
      <c r="I13" s="11">
        <v>34.223096375386348</v>
      </c>
      <c r="J13" s="89">
        <v>1218</v>
      </c>
      <c r="K13" s="89">
        <v>2325</v>
      </c>
      <c r="L13" s="12">
        <v>17090</v>
      </c>
      <c r="M13" s="12">
        <v>-5240</v>
      </c>
      <c r="N13" s="12">
        <v>1314.449951171875</v>
      </c>
      <c r="O13" s="12">
        <v>-633.56988525390625</v>
      </c>
      <c r="P13" s="11">
        <v>2.0746723948931112</v>
      </c>
      <c r="Q13" s="13">
        <v>35.951109862320877</v>
      </c>
      <c r="R13" s="89">
        <v>7</v>
      </c>
      <c r="S13" s="89">
        <v>13</v>
      </c>
      <c r="T13" s="89">
        <v>73</v>
      </c>
      <c r="U13" s="89">
        <v>25</v>
      </c>
      <c r="V13" s="12">
        <v>-37865</v>
      </c>
      <c r="W13" s="11">
        <v>1.0868605953633621</v>
      </c>
      <c r="X13" s="89">
        <v>1</v>
      </c>
      <c r="Y13" s="12">
        <v>37865</v>
      </c>
      <c r="Z13" s="11">
        <v>337.91099960385583</v>
      </c>
      <c r="AA13" s="14">
        <v>4115.7559751749641</v>
      </c>
      <c r="AB13" s="11">
        <v>1.423133606090732</v>
      </c>
      <c r="AC13" s="11">
        <v>1.126255200607996</v>
      </c>
      <c r="AD13" s="15">
        <v>108402.88718674742</v>
      </c>
      <c r="AE13" s="11">
        <v>218.92971604857414</v>
      </c>
      <c r="AF13" s="11">
        <f>(Opti_Medias__30_INS_1[[#This Row],[All: TS Index]]-AA$114) /ABS(AA$114)</f>
        <v>-0.29408803767093633</v>
      </c>
      <c r="AG13" s="11">
        <f>(Opti_Medias__30_INS_1[[#This Row],[All: Expectancy Score]]-AB$114) /ABS(AB$114)</f>
        <v>-0.37703383994223655</v>
      </c>
      <c r="AH13" s="11"/>
      <c r="AI13" s="11">
        <f>(Opti_Medias__30_INS_1[[#This Row],[All: Perfect Profit Correlation]]-AD$114) /ABS(AD$114)</f>
        <v>-0.2568835368331191</v>
      </c>
      <c r="AJ13" s="11">
        <f>(Opti_Medias__30_INS_1[[#This Row],[All: Robustness Index]]-AE$114) /ABS(AE$114)</f>
        <v>-0.73703144844177404</v>
      </c>
      <c r="AK13" s="11">
        <f>SUM(Opti_Medias__30_INS_1[[#This Row],[VAR TS Index]:[VAR Robustness Index]])</f>
        <v>-1.6650368628880661</v>
      </c>
      <c r="AL13" s="11">
        <f>Opti_Medias__30_INS_1[[#This Row],[SUMA]]-Opti_Medias__30_INS_1[[#This Row],[VAR Robustness Index]]</f>
        <v>-0.92800541444629203</v>
      </c>
    </row>
    <row r="14" spans="1:38" x14ac:dyDescent="0.25">
      <c r="A14" s="11"/>
      <c r="B14" s="89">
        <v>35</v>
      </c>
      <c r="C14" s="89">
        <v>8</v>
      </c>
      <c r="D14" s="89">
        <v>350</v>
      </c>
      <c r="E14" s="10">
        <v>126780</v>
      </c>
      <c r="F14" s="10">
        <v>1656460</v>
      </c>
      <c r="G14" s="10">
        <v>-1529680</v>
      </c>
      <c r="H14" s="89">
        <v>4053</v>
      </c>
      <c r="I14" s="11">
        <v>30.9153713298791</v>
      </c>
      <c r="J14" s="89">
        <v>1253</v>
      </c>
      <c r="K14" s="89">
        <v>2781</v>
      </c>
      <c r="L14" s="12">
        <v>18070</v>
      </c>
      <c r="M14" s="12">
        <v>-4300</v>
      </c>
      <c r="N14" s="12">
        <v>1321.9952392578125</v>
      </c>
      <c r="O14" s="12">
        <v>-550.0467529296875</v>
      </c>
      <c r="P14" s="11">
        <v>2.403423403949815</v>
      </c>
      <c r="Q14" s="13">
        <v>31.280532938564026</v>
      </c>
      <c r="R14" s="89">
        <v>7</v>
      </c>
      <c r="S14" s="89">
        <v>18</v>
      </c>
      <c r="T14" s="89">
        <v>72</v>
      </c>
      <c r="U14" s="89">
        <v>20</v>
      </c>
      <c r="V14" s="12">
        <v>-37905</v>
      </c>
      <c r="W14" s="11">
        <v>1.0828800794937501</v>
      </c>
      <c r="X14" s="89">
        <v>1</v>
      </c>
      <c r="Y14" s="12">
        <v>37905</v>
      </c>
      <c r="Z14" s="11">
        <v>334.46774831816384</v>
      </c>
      <c r="AA14" s="14">
        <v>4190.880886426593</v>
      </c>
      <c r="AB14" s="11">
        <v>1.435137598815678</v>
      </c>
      <c r="AC14" s="11">
        <v>1.0899117543709671</v>
      </c>
      <c r="AD14" s="15">
        <v>104006.21704131924</v>
      </c>
      <c r="AE14" s="11">
        <v>110.44745650272236</v>
      </c>
      <c r="AF14" s="11">
        <f>(Opti_Medias__30_INS_1[[#This Row],[All: TS Index]]-AA$114) /ABS(AA$114)</f>
        <v>-0.28120302363188615</v>
      </c>
      <c r="AG14" s="11">
        <f>(Opti_Medias__30_INS_1[[#This Row],[All: Expectancy Score]]-AB$114) /ABS(AB$114)</f>
        <v>-0.37177918133448795</v>
      </c>
      <c r="AH14" s="11"/>
      <c r="AI14" s="11">
        <f>(Opti_Medias__30_INS_1[[#This Row],[All: Perfect Profit Correlation]]-AD$114) /ABS(AD$114)</f>
        <v>-0.28702330573570822</v>
      </c>
      <c r="AJ14" s="11">
        <f>(Opti_Medias__30_INS_1[[#This Row],[All: Robustness Index]]-AE$114) /ABS(AE$114)</f>
        <v>-0.8673354710177078</v>
      </c>
      <c r="AK14" s="11">
        <f>SUM(Opti_Medias__30_INS_1[[#This Row],[VAR TS Index]:[VAR Robustness Index]])</f>
        <v>-1.8073409817197901</v>
      </c>
      <c r="AL14" s="11">
        <f>Opti_Medias__30_INS_1[[#This Row],[SUMA]]-Opti_Medias__30_INS_1[[#This Row],[VAR Robustness Index]]</f>
        <v>-0.94000551070208227</v>
      </c>
    </row>
    <row r="15" spans="1:38" x14ac:dyDescent="0.25">
      <c r="A15" s="11"/>
      <c r="B15" s="89">
        <v>3</v>
      </c>
      <c r="C15" s="89">
        <v>8</v>
      </c>
      <c r="D15" s="89">
        <v>318</v>
      </c>
      <c r="E15" s="10">
        <v>152160</v>
      </c>
      <c r="F15" s="10">
        <v>1788940</v>
      </c>
      <c r="G15" s="10">
        <v>-1636780</v>
      </c>
      <c r="H15" s="89">
        <v>4059</v>
      </c>
      <c r="I15" s="11">
        <v>38.654841093865485</v>
      </c>
      <c r="J15" s="89">
        <v>1569</v>
      </c>
      <c r="K15" s="89">
        <v>2470</v>
      </c>
      <c r="L15" s="12">
        <v>18060</v>
      </c>
      <c r="M15" s="12">
        <v>-6470</v>
      </c>
      <c r="N15" s="12">
        <v>1140.178466796875</v>
      </c>
      <c r="O15" s="12">
        <v>-662.6639404296875</v>
      </c>
      <c r="P15" s="11">
        <v>1.720598326291235</v>
      </c>
      <c r="Q15" s="13">
        <v>37.487065779748704</v>
      </c>
      <c r="R15" s="89">
        <v>9</v>
      </c>
      <c r="S15" s="89">
        <v>16</v>
      </c>
      <c r="T15" s="89">
        <v>54</v>
      </c>
      <c r="U15" s="89">
        <v>25</v>
      </c>
      <c r="V15" s="12">
        <v>-53635</v>
      </c>
      <c r="W15" s="11">
        <v>1.0929630127445349</v>
      </c>
      <c r="X15" s="89">
        <v>1</v>
      </c>
      <c r="Y15" s="12">
        <v>53635</v>
      </c>
      <c r="Z15" s="11">
        <v>283.69534818681831</v>
      </c>
      <c r="AA15" s="14">
        <v>4451.1800130511792</v>
      </c>
      <c r="AB15" s="11">
        <v>0.93805000184448895</v>
      </c>
      <c r="AC15" s="11">
        <v>1.3993064108280511</v>
      </c>
      <c r="AD15" s="15">
        <v>125843.54769914363</v>
      </c>
      <c r="AE15" s="11">
        <v>223.53755365687661</v>
      </c>
      <c r="AF15" s="11">
        <f>(Opti_Medias__30_INS_1[[#This Row],[All: TS Index]]-AA$114) /ABS(AA$114)</f>
        <v>-0.23655794059576377</v>
      </c>
      <c r="AG15" s="11">
        <f>(Opti_Medias__30_INS_1[[#This Row],[All: Expectancy Score]]-AB$114) /ABS(AB$114)</f>
        <v>-0.58937558280527136</v>
      </c>
      <c r="AH15" s="11"/>
      <c r="AI15" s="11">
        <f>(Opti_Medias__30_INS_1[[#This Row],[All: Perfect Profit Correlation]]-AD$114) /ABS(AD$114)</f>
        <v>-0.13732544856062698</v>
      </c>
      <c r="AJ15" s="11">
        <f>(Opti_Medias__30_INS_1[[#This Row],[All: Robustness Index]]-AE$114) /ABS(AE$114)</f>
        <v>-0.73149672065999605</v>
      </c>
      <c r="AK15" s="11">
        <f>SUM(Opti_Medias__30_INS_1[[#This Row],[VAR TS Index]:[VAR Robustness Index]])</f>
        <v>-1.694755692621658</v>
      </c>
      <c r="AL15" s="11">
        <f>Opti_Medias__30_INS_1[[#This Row],[SUMA]]-Opti_Medias__30_INS_1[[#This Row],[VAR Robustness Index]]</f>
        <v>-0.96325897196166199</v>
      </c>
    </row>
    <row r="16" spans="1:38" x14ac:dyDescent="0.25">
      <c r="A16" s="11"/>
      <c r="B16" s="89">
        <v>36</v>
      </c>
      <c r="C16" s="89">
        <v>8</v>
      </c>
      <c r="D16" s="89">
        <v>351</v>
      </c>
      <c r="E16" s="10">
        <v>117640</v>
      </c>
      <c r="F16" s="10">
        <v>1668320</v>
      </c>
      <c r="G16" s="10">
        <v>-1550680</v>
      </c>
      <c r="H16" s="89">
        <v>4187</v>
      </c>
      <c r="I16" s="11">
        <v>30.40363028421304</v>
      </c>
      <c r="J16" s="89">
        <v>1273</v>
      </c>
      <c r="K16" s="89">
        <v>2900</v>
      </c>
      <c r="L16" s="12">
        <v>18070</v>
      </c>
      <c r="M16" s="12">
        <v>-4490</v>
      </c>
      <c r="N16" s="12">
        <v>1310.5419921875</v>
      </c>
      <c r="O16" s="12">
        <v>-534.71722412109375</v>
      </c>
      <c r="P16" s="11">
        <v>2.4509066345143768</v>
      </c>
      <c r="Q16" s="13">
        <v>28.096489133030811</v>
      </c>
      <c r="R16" s="89">
        <v>7</v>
      </c>
      <c r="S16" s="89">
        <v>21</v>
      </c>
      <c r="T16" s="89">
        <v>71</v>
      </c>
      <c r="U16" s="89">
        <v>20</v>
      </c>
      <c r="V16" s="12">
        <v>-36055</v>
      </c>
      <c r="W16" s="11">
        <v>1.0758634921453809</v>
      </c>
      <c r="X16" s="89">
        <v>1</v>
      </c>
      <c r="Y16" s="12">
        <v>36055</v>
      </c>
      <c r="Z16" s="11">
        <v>326.27929552073221</v>
      </c>
      <c r="AA16" s="14">
        <v>4153.5354319789212</v>
      </c>
      <c r="AB16" s="11">
        <v>1.560000474055049</v>
      </c>
      <c r="AC16" s="11">
        <v>0.99676411191184999</v>
      </c>
      <c r="AD16" s="15">
        <v>92916.370719745828</v>
      </c>
      <c r="AE16" s="11">
        <v>86.975597612054173</v>
      </c>
      <c r="AF16" s="11">
        <f>(Opti_Medias__30_INS_1[[#This Row],[All: TS Index]]-AA$114) /ABS(AA$114)</f>
        <v>-0.28760831179577101</v>
      </c>
      <c r="AG16" s="11">
        <f>(Opti_Medias__30_INS_1[[#This Row],[All: Expectancy Score]]-AB$114) /ABS(AB$114)</f>
        <v>-0.31712138561612635</v>
      </c>
      <c r="AH16" s="11"/>
      <c r="AI16" s="11">
        <f>(Opti_Medias__30_INS_1[[#This Row],[All: Perfect Profit Correlation]]-AD$114) /ABS(AD$114)</f>
        <v>-0.36304570319597962</v>
      </c>
      <c r="AJ16" s="11">
        <f>(Opti_Medias__30_INS_1[[#This Row],[All: Robustness Index]]-AE$114) /ABS(AE$114)</f>
        <v>-0.89552881473669677</v>
      </c>
      <c r="AK16" s="11">
        <f>SUM(Opti_Medias__30_INS_1[[#This Row],[VAR TS Index]:[VAR Robustness Index]])</f>
        <v>-1.8633042153445738</v>
      </c>
      <c r="AL16" s="11">
        <f>Opti_Medias__30_INS_1[[#This Row],[SUMA]]-Opti_Medias__30_INS_1[[#This Row],[VAR Robustness Index]]</f>
        <v>-0.96777540060787703</v>
      </c>
    </row>
    <row r="17" spans="1:38" x14ac:dyDescent="0.25">
      <c r="A17" s="11"/>
      <c r="B17" s="89">
        <v>26</v>
      </c>
      <c r="C17" s="89">
        <v>11</v>
      </c>
      <c r="D17" s="89">
        <v>476</v>
      </c>
      <c r="E17" s="10">
        <v>152400</v>
      </c>
      <c r="F17" s="10">
        <v>1660160</v>
      </c>
      <c r="G17" s="10">
        <v>-1507760</v>
      </c>
      <c r="H17" s="89">
        <v>3715</v>
      </c>
      <c r="I17" s="11">
        <v>39.434724091520863</v>
      </c>
      <c r="J17" s="89">
        <v>1465</v>
      </c>
      <c r="K17" s="89">
        <v>2227</v>
      </c>
      <c r="L17" s="12">
        <v>17650</v>
      </c>
      <c r="M17" s="12">
        <v>-4670</v>
      </c>
      <c r="N17" s="12">
        <v>1133.2149658203125</v>
      </c>
      <c r="O17" s="12">
        <v>-677.036376953125</v>
      </c>
      <c r="P17" s="11">
        <v>1.673787412901111</v>
      </c>
      <c r="Q17" s="13">
        <v>41.0228802153432</v>
      </c>
      <c r="R17" s="89">
        <v>7</v>
      </c>
      <c r="S17" s="89">
        <v>16</v>
      </c>
      <c r="T17" s="89">
        <v>61</v>
      </c>
      <c r="U17" s="89">
        <v>26</v>
      </c>
      <c r="V17" s="12">
        <v>-45275</v>
      </c>
      <c r="W17" s="11">
        <v>1.1010770944977979</v>
      </c>
      <c r="X17" s="89">
        <v>1</v>
      </c>
      <c r="Y17" s="12">
        <v>45275</v>
      </c>
      <c r="Z17" s="11">
        <v>336.60960795140807</v>
      </c>
      <c r="AA17" s="14">
        <v>4931.3307564881279</v>
      </c>
      <c r="AB17" s="11">
        <v>0.61642222928295898</v>
      </c>
      <c r="AC17" s="11">
        <v>1.409759260905888</v>
      </c>
      <c r="AD17" s="15">
        <v>132697.45489513109</v>
      </c>
      <c r="AE17" s="11">
        <v>58.900646125626096</v>
      </c>
      <c r="AF17" s="11">
        <f>(Opti_Medias__30_INS_1[[#This Row],[All: TS Index]]-AA$114) /ABS(AA$114)</f>
        <v>-0.15420511026331762</v>
      </c>
      <c r="AG17" s="11">
        <f>(Opti_Medias__30_INS_1[[#This Row],[All: Expectancy Score]]-AB$114) /ABS(AB$114)</f>
        <v>-0.73016575006930973</v>
      </c>
      <c r="AH17" s="11"/>
      <c r="AI17" s="11">
        <f>(Opti_Medias__30_INS_1[[#This Row],[All: Perfect Profit Correlation]]-AD$114) /ABS(AD$114)</f>
        <v>-9.0340987108211909E-2</v>
      </c>
      <c r="AJ17" s="11">
        <f>(Opti_Medias__30_INS_1[[#This Row],[All: Robustness Index]]-AE$114) /ABS(AE$114)</f>
        <v>-0.9292511867413058</v>
      </c>
      <c r="AK17" s="11">
        <f>SUM(Opti_Medias__30_INS_1[[#This Row],[VAR TS Index]:[VAR Robustness Index]])</f>
        <v>-1.9039630341821452</v>
      </c>
      <c r="AL17" s="11">
        <f>Opti_Medias__30_INS_1[[#This Row],[SUMA]]-Opti_Medias__30_INS_1[[#This Row],[VAR Robustness Index]]</f>
        <v>-0.97471184744083939</v>
      </c>
    </row>
    <row r="18" spans="1:38" x14ac:dyDescent="0.25">
      <c r="A18" s="11"/>
      <c r="B18" s="89">
        <v>16</v>
      </c>
      <c r="C18" s="89">
        <v>8</v>
      </c>
      <c r="D18" s="89">
        <v>331</v>
      </c>
      <c r="E18" s="10">
        <v>135620</v>
      </c>
      <c r="F18" s="10">
        <v>1642900</v>
      </c>
      <c r="G18" s="10">
        <v>-1507280</v>
      </c>
      <c r="H18" s="89">
        <v>3643</v>
      </c>
      <c r="I18" s="11">
        <v>34.696678561625035</v>
      </c>
      <c r="J18" s="89">
        <v>1264</v>
      </c>
      <c r="K18" s="89">
        <v>2364</v>
      </c>
      <c r="L18" s="12">
        <v>16640</v>
      </c>
      <c r="M18" s="12">
        <v>-6600</v>
      </c>
      <c r="N18" s="12">
        <v>1299.7626953125</v>
      </c>
      <c r="O18" s="12">
        <v>-637.5972900390625</v>
      </c>
      <c r="P18" s="11">
        <v>2.0385323394848021</v>
      </c>
      <c r="Q18" s="13">
        <v>37.22755970354104</v>
      </c>
      <c r="R18" s="89">
        <v>6</v>
      </c>
      <c r="S18" s="89">
        <v>17</v>
      </c>
      <c r="T18" s="89">
        <v>68</v>
      </c>
      <c r="U18" s="89">
        <v>25</v>
      </c>
      <c r="V18" s="12">
        <v>-37125</v>
      </c>
      <c r="W18" s="11">
        <v>1.0899766466748051</v>
      </c>
      <c r="X18" s="89">
        <v>1</v>
      </c>
      <c r="Y18" s="12">
        <v>37125</v>
      </c>
      <c r="Z18" s="11">
        <v>365.30639730639729</v>
      </c>
      <c r="AA18" s="14">
        <v>4617.4728619528623</v>
      </c>
      <c r="AB18" s="11">
        <v>0.98925537192426205</v>
      </c>
      <c r="AC18" s="11">
        <v>1.204104343990323</v>
      </c>
      <c r="AD18" s="15">
        <v>113489.18123021685</v>
      </c>
      <c r="AE18" s="11">
        <v>210.38488243290172</v>
      </c>
      <c r="AF18" s="11">
        <f>(Opti_Medias__30_INS_1[[#This Row],[All: TS Index]]-AA$114) /ABS(AA$114)</f>
        <v>-0.20803630034363793</v>
      </c>
      <c r="AG18" s="11">
        <f>(Opti_Medias__30_INS_1[[#This Row],[All: Expectancy Score]]-AB$114) /ABS(AB$114)</f>
        <v>-0.5669608125852369</v>
      </c>
      <c r="AH18" s="11"/>
      <c r="AI18" s="11">
        <f>(Opti_Medias__30_INS_1[[#This Row],[All: Perfect Profit Correlation]]-AD$114) /ABS(AD$114)</f>
        <v>-0.22201630277413675</v>
      </c>
      <c r="AJ18" s="11">
        <f>(Opti_Medias__30_INS_1[[#This Row],[All: Robustness Index]]-AE$114) /ABS(AE$114)</f>
        <v>-0.74729511917490055</v>
      </c>
      <c r="AK18" s="11">
        <f>SUM(Opti_Medias__30_INS_1[[#This Row],[VAR TS Index]:[VAR Robustness Index]])</f>
        <v>-1.7443085348779122</v>
      </c>
      <c r="AL18" s="11">
        <f>Opti_Medias__30_INS_1[[#This Row],[SUMA]]-Opti_Medias__30_INS_1[[#This Row],[VAR Robustness Index]]</f>
        <v>-0.99701341570301161</v>
      </c>
    </row>
    <row r="19" spans="1:38" x14ac:dyDescent="0.25">
      <c r="A19" s="11"/>
      <c r="B19" s="89">
        <v>31</v>
      </c>
      <c r="C19" s="89">
        <v>11</v>
      </c>
      <c r="D19" s="89">
        <v>481</v>
      </c>
      <c r="E19" s="10">
        <v>153980</v>
      </c>
      <c r="F19" s="10">
        <v>1633700</v>
      </c>
      <c r="G19" s="10">
        <v>-1479720</v>
      </c>
      <c r="H19" s="89">
        <v>3779</v>
      </c>
      <c r="I19" s="11">
        <v>37.417306165652292</v>
      </c>
      <c r="J19" s="89">
        <v>1414</v>
      </c>
      <c r="K19" s="89">
        <v>2352</v>
      </c>
      <c r="L19" s="12">
        <v>18210</v>
      </c>
      <c r="M19" s="12">
        <v>-4670</v>
      </c>
      <c r="N19" s="12">
        <v>1155.3748779296875</v>
      </c>
      <c r="O19" s="12">
        <v>-629.13262939453125</v>
      </c>
      <c r="P19" s="11">
        <v>1.836456772305078</v>
      </c>
      <c r="Q19" s="13">
        <v>40.746229161153742</v>
      </c>
      <c r="R19" s="89">
        <v>8</v>
      </c>
      <c r="S19" s="89">
        <v>13</v>
      </c>
      <c r="T19" s="89">
        <v>64</v>
      </c>
      <c r="U19" s="89">
        <v>24</v>
      </c>
      <c r="V19" s="12">
        <v>-45525</v>
      </c>
      <c r="W19" s="11">
        <v>1.1040602276106291</v>
      </c>
      <c r="X19" s="89">
        <v>1</v>
      </c>
      <c r="Y19" s="12">
        <v>45525</v>
      </c>
      <c r="Z19" s="11">
        <v>338.23174080175727</v>
      </c>
      <c r="AA19" s="14">
        <v>4782.5968149368482</v>
      </c>
      <c r="AB19" s="11">
        <v>0.63907223026615401</v>
      </c>
      <c r="AC19" s="11">
        <v>1.410455315923032</v>
      </c>
      <c r="AD19" s="15">
        <v>130324.24709809858</v>
      </c>
      <c r="AE19" s="11">
        <v>160.97769546496014</v>
      </c>
      <c r="AF19" s="11">
        <f>(Opti_Medias__30_INS_1[[#This Row],[All: TS Index]]-AA$114) /ABS(AA$114)</f>
        <v>-0.17971514272848019</v>
      </c>
      <c r="AG19" s="11">
        <f>(Opti_Medias__30_INS_1[[#This Row],[All: Expectancy Score]]-AB$114) /ABS(AB$114)</f>
        <v>-0.72025088046225605</v>
      </c>
      <c r="AH19" s="11"/>
      <c r="AI19" s="11">
        <f>(Opti_Medias__30_INS_1[[#This Row],[All: Perfect Profit Correlation]]-AD$114) /ABS(AD$114)</f>
        <v>-0.10660964775239502</v>
      </c>
      <c r="AJ19" s="11">
        <f>(Opti_Medias__30_INS_1[[#This Row],[All: Robustness Index]]-AE$114) /ABS(AE$114)</f>
        <v>-0.80664081526415765</v>
      </c>
      <c r="AK19" s="11">
        <f>SUM(Opti_Medias__30_INS_1[[#This Row],[VAR TS Index]:[VAR Robustness Index]])</f>
        <v>-1.8132164862072888</v>
      </c>
      <c r="AL19" s="11">
        <f>Opti_Medias__30_INS_1[[#This Row],[SUMA]]-Opti_Medias__30_INS_1[[#This Row],[VAR Robustness Index]]</f>
        <v>-1.0065756709431311</v>
      </c>
    </row>
    <row r="20" spans="1:38" x14ac:dyDescent="0.25">
      <c r="A20" s="11"/>
      <c r="B20" s="89">
        <v>14</v>
      </c>
      <c r="C20" s="89">
        <v>8</v>
      </c>
      <c r="D20" s="89">
        <v>329</v>
      </c>
      <c r="E20" s="10">
        <v>128140</v>
      </c>
      <c r="F20" s="10">
        <v>1660060</v>
      </c>
      <c r="G20" s="10">
        <v>-1531920</v>
      </c>
      <c r="H20" s="89">
        <v>3745</v>
      </c>
      <c r="I20" s="11">
        <v>35.620827770360478</v>
      </c>
      <c r="J20" s="89">
        <v>1334</v>
      </c>
      <c r="K20" s="89">
        <v>2400</v>
      </c>
      <c r="L20" s="12">
        <v>17820</v>
      </c>
      <c r="M20" s="12">
        <v>-6600</v>
      </c>
      <c r="N20" s="12">
        <v>1244.4227294921875</v>
      </c>
      <c r="O20" s="12">
        <v>-638.29998779296875</v>
      </c>
      <c r="P20" s="11">
        <v>1.9495891481918901</v>
      </c>
      <c r="Q20" s="13">
        <v>34.216288384512687</v>
      </c>
      <c r="R20" s="89">
        <v>7</v>
      </c>
      <c r="S20" s="89">
        <v>21</v>
      </c>
      <c r="T20" s="89">
        <v>65</v>
      </c>
      <c r="U20" s="89">
        <v>25</v>
      </c>
      <c r="V20" s="12">
        <v>-41945</v>
      </c>
      <c r="W20" s="11">
        <v>1.0836466656222259</v>
      </c>
      <c r="X20" s="89">
        <v>1</v>
      </c>
      <c r="Y20" s="12">
        <v>41945</v>
      </c>
      <c r="Z20" s="11">
        <v>305.49529145309333</v>
      </c>
      <c r="AA20" s="14">
        <v>4075.3071879842651</v>
      </c>
      <c r="AB20" s="11">
        <v>1.288718299251308</v>
      </c>
      <c r="AC20" s="11">
        <v>1.139589320092842</v>
      </c>
      <c r="AD20" s="15">
        <v>103056.11736901503</v>
      </c>
      <c r="AE20" s="11">
        <v>189.67019521105792</v>
      </c>
      <c r="AF20" s="11">
        <f>(Opti_Medias__30_INS_1[[#This Row],[All: TS Index]]-AA$114) /ABS(AA$114)</f>
        <v>-0.30102559249970706</v>
      </c>
      <c r="AG20" s="11">
        <f>(Opti_Medias__30_INS_1[[#This Row],[All: Expectancy Score]]-AB$114) /ABS(AB$114)</f>
        <v>-0.43587314160468593</v>
      </c>
      <c r="AH20" s="11"/>
      <c r="AI20" s="11">
        <f>(Opti_Medias__30_INS_1[[#This Row],[All: Perfect Profit Correlation]]-AD$114) /ABS(AD$114)</f>
        <v>-0.29353636757807794</v>
      </c>
      <c r="AJ20" s="11">
        <f>(Opti_Medias__30_INS_1[[#This Row],[All: Robustness Index]]-AE$114) /ABS(AE$114)</f>
        <v>-0.77217667199937567</v>
      </c>
      <c r="AK20" s="11">
        <f>SUM(Opti_Medias__30_INS_1[[#This Row],[VAR TS Index]:[VAR Robustness Index]])</f>
        <v>-1.8026117736818466</v>
      </c>
      <c r="AL20" s="11">
        <f>Opti_Medias__30_INS_1[[#This Row],[SUMA]]-Opti_Medias__30_INS_1[[#This Row],[VAR Robustness Index]]</f>
        <v>-1.0304351016824709</v>
      </c>
    </row>
    <row r="21" spans="1:38" x14ac:dyDescent="0.25">
      <c r="A21" s="11"/>
      <c r="B21" s="89">
        <v>35</v>
      </c>
      <c r="C21" s="89">
        <v>2</v>
      </c>
      <c r="D21" s="89">
        <v>80</v>
      </c>
      <c r="E21" s="10">
        <v>101320</v>
      </c>
      <c r="F21" s="10">
        <v>1490130</v>
      </c>
      <c r="G21" s="10">
        <v>-1388810</v>
      </c>
      <c r="H21" s="89">
        <v>3683</v>
      </c>
      <c r="I21" s="11">
        <v>27.178930219929406</v>
      </c>
      <c r="J21" s="89">
        <v>1001</v>
      </c>
      <c r="K21" s="89">
        <v>2667</v>
      </c>
      <c r="L21" s="12">
        <v>16700</v>
      </c>
      <c r="M21" s="12">
        <v>-4450</v>
      </c>
      <c r="N21" s="12">
        <v>1488.641357421875</v>
      </c>
      <c r="O21" s="12">
        <v>-520.7386474609375</v>
      </c>
      <c r="P21" s="11">
        <v>2.8587111109965071</v>
      </c>
      <c r="Q21" s="13">
        <v>27.51018191691556</v>
      </c>
      <c r="R21" s="89">
        <v>5</v>
      </c>
      <c r="S21" s="89">
        <v>22</v>
      </c>
      <c r="T21" s="89">
        <v>93</v>
      </c>
      <c r="U21" s="89">
        <v>20</v>
      </c>
      <c r="V21" s="12">
        <v>-45765</v>
      </c>
      <c r="W21" s="11">
        <v>1.072954543818089</v>
      </c>
      <c r="X21" s="89">
        <v>1</v>
      </c>
      <c r="Y21" s="12">
        <v>45765</v>
      </c>
      <c r="Z21" s="11">
        <v>221.39189336829455</v>
      </c>
      <c r="AA21" s="14">
        <v>2216.1328526166285</v>
      </c>
      <c r="AB21" s="11">
        <v>2.217603345955204</v>
      </c>
      <c r="AC21" s="11">
        <v>0.81114004546449503</v>
      </c>
      <c r="AD21" s="15">
        <v>87139.523137311815</v>
      </c>
      <c r="AE21" s="11">
        <v>141.74760045499752</v>
      </c>
      <c r="AF21" s="11">
        <f>(Opti_Medias__30_INS_1[[#This Row],[All: TS Index]]-AA$114) /ABS(AA$114)</f>
        <v>-0.61990100963019168</v>
      </c>
      <c r="AG21" s="11">
        <f>(Opti_Medias__30_INS_1[[#This Row],[All: Expectancy Score]]-AB$114) /ABS(AB$114)</f>
        <v>-2.9260615413445386E-2</v>
      </c>
      <c r="AH21" s="11"/>
      <c r="AI21" s="11">
        <f>(Opti_Medias__30_INS_1[[#This Row],[All: Perfect Profit Correlation]]-AD$114) /ABS(AD$114)</f>
        <v>-0.40264677522570436</v>
      </c>
      <c r="AJ21" s="11">
        <f>(Opti_Medias__30_INS_1[[#This Row],[All: Robustness Index]]-AE$114) /ABS(AE$114)</f>
        <v>-0.82973914253725822</v>
      </c>
      <c r="AK21" s="11">
        <f>SUM(Opti_Medias__30_INS_1[[#This Row],[VAR TS Index]:[VAR Robustness Index]])</f>
        <v>-1.8815475428065997</v>
      </c>
      <c r="AL21" s="11">
        <f>Opti_Medias__30_INS_1[[#This Row],[SUMA]]-Opti_Medias__30_INS_1[[#This Row],[VAR Robustness Index]]</f>
        <v>-1.0518084002693415</v>
      </c>
    </row>
    <row r="22" spans="1:38" x14ac:dyDescent="0.25">
      <c r="A22" s="11"/>
      <c r="B22" s="89">
        <v>32</v>
      </c>
      <c r="C22" s="89">
        <v>8</v>
      </c>
      <c r="D22" s="89">
        <v>347</v>
      </c>
      <c r="E22" s="10">
        <v>131310</v>
      </c>
      <c r="F22" s="10">
        <v>1625130</v>
      </c>
      <c r="G22" s="10">
        <v>-1493820</v>
      </c>
      <c r="H22" s="89">
        <v>3813</v>
      </c>
      <c r="I22" s="11">
        <v>32.100708103855233</v>
      </c>
      <c r="J22" s="89">
        <v>1224</v>
      </c>
      <c r="K22" s="89">
        <v>2576</v>
      </c>
      <c r="L22" s="12">
        <v>16890</v>
      </c>
      <c r="M22" s="12">
        <v>-5350</v>
      </c>
      <c r="N22" s="12">
        <v>1327.7205810546875</v>
      </c>
      <c r="O22" s="12">
        <v>-579.8990478515625</v>
      </c>
      <c r="P22" s="11">
        <v>2.2895719280341811</v>
      </c>
      <c r="Q22" s="13">
        <v>34.437450826121164</v>
      </c>
      <c r="R22" s="89">
        <v>7</v>
      </c>
      <c r="S22" s="89">
        <v>17</v>
      </c>
      <c r="T22" s="89">
        <v>74</v>
      </c>
      <c r="U22" s="89">
        <v>22</v>
      </c>
      <c r="V22" s="12">
        <v>-34285</v>
      </c>
      <c r="W22" s="11">
        <v>1.087902156886372</v>
      </c>
      <c r="X22" s="89">
        <v>1</v>
      </c>
      <c r="Y22" s="12">
        <v>34285</v>
      </c>
      <c r="Z22" s="11">
        <v>382.99547907248069</v>
      </c>
      <c r="AA22" s="14">
        <v>4687.8646638471637</v>
      </c>
      <c r="AB22" s="11">
        <v>0.82700765312677305</v>
      </c>
      <c r="AC22" s="11">
        <v>1.142911278974279</v>
      </c>
      <c r="AD22" s="15">
        <v>110956.47052801435</v>
      </c>
      <c r="AE22" s="11">
        <v>141.16410330126342</v>
      </c>
      <c r="AF22" s="11">
        <f>(Opti_Medias__30_INS_1[[#This Row],[All: TS Index]]-AA$114) /ABS(AA$114)</f>
        <v>-0.19596308334369844</v>
      </c>
      <c r="AG22" s="11">
        <f>(Opti_Medias__30_INS_1[[#This Row],[All: Expectancy Score]]-AB$114) /ABS(AB$114)</f>
        <v>-0.63798354574593452</v>
      </c>
      <c r="AH22" s="11"/>
      <c r="AI22" s="11">
        <f>(Opti_Medias__30_INS_1[[#This Row],[All: Perfect Profit Correlation]]-AD$114) /ABS(AD$114)</f>
        <v>-0.23937837742075854</v>
      </c>
      <c r="AJ22" s="11">
        <f>(Opti_Medias__30_INS_1[[#This Row],[All: Robustness Index]]-AE$114) /ABS(AE$114)</f>
        <v>-0.83044001313685178</v>
      </c>
      <c r="AK22" s="11">
        <f>SUM(Opti_Medias__30_INS_1[[#This Row],[VAR TS Index]:[VAR Robustness Index]])</f>
        <v>-1.9037650196472433</v>
      </c>
      <c r="AL22" s="11">
        <f>Opti_Medias__30_INS_1[[#This Row],[SUMA]]-Opti_Medias__30_INS_1[[#This Row],[VAR Robustness Index]]</f>
        <v>-1.0733250065103914</v>
      </c>
    </row>
    <row r="23" spans="1:38" x14ac:dyDescent="0.25">
      <c r="A23" s="11"/>
      <c r="B23" s="89">
        <v>29</v>
      </c>
      <c r="C23" s="89">
        <v>11</v>
      </c>
      <c r="D23" s="89">
        <v>479</v>
      </c>
      <c r="E23" s="10">
        <v>121060</v>
      </c>
      <c r="F23" s="10">
        <v>1640540</v>
      </c>
      <c r="G23" s="10">
        <v>-1519480</v>
      </c>
      <c r="H23" s="89">
        <v>3747</v>
      </c>
      <c r="I23" s="11">
        <v>38.163864424873232</v>
      </c>
      <c r="J23" s="89">
        <v>1430</v>
      </c>
      <c r="K23" s="89">
        <v>2303</v>
      </c>
      <c r="L23" s="12">
        <v>16920</v>
      </c>
      <c r="M23" s="12">
        <v>-5410</v>
      </c>
      <c r="N23" s="12">
        <v>1147.230712890625</v>
      </c>
      <c r="O23" s="12">
        <v>-659.78289794921875</v>
      </c>
      <c r="P23" s="11">
        <v>1.738800318190308</v>
      </c>
      <c r="Q23" s="13">
        <v>32.308513477448628</v>
      </c>
      <c r="R23" s="89">
        <v>8</v>
      </c>
      <c r="S23" s="89">
        <v>13</v>
      </c>
      <c r="T23" s="89">
        <v>62</v>
      </c>
      <c r="U23" s="89">
        <v>25</v>
      </c>
      <c r="V23" s="12">
        <v>-41945</v>
      </c>
      <c r="W23" s="11">
        <v>1.0796719930502541</v>
      </c>
      <c r="X23" s="89">
        <v>1</v>
      </c>
      <c r="Y23" s="12">
        <v>41945</v>
      </c>
      <c r="Z23" s="11">
        <v>288.6160448205984</v>
      </c>
      <c r="AA23" s="14">
        <v>4127.2094409345573</v>
      </c>
      <c r="AB23" s="11">
        <v>1.197115029072978</v>
      </c>
      <c r="AC23" s="11">
        <v>1.0933978280845309</v>
      </c>
      <c r="AD23" s="15">
        <v>99874.622047571887</v>
      </c>
      <c r="AE23" s="11">
        <v>174.99280239051802</v>
      </c>
      <c r="AF23" s="11">
        <f>(Opti_Medias__30_INS_1[[#This Row],[All: TS Index]]-AA$114) /ABS(AA$114)</f>
        <v>-0.29212360184466518</v>
      </c>
      <c r="AG23" s="11">
        <f>(Opti_Medias__30_INS_1[[#This Row],[All: Expectancy Score]]-AB$114) /ABS(AB$114)</f>
        <v>-0.47597179237612297</v>
      </c>
      <c r="AH23" s="11"/>
      <c r="AI23" s="11">
        <f>(Opti_Medias__30_INS_1[[#This Row],[All: Perfect Profit Correlation]]-AD$114) /ABS(AD$114)</f>
        <v>-0.31534594859763071</v>
      </c>
      <c r="AJ23" s="11">
        <f>(Opti_Medias__30_INS_1[[#This Row],[All: Robustness Index]]-AE$114) /ABS(AE$114)</f>
        <v>-0.78980649768193456</v>
      </c>
      <c r="AK23" s="11">
        <f>SUM(Opti_Medias__30_INS_1[[#This Row],[VAR TS Index]:[VAR Robustness Index]])</f>
        <v>-1.8732478405003534</v>
      </c>
      <c r="AL23" s="11">
        <f>Opti_Medias__30_INS_1[[#This Row],[SUMA]]-Opti_Medias__30_INS_1[[#This Row],[VAR Robustness Index]]</f>
        <v>-1.0834413428184189</v>
      </c>
    </row>
    <row r="24" spans="1:38" x14ac:dyDescent="0.25">
      <c r="A24" s="11"/>
      <c r="B24" s="89">
        <v>34</v>
      </c>
      <c r="C24" s="89">
        <v>1</v>
      </c>
      <c r="D24" s="89">
        <v>34</v>
      </c>
      <c r="E24" s="10">
        <v>121950</v>
      </c>
      <c r="F24" s="10">
        <v>1617600</v>
      </c>
      <c r="G24" s="10">
        <v>-1495650</v>
      </c>
      <c r="H24" s="89">
        <v>3877</v>
      </c>
      <c r="I24" s="11">
        <v>33.350528759350013</v>
      </c>
      <c r="J24" s="89">
        <v>1293</v>
      </c>
      <c r="K24" s="89">
        <v>2563</v>
      </c>
      <c r="L24" s="12">
        <v>17110</v>
      </c>
      <c r="M24" s="12">
        <v>-5370</v>
      </c>
      <c r="N24" s="12">
        <v>1251.0440673828125</v>
      </c>
      <c r="O24" s="12">
        <v>-583.554443359375</v>
      </c>
      <c r="P24" s="11">
        <v>2.1438343613337412</v>
      </c>
      <c r="Q24" s="13">
        <v>31.454733041011092</v>
      </c>
      <c r="R24" s="89">
        <v>8</v>
      </c>
      <c r="S24" s="89">
        <v>15</v>
      </c>
      <c r="T24" s="89">
        <v>68</v>
      </c>
      <c r="U24" s="89">
        <v>23</v>
      </c>
      <c r="V24" s="12">
        <v>-44115</v>
      </c>
      <c r="W24" s="11">
        <v>1.081536455721593</v>
      </c>
      <c r="X24" s="89">
        <v>1</v>
      </c>
      <c r="Y24" s="12">
        <v>44115</v>
      </c>
      <c r="Z24" s="11">
        <v>276.43658619517169</v>
      </c>
      <c r="AA24" s="14">
        <v>3574.3250595035702</v>
      </c>
      <c r="AB24" s="11">
        <v>1.455016393415165</v>
      </c>
      <c r="AC24" s="11">
        <v>1.0650764334491969</v>
      </c>
      <c r="AD24" s="15">
        <v>97161.058641450378</v>
      </c>
      <c r="AE24" s="11">
        <v>187.62595849752915</v>
      </c>
      <c r="AF24" s="11">
        <f>(Opti_Medias__30_INS_1[[#This Row],[All: TS Index]]-AA$114) /ABS(AA$114)</f>
        <v>-0.38695130810109535</v>
      </c>
      <c r="AG24" s="11">
        <f>(Opti_Medias__30_INS_1[[#This Row],[All: Expectancy Score]]-AB$114) /ABS(AB$114)</f>
        <v>-0.36307738672769974</v>
      </c>
      <c r="AH24" s="11"/>
      <c r="AI24" s="11">
        <f>(Opti_Medias__30_INS_1[[#This Row],[All: Perfect Profit Correlation]]-AD$114) /ABS(AD$114)</f>
        <v>-0.33394779300664768</v>
      </c>
      <c r="AJ24" s="11">
        <f>(Opti_Medias__30_INS_1[[#This Row],[All: Robustness Index]]-AE$114) /ABS(AE$114)</f>
        <v>-0.77463211741492422</v>
      </c>
      <c r="AK24" s="11">
        <f>SUM(Opti_Medias__30_INS_1[[#This Row],[VAR TS Index]:[VAR Robustness Index]])</f>
        <v>-1.858608605250367</v>
      </c>
      <c r="AL24" s="11">
        <f>Opti_Medias__30_INS_1[[#This Row],[SUMA]]-Opti_Medias__30_INS_1[[#This Row],[VAR Robustness Index]]</f>
        <v>-1.0839764878354428</v>
      </c>
    </row>
    <row r="25" spans="1:38" x14ac:dyDescent="0.25">
      <c r="A25" s="11"/>
      <c r="B25" s="89">
        <v>20</v>
      </c>
      <c r="C25" s="89">
        <v>8</v>
      </c>
      <c r="D25" s="89">
        <v>335</v>
      </c>
      <c r="E25" s="10">
        <v>129270</v>
      </c>
      <c r="F25" s="10">
        <v>1616990</v>
      </c>
      <c r="G25" s="10">
        <v>-1487720</v>
      </c>
      <c r="H25" s="89">
        <v>3607</v>
      </c>
      <c r="I25" s="11">
        <v>33.76767396728583</v>
      </c>
      <c r="J25" s="89">
        <v>1218</v>
      </c>
      <c r="K25" s="89">
        <v>2369</v>
      </c>
      <c r="L25" s="12">
        <v>16840</v>
      </c>
      <c r="M25" s="12">
        <v>-6210</v>
      </c>
      <c r="N25" s="12">
        <v>1327.5780029296875</v>
      </c>
      <c r="O25" s="12">
        <v>-627.99493408203125</v>
      </c>
      <c r="P25" s="11">
        <v>2.1139947647352741</v>
      </c>
      <c r="Q25" s="13">
        <v>35.838647075131689</v>
      </c>
      <c r="R25" s="89">
        <v>7</v>
      </c>
      <c r="S25" s="89">
        <v>15</v>
      </c>
      <c r="T25" s="89">
        <v>72</v>
      </c>
      <c r="U25" s="89">
        <v>25</v>
      </c>
      <c r="V25" s="12">
        <v>-38615</v>
      </c>
      <c r="W25" s="11">
        <v>1.0868913505229481</v>
      </c>
      <c r="X25" s="89">
        <v>1</v>
      </c>
      <c r="Y25" s="12">
        <v>38615</v>
      </c>
      <c r="Z25" s="11">
        <v>334.76628253269456</v>
      </c>
      <c r="AA25" s="14">
        <v>4077.4533212482197</v>
      </c>
      <c r="AB25" s="11">
        <v>1.068017905381347</v>
      </c>
      <c r="AC25" s="11">
        <v>1.135037224973755</v>
      </c>
      <c r="AD25" s="15">
        <v>107222.55182491845</v>
      </c>
      <c r="AE25" s="11">
        <v>228.9323062007783</v>
      </c>
      <c r="AF25" s="11">
        <f>(Opti_Medias__30_INS_1[[#This Row],[All: TS Index]]-AA$114) /ABS(AA$114)</f>
        <v>-0.30065749945606796</v>
      </c>
      <c r="AG25" s="11">
        <f>(Opti_Medias__30_INS_1[[#This Row],[All: Expectancy Score]]-AB$114) /ABS(AB$114)</f>
        <v>-0.53248309888767065</v>
      </c>
      <c r="AH25" s="11"/>
      <c r="AI25" s="11">
        <f>(Opti_Medias__30_INS_1[[#This Row],[All: Perfect Profit Correlation]]-AD$114) /ABS(AD$114)</f>
        <v>-0.26497489548782083</v>
      </c>
      <c r="AJ25" s="11">
        <f>(Opti_Medias__30_INS_1[[#This Row],[All: Robustness Index]]-AE$114) /ABS(AE$114)</f>
        <v>-0.72501678596638819</v>
      </c>
      <c r="AK25" s="11">
        <f>SUM(Opti_Medias__30_INS_1[[#This Row],[VAR TS Index]:[VAR Robustness Index]])</f>
        <v>-1.8231322797979477</v>
      </c>
      <c r="AL25" s="11">
        <f>Opti_Medias__30_INS_1[[#This Row],[SUMA]]-Opti_Medias__30_INS_1[[#This Row],[VAR Robustness Index]]</f>
        <v>-1.0981154938315596</v>
      </c>
    </row>
    <row r="26" spans="1:38" x14ac:dyDescent="0.25">
      <c r="A26" s="11"/>
      <c r="B26" s="89">
        <v>37</v>
      </c>
      <c r="C26" s="89">
        <v>11</v>
      </c>
      <c r="D26" s="89">
        <v>487</v>
      </c>
      <c r="E26" s="10">
        <v>117410</v>
      </c>
      <c r="F26" s="10">
        <v>1616450</v>
      </c>
      <c r="G26" s="10">
        <v>-1499040</v>
      </c>
      <c r="H26" s="89">
        <v>3745</v>
      </c>
      <c r="I26" s="11">
        <v>34.445927903871826</v>
      </c>
      <c r="J26" s="89">
        <v>1290</v>
      </c>
      <c r="K26" s="89">
        <v>2433</v>
      </c>
      <c r="L26" s="12">
        <v>18310</v>
      </c>
      <c r="M26" s="12">
        <v>-4830</v>
      </c>
      <c r="N26" s="12">
        <v>1253.06201171875</v>
      </c>
      <c r="O26" s="12">
        <v>-616.12823486328125</v>
      </c>
      <c r="P26" s="11">
        <v>2.0337682008629332</v>
      </c>
      <c r="Q26" s="13">
        <v>31.351134846461949</v>
      </c>
      <c r="R26" s="89">
        <v>7</v>
      </c>
      <c r="S26" s="89">
        <v>15</v>
      </c>
      <c r="T26" s="89">
        <v>70</v>
      </c>
      <c r="U26" s="89">
        <v>23</v>
      </c>
      <c r="V26" s="12">
        <v>-46795</v>
      </c>
      <c r="W26" s="11">
        <v>1.0783234603479559</v>
      </c>
      <c r="X26" s="89">
        <v>1</v>
      </c>
      <c r="Y26" s="12">
        <v>46795</v>
      </c>
      <c r="Z26" s="11">
        <v>250.90287423870072</v>
      </c>
      <c r="AA26" s="14">
        <v>3236.6470776792394</v>
      </c>
      <c r="AB26" s="11">
        <v>1.489926729869639</v>
      </c>
      <c r="AC26" s="11">
        <v>1.0279511284024849</v>
      </c>
      <c r="AD26" s="15">
        <v>95006.706322503349</v>
      </c>
      <c r="AE26" s="11">
        <v>169.02543780633809</v>
      </c>
      <c r="AF26" s="11">
        <f>(Opti_Medias__30_INS_1[[#This Row],[All: TS Index]]-AA$114) /ABS(AA$114)</f>
        <v>-0.44486798931900884</v>
      </c>
      <c r="AG26" s="11">
        <f>(Opti_Medias__30_INS_1[[#This Row],[All: Expectancy Score]]-AB$114) /ABS(AB$114)</f>
        <v>-0.34779564638069982</v>
      </c>
      <c r="AH26" s="11"/>
      <c r="AI26" s="11">
        <f>(Opti_Medias__30_INS_1[[#This Row],[All: Perfect Profit Correlation]]-AD$114) /ABS(AD$114)</f>
        <v>-0.34871616972813962</v>
      </c>
      <c r="AJ26" s="11">
        <f>(Opti_Medias__30_INS_1[[#This Row],[All: Robustness Index]]-AE$114) /ABS(AE$114)</f>
        <v>-0.79697422826526698</v>
      </c>
      <c r="AK26" s="11">
        <f>SUM(Opti_Medias__30_INS_1[[#This Row],[VAR TS Index]:[VAR Robustness Index]])</f>
        <v>-1.9383540336931153</v>
      </c>
      <c r="AL26" s="11">
        <f>Opti_Medias__30_INS_1[[#This Row],[SUMA]]-Opti_Medias__30_INS_1[[#This Row],[VAR Robustness Index]]</f>
        <v>-1.1413798054278483</v>
      </c>
    </row>
    <row r="27" spans="1:38" x14ac:dyDescent="0.25">
      <c r="A27" s="11"/>
      <c r="B27" s="89">
        <v>25</v>
      </c>
      <c r="C27" s="89">
        <v>8</v>
      </c>
      <c r="D27" s="89">
        <v>340</v>
      </c>
      <c r="E27" s="10">
        <v>109710</v>
      </c>
      <c r="F27" s="10">
        <v>1576180</v>
      </c>
      <c r="G27" s="10">
        <v>-1466470</v>
      </c>
      <c r="H27" s="89">
        <v>3551</v>
      </c>
      <c r="I27" s="11">
        <v>33.680653337088145</v>
      </c>
      <c r="J27" s="89">
        <v>1196</v>
      </c>
      <c r="K27" s="89">
        <v>2343</v>
      </c>
      <c r="L27" s="12">
        <v>17090</v>
      </c>
      <c r="M27" s="12">
        <v>-5240</v>
      </c>
      <c r="N27" s="12">
        <v>1317.876220703125</v>
      </c>
      <c r="O27" s="12">
        <v>-625.8941650390625</v>
      </c>
      <c r="P27" s="11">
        <v>2.1055895618085452</v>
      </c>
      <c r="Q27" s="13">
        <v>30.895522388059703</v>
      </c>
      <c r="R27" s="89">
        <v>7</v>
      </c>
      <c r="S27" s="89">
        <v>12</v>
      </c>
      <c r="T27" s="89">
        <v>74</v>
      </c>
      <c r="U27" s="89">
        <v>25</v>
      </c>
      <c r="V27" s="12">
        <v>-36265</v>
      </c>
      <c r="W27" s="11">
        <v>1.074812304377178</v>
      </c>
      <c r="X27" s="89">
        <v>1</v>
      </c>
      <c r="Y27" s="12">
        <v>36265</v>
      </c>
      <c r="Z27" s="11">
        <v>302.52309389218254</v>
      </c>
      <c r="AA27" s="14">
        <v>3618.1762029505035</v>
      </c>
      <c r="AB27" s="11">
        <v>1.4163408684430989</v>
      </c>
      <c r="AC27" s="11">
        <v>0.94429700361819902</v>
      </c>
      <c r="AD27" s="15">
        <v>84330.125335168035</v>
      </c>
      <c r="AE27" s="11">
        <v>262.55948921116061</v>
      </c>
      <c r="AF27" s="11">
        <f>(Opti_Medias__30_INS_1[[#This Row],[All: TS Index]]-AA$114) /ABS(AA$114)</f>
        <v>-0.37943019972933817</v>
      </c>
      <c r="AG27" s="11">
        <f>(Opti_Medias__30_INS_1[[#This Row],[All: Expectancy Score]]-AB$114) /ABS(AB$114)</f>
        <v>-0.38000731036730079</v>
      </c>
      <c r="AH27" s="11"/>
      <c r="AI27" s="11">
        <f>(Opti_Medias__30_INS_1[[#This Row],[All: Perfect Profit Correlation]]-AD$114) /ABS(AD$114)</f>
        <v>-0.42190557738990653</v>
      </c>
      <c r="AJ27" s="11">
        <f>(Opti_Medias__30_INS_1[[#This Row],[All: Robustness Index]]-AE$114) /ABS(AE$114)</f>
        <v>-0.6846253225834017</v>
      </c>
      <c r="AK27" s="11">
        <f>SUM(Opti_Medias__30_INS_1[[#This Row],[VAR TS Index]:[VAR Robustness Index]])</f>
        <v>-1.8659684100699474</v>
      </c>
      <c r="AL27" s="11">
        <f>Opti_Medias__30_INS_1[[#This Row],[SUMA]]-Opti_Medias__30_INS_1[[#This Row],[VAR Robustness Index]]</f>
        <v>-1.1813430874865456</v>
      </c>
    </row>
    <row r="28" spans="1:38" x14ac:dyDescent="0.25">
      <c r="A28" s="11"/>
      <c r="B28" s="89">
        <v>34</v>
      </c>
      <c r="C28" s="89">
        <v>8</v>
      </c>
      <c r="D28" s="89">
        <v>349</v>
      </c>
      <c r="E28" s="10">
        <v>129040</v>
      </c>
      <c r="F28" s="10">
        <v>1639890</v>
      </c>
      <c r="G28" s="10">
        <v>-1510850</v>
      </c>
      <c r="H28" s="89">
        <v>3949</v>
      </c>
      <c r="I28" s="11">
        <v>31.223094454292227</v>
      </c>
      <c r="J28" s="89">
        <v>1233</v>
      </c>
      <c r="K28" s="89">
        <v>2700</v>
      </c>
      <c r="L28" s="12">
        <v>16890</v>
      </c>
      <c r="M28" s="12">
        <v>-4300</v>
      </c>
      <c r="N28" s="12">
        <v>1330</v>
      </c>
      <c r="O28" s="12">
        <v>-559.5740966796875</v>
      </c>
      <c r="P28" s="11">
        <v>2.376807661204734</v>
      </c>
      <c r="Q28" s="13">
        <v>32.676626994175741</v>
      </c>
      <c r="R28" s="89">
        <v>7</v>
      </c>
      <c r="S28" s="89">
        <v>18</v>
      </c>
      <c r="T28" s="89">
        <v>73</v>
      </c>
      <c r="U28" s="89">
        <v>21</v>
      </c>
      <c r="V28" s="12">
        <v>-39685</v>
      </c>
      <c r="W28" s="11">
        <v>1.085408875798392</v>
      </c>
      <c r="X28" s="89">
        <v>1</v>
      </c>
      <c r="Y28" s="12">
        <v>39685</v>
      </c>
      <c r="Z28" s="11">
        <v>325.1606400403175</v>
      </c>
      <c r="AA28" s="14">
        <v>4009.2306916971147</v>
      </c>
      <c r="AB28" s="11">
        <v>0.85164701868866299</v>
      </c>
      <c r="AC28" s="11">
        <v>1.1141456916306729</v>
      </c>
      <c r="AD28" s="15">
        <v>109133.20088959002</v>
      </c>
      <c r="AE28" s="11">
        <v>116.324725570544</v>
      </c>
      <c r="AF28" s="11">
        <f>(Opti_Medias__30_INS_1[[#This Row],[All: TS Index]]-AA$114) /ABS(AA$114)</f>
        <v>-0.31235867187546096</v>
      </c>
      <c r="AG28" s="11">
        <f>(Opti_Medias__30_INS_1[[#This Row],[All: Expectancy Score]]-AB$114) /ABS(AB$114)</f>
        <v>-0.62719784657850775</v>
      </c>
      <c r="AH28" s="11"/>
      <c r="AI28" s="11">
        <f>(Opti_Medias__30_INS_1[[#This Row],[All: Perfect Profit Correlation]]-AD$114) /ABS(AD$114)</f>
        <v>-0.25187713755775876</v>
      </c>
      <c r="AJ28" s="11">
        <f>(Opti_Medias__30_INS_1[[#This Row],[All: Robustness Index]]-AE$114) /ABS(AE$114)</f>
        <v>-0.86027595912604615</v>
      </c>
      <c r="AK28" s="11">
        <f>SUM(Opti_Medias__30_INS_1[[#This Row],[VAR TS Index]:[VAR Robustness Index]])</f>
        <v>-2.0517096151377738</v>
      </c>
      <c r="AL28" s="11">
        <f>Opti_Medias__30_INS_1[[#This Row],[SUMA]]-Opti_Medias__30_INS_1[[#This Row],[VAR Robustness Index]]</f>
        <v>-1.1914336560117276</v>
      </c>
    </row>
    <row r="29" spans="1:38" x14ac:dyDescent="0.25">
      <c r="A29" s="11"/>
      <c r="B29" s="89">
        <v>30</v>
      </c>
      <c r="C29" s="89">
        <v>11</v>
      </c>
      <c r="D29" s="89">
        <v>480</v>
      </c>
      <c r="E29" s="10">
        <v>150900</v>
      </c>
      <c r="F29" s="10">
        <v>1641340</v>
      </c>
      <c r="G29" s="10">
        <v>-1490440</v>
      </c>
      <c r="H29" s="89">
        <v>3755</v>
      </c>
      <c r="I29" s="11">
        <v>37.470039946737685</v>
      </c>
      <c r="J29" s="89">
        <v>1407</v>
      </c>
      <c r="K29" s="89">
        <v>2331</v>
      </c>
      <c r="L29" s="12">
        <v>17140</v>
      </c>
      <c r="M29" s="12">
        <v>-5410</v>
      </c>
      <c r="N29" s="12">
        <v>1166.552978515625</v>
      </c>
      <c r="O29" s="12">
        <v>-639.3994140625</v>
      </c>
      <c r="P29" s="11">
        <v>1.824451122192609</v>
      </c>
      <c r="Q29" s="13">
        <v>40.186418109187748</v>
      </c>
      <c r="R29" s="89">
        <v>7</v>
      </c>
      <c r="S29" s="89">
        <v>14</v>
      </c>
      <c r="T29" s="89">
        <v>63</v>
      </c>
      <c r="U29" s="89">
        <v>25</v>
      </c>
      <c r="V29" s="12">
        <v>-41715</v>
      </c>
      <c r="W29" s="11">
        <v>1.101245269853198</v>
      </c>
      <c r="X29" s="89">
        <v>1</v>
      </c>
      <c r="Y29" s="12">
        <v>41715</v>
      </c>
      <c r="Z29" s="11">
        <v>361.74038115785686</v>
      </c>
      <c r="AA29" s="14">
        <v>5089.6871628910467</v>
      </c>
      <c r="AB29" s="11">
        <v>5.8671461742395001E-2</v>
      </c>
      <c r="AC29" s="11">
        <v>1.3801307888577901</v>
      </c>
      <c r="AD29" s="15">
        <v>131764.37656303836</v>
      </c>
      <c r="AE29" s="11">
        <v>151.22808566184418</v>
      </c>
      <c r="AF29" s="11">
        <f>(Opti_Medias__30_INS_1[[#This Row],[All: TS Index]]-AA$114) /ABS(AA$114)</f>
        <v>-0.12704468523678017</v>
      </c>
      <c r="AG29" s="11">
        <f>(Opti_Medias__30_INS_1[[#This Row],[All: Expectancy Score]]-AB$114) /ABS(AB$114)</f>
        <v>-0.97431700363886609</v>
      </c>
      <c r="AH29" s="11"/>
      <c r="AI29" s="11">
        <f>(Opti_Medias__30_INS_1[[#This Row],[All: Perfect Profit Correlation]]-AD$114) /ABS(AD$114)</f>
        <v>-9.6737365359723743E-2</v>
      </c>
      <c r="AJ29" s="11">
        <f>(Opti_Medias__30_INS_1[[#This Row],[All: Robustness Index]]-AE$114) /ABS(AE$114)</f>
        <v>-0.81835160909542748</v>
      </c>
      <c r="AK29" s="11">
        <f>SUM(Opti_Medias__30_INS_1[[#This Row],[VAR TS Index]:[VAR Robustness Index]])</f>
        <v>-2.0164506633307973</v>
      </c>
      <c r="AL29" s="11">
        <f>Opti_Medias__30_INS_1[[#This Row],[SUMA]]-Opti_Medias__30_INS_1[[#This Row],[VAR Robustness Index]]</f>
        <v>-1.1980990542353698</v>
      </c>
    </row>
    <row r="30" spans="1:38" x14ac:dyDescent="0.25">
      <c r="A30" s="11"/>
      <c r="B30" s="89">
        <v>36</v>
      </c>
      <c r="C30" s="89">
        <v>5</v>
      </c>
      <c r="D30" s="89">
        <v>216</v>
      </c>
      <c r="E30" s="10">
        <v>118770</v>
      </c>
      <c r="F30" s="10">
        <v>1517770</v>
      </c>
      <c r="G30" s="10">
        <v>-1399000</v>
      </c>
      <c r="H30" s="89">
        <v>3815</v>
      </c>
      <c r="I30" s="11">
        <v>30.117955439056356</v>
      </c>
      <c r="J30" s="89">
        <v>1149</v>
      </c>
      <c r="K30" s="89">
        <v>2643</v>
      </c>
      <c r="L30" s="12">
        <v>17360</v>
      </c>
      <c r="M30" s="12">
        <v>-4450</v>
      </c>
      <c r="N30" s="12">
        <v>1320.9486083984375</v>
      </c>
      <c r="O30" s="12">
        <v>-529.32275390625</v>
      </c>
      <c r="P30" s="11">
        <v>2.4955447289016308</v>
      </c>
      <c r="Q30" s="13">
        <v>31.132372214941022</v>
      </c>
      <c r="R30" s="89">
        <v>7</v>
      </c>
      <c r="S30" s="89">
        <v>21</v>
      </c>
      <c r="T30" s="89">
        <v>80</v>
      </c>
      <c r="U30" s="89">
        <v>21</v>
      </c>
      <c r="V30" s="12">
        <v>-50285</v>
      </c>
      <c r="W30" s="11">
        <v>1.0848963545389561</v>
      </c>
      <c r="X30" s="89">
        <v>1</v>
      </c>
      <c r="Y30" s="12">
        <v>50285</v>
      </c>
      <c r="Z30" s="11">
        <v>236.19369593318086</v>
      </c>
      <c r="AA30" s="14">
        <v>2713.8655662722481</v>
      </c>
      <c r="AB30" s="11">
        <v>1.4262866913813721</v>
      </c>
      <c r="AC30" s="11">
        <v>1.012064756416259</v>
      </c>
      <c r="AD30" s="15">
        <v>103330.89656503228</v>
      </c>
      <c r="AE30" s="11">
        <v>190.05625448382173</v>
      </c>
      <c r="AF30" s="11">
        <f>(Opti_Medias__30_INS_1[[#This Row],[All: TS Index]]-AA$114) /ABS(AA$114)</f>
        <v>-0.53453261589371115</v>
      </c>
      <c r="AG30" s="11">
        <f>(Opti_Medias__30_INS_1[[#This Row],[All: Expectancy Score]]-AB$114) /ABS(AB$114)</f>
        <v>-0.3756536002883924</v>
      </c>
      <c r="AH30" s="11"/>
      <c r="AI30" s="11">
        <f>(Opti_Medias__30_INS_1[[#This Row],[All: Perfect Profit Correlation]]-AD$114) /ABS(AD$114)</f>
        <v>-0.29165271900011702</v>
      </c>
      <c r="AJ30" s="11">
        <f>(Opti_Medias__30_INS_1[[#This Row],[All: Robustness Index]]-AE$114) /ABS(AE$114)</f>
        <v>-0.77171295492338132</v>
      </c>
      <c r="AK30" s="11">
        <f>SUM(Opti_Medias__30_INS_1[[#This Row],[VAR TS Index]:[VAR Robustness Index]])</f>
        <v>-1.9735518901056017</v>
      </c>
      <c r="AL30" s="11">
        <f>Opti_Medias__30_INS_1[[#This Row],[SUMA]]-Opti_Medias__30_INS_1[[#This Row],[VAR Robustness Index]]</f>
        <v>-1.2018389351822205</v>
      </c>
    </row>
    <row r="31" spans="1:38" x14ac:dyDescent="0.25">
      <c r="A31" s="11"/>
      <c r="B31" s="89">
        <v>40</v>
      </c>
      <c r="C31" s="89">
        <v>11</v>
      </c>
      <c r="D31" s="89">
        <v>490</v>
      </c>
      <c r="E31" s="10">
        <v>106920</v>
      </c>
      <c r="F31" s="10">
        <v>1647110</v>
      </c>
      <c r="G31" s="10">
        <v>-1540190</v>
      </c>
      <c r="H31" s="89">
        <v>3935</v>
      </c>
      <c r="I31" s="11">
        <v>32.477763659466326</v>
      </c>
      <c r="J31" s="89">
        <v>1278</v>
      </c>
      <c r="K31" s="89">
        <v>2646</v>
      </c>
      <c r="L31" s="12">
        <v>18310</v>
      </c>
      <c r="M31" s="12">
        <v>-5200</v>
      </c>
      <c r="N31" s="12">
        <v>1288.8184814453125</v>
      </c>
      <c r="O31" s="12">
        <v>-582.0823974609375</v>
      </c>
      <c r="P31" s="11">
        <v>2.214151273199775</v>
      </c>
      <c r="Q31" s="13">
        <v>27.1715374841169</v>
      </c>
      <c r="R31" s="89">
        <v>7</v>
      </c>
      <c r="S31" s="89">
        <v>17</v>
      </c>
      <c r="T31" s="89">
        <v>71</v>
      </c>
      <c r="U31" s="89">
        <v>21</v>
      </c>
      <c r="V31" s="12">
        <v>-51355</v>
      </c>
      <c r="W31" s="11">
        <v>1.0694200066225601</v>
      </c>
      <c r="X31" s="89">
        <v>1</v>
      </c>
      <c r="Y31" s="12">
        <v>51355</v>
      </c>
      <c r="Z31" s="11">
        <v>208.19783857462758</v>
      </c>
      <c r="AA31" s="14">
        <v>2660.7683769837408</v>
      </c>
      <c r="AB31" s="11">
        <v>1.6310779364192021</v>
      </c>
      <c r="AC31" s="11">
        <v>0.90787768073556896</v>
      </c>
      <c r="AD31" s="15">
        <v>88307.466597160776</v>
      </c>
      <c r="AE31" s="11">
        <v>111.69254096173941</v>
      </c>
      <c r="AF31" s="11">
        <f>(Opti_Medias__30_INS_1[[#This Row],[All: TS Index]]-AA$114) /ABS(AA$114)</f>
        <v>-0.54363955549627463</v>
      </c>
      <c r="AG31" s="11">
        <f>(Opti_Medias__30_INS_1[[#This Row],[All: Expectancy Score]]-AB$114) /ABS(AB$114)</f>
        <v>-0.28600775467793343</v>
      </c>
      <c r="AH31" s="11"/>
      <c r="AI31" s="11">
        <f>(Opti_Medias__30_INS_1[[#This Row],[All: Perfect Profit Correlation]]-AD$114) /ABS(AD$114)</f>
        <v>-0.39464036473622477</v>
      </c>
      <c r="AJ31" s="11">
        <f>(Opti_Medias__30_INS_1[[#This Row],[All: Robustness Index]]-AE$114) /ABS(AE$114)</f>
        <v>-0.86583993143237936</v>
      </c>
      <c r="AK31" s="11">
        <f>SUM(Opti_Medias__30_INS_1[[#This Row],[VAR TS Index]:[VAR Robustness Index]])</f>
        <v>-2.0901276063428122</v>
      </c>
      <c r="AL31" s="11">
        <f>Opti_Medias__30_INS_1[[#This Row],[SUMA]]-Opti_Medias__30_INS_1[[#This Row],[VAR Robustness Index]]</f>
        <v>-1.2242876749104328</v>
      </c>
    </row>
    <row r="32" spans="1:38" x14ac:dyDescent="0.25">
      <c r="A32" s="11"/>
      <c r="B32" s="89">
        <v>10</v>
      </c>
      <c r="C32" s="89">
        <v>8</v>
      </c>
      <c r="D32" s="89">
        <v>325</v>
      </c>
      <c r="E32" s="10">
        <v>122910</v>
      </c>
      <c r="F32" s="10">
        <v>1692680</v>
      </c>
      <c r="G32" s="10">
        <v>-1569770</v>
      </c>
      <c r="H32" s="89">
        <v>3903</v>
      </c>
      <c r="I32" s="11">
        <v>36.177299513194981</v>
      </c>
      <c r="J32" s="89">
        <v>1412</v>
      </c>
      <c r="K32" s="89">
        <v>2477</v>
      </c>
      <c r="L32" s="12">
        <v>18490</v>
      </c>
      <c r="M32" s="12">
        <v>-6520</v>
      </c>
      <c r="N32" s="12">
        <v>1198.7818603515625</v>
      </c>
      <c r="O32" s="12">
        <v>-633.7384033203125</v>
      </c>
      <c r="P32" s="11">
        <v>1.891603623941436</v>
      </c>
      <c r="Q32" s="13">
        <v>31.491160645657185</v>
      </c>
      <c r="R32" s="89">
        <v>7</v>
      </c>
      <c r="S32" s="89">
        <v>16</v>
      </c>
      <c r="T32" s="89">
        <v>60</v>
      </c>
      <c r="U32" s="89">
        <v>25</v>
      </c>
      <c r="V32" s="12">
        <v>-53305</v>
      </c>
      <c r="W32" s="11">
        <v>1.0782980946253271</v>
      </c>
      <c r="X32" s="89">
        <v>1</v>
      </c>
      <c r="Y32" s="12">
        <v>53305</v>
      </c>
      <c r="Z32" s="11">
        <v>230.57874495825908</v>
      </c>
      <c r="AA32" s="14">
        <v>3255.7718788106181</v>
      </c>
      <c r="AB32" s="11">
        <v>1.2443272191881141</v>
      </c>
      <c r="AC32" s="11">
        <v>1.094046900658372</v>
      </c>
      <c r="AD32" s="15">
        <v>97537.870035445143</v>
      </c>
      <c r="AE32" s="11">
        <v>299.17429511701573</v>
      </c>
      <c r="AF32" s="11">
        <f>(Opti_Medias__30_INS_1[[#This Row],[All: TS Index]]-AA$114) /ABS(AA$114)</f>
        <v>-0.44158780799211894</v>
      </c>
      <c r="AG32" s="11">
        <f>(Opti_Medias__30_INS_1[[#This Row],[All: Expectancy Score]]-AB$114) /ABS(AB$114)</f>
        <v>-0.4553050070103164</v>
      </c>
      <c r="AH32" s="11"/>
      <c r="AI32" s="11">
        <f>(Opti_Medias__30_INS_1[[#This Row],[All: Perfect Profit Correlation]]-AD$114) /ABS(AD$114)</f>
        <v>-0.33136469990227319</v>
      </c>
      <c r="AJ32" s="11">
        <f>(Opti_Medias__30_INS_1[[#This Row],[All: Robustness Index]]-AE$114) /ABS(AE$114)</f>
        <v>-0.64064526063278004</v>
      </c>
      <c r="AK32" s="11">
        <f>SUM(Opti_Medias__30_INS_1[[#This Row],[VAR TS Index]:[VAR Robustness Index]])</f>
        <v>-1.8689027755374887</v>
      </c>
      <c r="AL32" s="11">
        <f>Opti_Medias__30_INS_1[[#This Row],[SUMA]]-Opti_Medias__30_INS_1[[#This Row],[VAR Robustness Index]]</f>
        <v>-1.2282575149047088</v>
      </c>
    </row>
    <row r="33" spans="1:38" x14ac:dyDescent="0.25">
      <c r="A33" s="11"/>
      <c r="B33" s="89">
        <v>33</v>
      </c>
      <c r="C33" s="89">
        <v>8</v>
      </c>
      <c r="D33" s="89">
        <v>348</v>
      </c>
      <c r="E33" s="10">
        <v>131770</v>
      </c>
      <c r="F33" s="10">
        <v>1633940</v>
      </c>
      <c r="G33" s="10">
        <v>-1502170</v>
      </c>
      <c r="H33" s="89">
        <v>3865</v>
      </c>
      <c r="I33" s="11">
        <v>31.875808538163</v>
      </c>
      <c r="J33" s="89">
        <v>1232</v>
      </c>
      <c r="K33" s="89">
        <v>2621</v>
      </c>
      <c r="L33" s="12">
        <v>16890</v>
      </c>
      <c r="M33" s="12">
        <v>-4300</v>
      </c>
      <c r="N33" s="12">
        <v>1326.25</v>
      </c>
      <c r="O33" s="12">
        <v>-573.12860107421875</v>
      </c>
      <c r="P33" s="11">
        <v>2.3140530720578258</v>
      </c>
      <c r="Q33" s="13">
        <v>34.09314359637775</v>
      </c>
      <c r="R33" s="89">
        <v>7</v>
      </c>
      <c r="S33" s="89">
        <v>18</v>
      </c>
      <c r="T33" s="89">
        <v>73</v>
      </c>
      <c r="U33" s="89">
        <v>22</v>
      </c>
      <c r="V33" s="12">
        <v>-33645</v>
      </c>
      <c r="W33" s="11">
        <v>1.087719765406046</v>
      </c>
      <c r="X33" s="89">
        <v>1</v>
      </c>
      <c r="Y33" s="12">
        <v>33645</v>
      </c>
      <c r="Z33" s="11">
        <v>391.64809035517908</v>
      </c>
      <c r="AA33" s="14">
        <v>4825.1044731758066</v>
      </c>
      <c r="AB33" s="11">
        <v>0.368938929363751</v>
      </c>
      <c r="AC33" s="11">
        <v>1.1456053429589259</v>
      </c>
      <c r="AD33" s="15">
        <v>113876.75714786848</v>
      </c>
      <c r="AE33" s="11">
        <v>134.36730786796733</v>
      </c>
      <c r="AF33" s="11">
        <f>(Opti_Medias__30_INS_1[[#This Row],[All: TS Index]]-AA$114) /ABS(AA$114)</f>
        <v>-0.17242446159420796</v>
      </c>
      <c r="AG33" s="11">
        <f>(Opti_Medias__30_INS_1[[#This Row],[All: Expectancy Score]]-AB$114) /ABS(AB$114)</f>
        <v>-0.83849972543835416</v>
      </c>
      <c r="AH33" s="11"/>
      <c r="AI33" s="11">
        <f>(Opti_Medias__30_INS_1[[#This Row],[All: Perfect Profit Correlation]]-AD$114) /ABS(AD$114)</f>
        <v>-0.2193594174031985</v>
      </c>
      <c r="AJ33" s="11">
        <f>(Opti_Medias__30_INS_1[[#This Row],[All: Robustness Index]]-AE$114) /ABS(AE$114)</f>
        <v>-0.83860401883964475</v>
      </c>
      <c r="AK33" s="11">
        <f>SUM(Opti_Medias__30_INS_1[[#This Row],[VAR TS Index]:[VAR Robustness Index]])</f>
        <v>-2.0688876232754052</v>
      </c>
      <c r="AL33" s="11">
        <f>Opti_Medias__30_INS_1[[#This Row],[SUMA]]-Opti_Medias__30_INS_1[[#This Row],[VAR Robustness Index]]</f>
        <v>-1.2302836044357606</v>
      </c>
    </row>
    <row r="34" spans="1:38" x14ac:dyDescent="0.25">
      <c r="A34" s="11"/>
      <c r="B34" s="89">
        <v>17</v>
      </c>
      <c r="C34" s="89">
        <v>8</v>
      </c>
      <c r="D34" s="89">
        <v>332</v>
      </c>
      <c r="E34" s="10">
        <v>117200</v>
      </c>
      <c r="F34" s="10">
        <v>1631440</v>
      </c>
      <c r="G34" s="10">
        <v>-1514240</v>
      </c>
      <c r="H34" s="89">
        <v>3639</v>
      </c>
      <c r="I34" s="11">
        <v>34.240175872492443</v>
      </c>
      <c r="J34" s="89">
        <v>1246</v>
      </c>
      <c r="K34" s="89">
        <v>2378</v>
      </c>
      <c r="L34" s="12">
        <v>16640</v>
      </c>
      <c r="M34" s="12">
        <v>-6600</v>
      </c>
      <c r="N34" s="12">
        <v>1309.3419189453125</v>
      </c>
      <c r="O34" s="12">
        <v>-636.7703857421875</v>
      </c>
      <c r="P34" s="11">
        <v>2.056223009522042</v>
      </c>
      <c r="Q34" s="13">
        <v>32.2066501786205</v>
      </c>
      <c r="R34" s="89">
        <v>6</v>
      </c>
      <c r="S34" s="89">
        <v>17</v>
      </c>
      <c r="T34" s="89">
        <v>70</v>
      </c>
      <c r="U34" s="89">
        <v>25</v>
      </c>
      <c r="V34" s="12">
        <v>-40325</v>
      </c>
      <c r="W34" s="11">
        <v>1.0773985629754861</v>
      </c>
      <c r="X34" s="89">
        <v>1</v>
      </c>
      <c r="Y34" s="12">
        <v>40325</v>
      </c>
      <c r="Z34" s="11">
        <v>290.63856168629883</v>
      </c>
      <c r="AA34" s="14">
        <v>3621.3564786112834</v>
      </c>
      <c r="AB34" s="11">
        <v>1.074709873207496</v>
      </c>
      <c r="AC34" s="11">
        <v>1.020338439351451</v>
      </c>
      <c r="AD34" s="15">
        <v>95732.238904621743</v>
      </c>
      <c r="AE34" s="11">
        <v>272.31892708923982</v>
      </c>
      <c r="AF34" s="11">
        <f>(Opti_Medias__30_INS_1[[#This Row],[All: TS Index]]-AA$114) /ABS(AA$114)</f>
        <v>-0.37888473623587798</v>
      </c>
      <c r="AG34" s="11">
        <f>(Opti_Medias__30_INS_1[[#This Row],[All: Expectancy Score]]-AB$114) /ABS(AB$114)</f>
        <v>-0.52955373970309072</v>
      </c>
      <c r="AH34" s="11"/>
      <c r="AI34" s="11">
        <f>(Opti_Medias__30_INS_1[[#This Row],[All: Perfect Profit Correlation]]-AD$114) /ABS(AD$114)</f>
        <v>-0.34374254568243184</v>
      </c>
      <c r="AJ34" s="11">
        <f>(Opti_Medias__30_INS_1[[#This Row],[All: Robustness Index]]-AE$114) /ABS(AE$114)</f>
        <v>-0.67290272370947091</v>
      </c>
      <c r="AK34" s="11">
        <f>SUM(Opti_Medias__30_INS_1[[#This Row],[VAR TS Index]:[VAR Robustness Index]])</f>
        <v>-1.9250837453308716</v>
      </c>
      <c r="AL34" s="11">
        <f>Opti_Medias__30_INS_1[[#This Row],[SUMA]]-Opti_Medias__30_INS_1[[#This Row],[VAR Robustness Index]]</f>
        <v>-1.2521810216214007</v>
      </c>
    </row>
    <row r="35" spans="1:38" x14ac:dyDescent="0.25">
      <c r="A35" s="11"/>
      <c r="B35" s="89">
        <v>26</v>
      </c>
      <c r="C35" s="89">
        <v>8</v>
      </c>
      <c r="D35" s="89">
        <v>341</v>
      </c>
      <c r="E35" s="10">
        <v>105590</v>
      </c>
      <c r="F35" s="10">
        <v>1576310</v>
      </c>
      <c r="G35" s="10">
        <v>-1470720</v>
      </c>
      <c r="H35" s="89">
        <v>3569</v>
      </c>
      <c r="I35" s="11">
        <v>33.314653964695992</v>
      </c>
      <c r="J35" s="89">
        <v>1189</v>
      </c>
      <c r="K35" s="89">
        <v>2367</v>
      </c>
      <c r="L35" s="12">
        <v>17090</v>
      </c>
      <c r="M35" s="12">
        <v>-5240</v>
      </c>
      <c r="N35" s="12">
        <v>1325.7442626953125</v>
      </c>
      <c r="O35" s="12">
        <v>-621.34344482421875</v>
      </c>
      <c r="P35" s="11">
        <v>2.133673854192462</v>
      </c>
      <c r="Q35" s="13">
        <v>29.585318016251051</v>
      </c>
      <c r="R35" s="89">
        <v>7</v>
      </c>
      <c r="S35" s="89">
        <v>15</v>
      </c>
      <c r="T35" s="89">
        <v>74</v>
      </c>
      <c r="U35" s="89">
        <v>24</v>
      </c>
      <c r="V35" s="12">
        <v>-34735</v>
      </c>
      <c r="W35" s="11">
        <v>1.0717947671888599</v>
      </c>
      <c r="X35" s="89">
        <v>1</v>
      </c>
      <c r="Y35" s="12">
        <v>34735</v>
      </c>
      <c r="Z35" s="11">
        <v>303.98733266158052</v>
      </c>
      <c r="AA35" s="14">
        <v>3614.4093853461927</v>
      </c>
      <c r="AB35" s="11">
        <v>1.3345135630164859</v>
      </c>
      <c r="AC35" s="11">
        <v>0.901053376910812</v>
      </c>
      <c r="AD35" s="15">
        <v>78747.169123119878</v>
      </c>
      <c r="AE35" s="11">
        <v>232.54104518927298</v>
      </c>
      <c r="AF35" s="11">
        <f>(Opti_Medias__30_INS_1[[#This Row],[All: TS Index]]-AA$114) /ABS(AA$114)</f>
        <v>-0.3800762636900864</v>
      </c>
      <c r="AG35" s="11">
        <f>(Opti_Medias__30_INS_1[[#This Row],[All: Expectancy Score]]-AB$114) /ABS(AB$114)</f>
        <v>-0.4158266052186943</v>
      </c>
      <c r="AH35" s="11"/>
      <c r="AI35" s="11">
        <f>(Opti_Medias__30_INS_1[[#This Row],[All: Perfect Profit Correlation]]-AD$114) /ABS(AD$114)</f>
        <v>-0.46017749783392214</v>
      </c>
      <c r="AJ35" s="11">
        <f>(Opti_Medias__30_INS_1[[#This Row],[All: Robustness Index]]-AE$114) /ABS(AE$114)</f>
        <v>-0.72068213061724595</v>
      </c>
      <c r="AK35" s="11">
        <f>SUM(Opti_Medias__30_INS_1[[#This Row],[VAR TS Index]:[VAR Robustness Index]])</f>
        <v>-1.9767624973599487</v>
      </c>
      <c r="AL35" s="11">
        <f>Opti_Medias__30_INS_1[[#This Row],[SUMA]]-Opti_Medias__30_INS_1[[#This Row],[VAR Robustness Index]]</f>
        <v>-1.2560803667427027</v>
      </c>
    </row>
    <row r="36" spans="1:38" x14ac:dyDescent="0.25">
      <c r="A36" s="11"/>
      <c r="B36" s="89">
        <v>15</v>
      </c>
      <c r="C36" s="89">
        <v>8</v>
      </c>
      <c r="D36" s="89">
        <v>330</v>
      </c>
      <c r="E36" s="10">
        <v>121900</v>
      </c>
      <c r="F36" s="10">
        <v>1642000</v>
      </c>
      <c r="G36" s="10">
        <v>-1520100</v>
      </c>
      <c r="H36" s="89">
        <v>3681</v>
      </c>
      <c r="I36" s="11">
        <v>35.099157837544148</v>
      </c>
      <c r="J36" s="89">
        <v>1292</v>
      </c>
      <c r="K36" s="89">
        <v>2374</v>
      </c>
      <c r="L36" s="12">
        <v>16640</v>
      </c>
      <c r="M36" s="12">
        <v>-6600</v>
      </c>
      <c r="N36" s="12">
        <v>1270.8978271484375</v>
      </c>
      <c r="O36" s="12">
        <v>-640.31170654296875</v>
      </c>
      <c r="P36" s="11">
        <v>1.9848111695630111</v>
      </c>
      <c r="Q36" s="13">
        <v>33.116001086661235</v>
      </c>
      <c r="R36" s="89">
        <v>7</v>
      </c>
      <c r="S36" s="89">
        <v>21</v>
      </c>
      <c r="T36" s="89">
        <v>67</v>
      </c>
      <c r="U36" s="89">
        <v>25</v>
      </c>
      <c r="V36" s="12">
        <v>-41525</v>
      </c>
      <c r="W36" s="11">
        <v>1.0801920926254851</v>
      </c>
      <c r="X36" s="89">
        <v>1</v>
      </c>
      <c r="Y36" s="12">
        <v>41525</v>
      </c>
      <c r="Z36" s="11">
        <v>293.55809753160747</v>
      </c>
      <c r="AA36" s="14">
        <v>3792.7706201083683</v>
      </c>
      <c r="AB36" s="11">
        <v>1.006677227356978</v>
      </c>
      <c r="AC36" s="11">
        <v>1.0741670064542841</v>
      </c>
      <c r="AD36" s="15">
        <v>92177.937312711656</v>
      </c>
      <c r="AE36" s="11">
        <v>233.56628583386984</v>
      </c>
      <c r="AF36" s="11">
        <f>(Opti_Medias__30_INS_1[[#This Row],[All: TS Index]]-AA$114) /ABS(AA$114)</f>
        <v>-0.34948471987800461</v>
      </c>
      <c r="AG36" s="11">
        <f>(Opti_Medias__30_INS_1[[#This Row],[All: Expectancy Score]]-AB$114) /ABS(AB$114)</f>
        <v>-0.5593345248399747</v>
      </c>
      <c r="AH36" s="11"/>
      <c r="AI36" s="11">
        <f>(Opti_Medias__30_INS_1[[#This Row],[All: Perfect Profit Correlation]]-AD$114) /ABS(AD$114)</f>
        <v>-0.36810776414251306</v>
      </c>
      <c r="AJ36" s="11">
        <f>(Opti_Medias__30_INS_1[[#This Row],[All: Robustness Index]]-AE$114) /ABS(AE$114)</f>
        <v>-0.7194506575574241</v>
      </c>
      <c r="AK36" s="11">
        <f>SUM(Opti_Medias__30_INS_1[[#This Row],[VAR TS Index]:[VAR Robustness Index]])</f>
        <v>-1.9963776664179163</v>
      </c>
      <c r="AL36" s="11">
        <f>Opti_Medias__30_INS_1[[#This Row],[SUMA]]-Opti_Medias__30_INS_1[[#This Row],[VAR Robustness Index]]</f>
        <v>-1.276927008860492</v>
      </c>
    </row>
    <row r="37" spans="1:38" x14ac:dyDescent="0.25">
      <c r="A37" s="11"/>
      <c r="B37" s="89">
        <v>34</v>
      </c>
      <c r="C37" s="89">
        <v>2</v>
      </c>
      <c r="D37" s="89">
        <v>79</v>
      </c>
      <c r="E37" s="10">
        <v>94300</v>
      </c>
      <c r="F37" s="10">
        <v>1466460</v>
      </c>
      <c r="G37" s="10">
        <v>-1372160</v>
      </c>
      <c r="H37" s="89">
        <v>3541</v>
      </c>
      <c r="I37" s="11">
        <v>27.026263767297372</v>
      </c>
      <c r="J37" s="89">
        <v>957</v>
      </c>
      <c r="K37" s="89">
        <v>2575</v>
      </c>
      <c r="L37" s="12">
        <v>16320</v>
      </c>
      <c r="M37" s="12">
        <v>-4450</v>
      </c>
      <c r="N37" s="12">
        <v>1532.35107421875</v>
      </c>
      <c r="O37" s="12">
        <v>-532.877685546875</v>
      </c>
      <c r="P37" s="11">
        <v>2.875615015941507</v>
      </c>
      <c r="Q37" s="13">
        <v>26.630895227336911</v>
      </c>
      <c r="R37" s="89">
        <v>6</v>
      </c>
      <c r="S37" s="89">
        <v>20</v>
      </c>
      <c r="T37" s="89">
        <v>96</v>
      </c>
      <c r="U37" s="89">
        <v>21</v>
      </c>
      <c r="V37" s="12">
        <v>-49965</v>
      </c>
      <c r="W37" s="11">
        <v>1.0687237639925371</v>
      </c>
      <c r="X37" s="89">
        <v>1</v>
      </c>
      <c r="Y37" s="12">
        <v>49965</v>
      </c>
      <c r="Z37" s="11">
        <v>188.7321124787351</v>
      </c>
      <c r="AA37" s="14">
        <v>1806.1663164214951</v>
      </c>
      <c r="AB37" s="11">
        <v>1.93139385315881</v>
      </c>
      <c r="AC37" s="11">
        <v>0.739366688831674</v>
      </c>
      <c r="AD37" s="15">
        <v>80056.629056975391</v>
      </c>
      <c r="AE37" s="11">
        <v>147.94479837179335</v>
      </c>
      <c r="AF37" s="11">
        <f>(Opti_Medias__30_INS_1[[#This Row],[All: TS Index]]-AA$114) /ABS(AA$114)</f>
        <v>-0.6902162284624872</v>
      </c>
      <c r="AG37" s="11">
        <f>(Opti_Medias__30_INS_1[[#This Row],[All: Expectancy Score]]-AB$114) /ABS(AB$114)</f>
        <v>-0.15454669392101894</v>
      </c>
      <c r="AH37" s="11"/>
      <c r="AI37" s="11">
        <f>(Opti_Medias__30_INS_1[[#This Row],[All: Perfect Profit Correlation]]-AD$114) /ABS(AD$114)</f>
        <v>-0.45120097276195514</v>
      </c>
      <c r="AJ37" s="11">
        <f>(Opti_Medias__30_INS_1[[#This Row],[All: Robustness Index]]-AE$114) /ABS(AE$114)</f>
        <v>-0.82229534646739133</v>
      </c>
      <c r="AK37" s="11">
        <f>SUM(Opti_Medias__30_INS_1[[#This Row],[VAR TS Index]:[VAR Robustness Index]])</f>
        <v>-2.1182592416128525</v>
      </c>
      <c r="AL37" s="11">
        <f>Opti_Medias__30_INS_1[[#This Row],[SUMA]]-Opti_Medias__30_INS_1[[#This Row],[VAR Robustness Index]]</f>
        <v>-1.2959638951454613</v>
      </c>
    </row>
    <row r="38" spans="1:38" x14ac:dyDescent="0.25">
      <c r="A38" s="11"/>
      <c r="B38" s="89">
        <v>28</v>
      </c>
      <c r="C38" s="89">
        <v>8</v>
      </c>
      <c r="D38" s="89">
        <v>343</v>
      </c>
      <c r="E38" s="10">
        <v>119770</v>
      </c>
      <c r="F38" s="10">
        <v>1587160</v>
      </c>
      <c r="G38" s="10">
        <v>-1467390</v>
      </c>
      <c r="H38" s="89">
        <v>3605</v>
      </c>
      <c r="I38" s="11">
        <v>33.065187239944521</v>
      </c>
      <c r="J38" s="89">
        <v>1192</v>
      </c>
      <c r="K38" s="89">
        <v>2400</v>
      </c>
      <c r="L38" s="12">
        <v>17090</v>
      </c>
      <c r="M38" s="12">
        <v>-5240</v>
      </c>
      <c r="N38" s="12">
        <v>1331.510009765625</v>
      </c>
      <c r="O38" s="12">
        <v>-611.4124755859375</v>
      </c>
      <c r="P38" s="11">
        <v>2.1777606164964061</v>
      </c>
      <c r="Q38" s="13">
        <v>33.223300970873787</v>
      </c>
      <c r="R38" s="89">
        <v>7</v>
      </c>
      <c r="S38" s="89">
        <v>16</v>
      </c>
      <c r="T38" s="89">
        <v>75</v>
      </c>
      <c r="U38" s="89">
        <v>24</v>
      </c>
      <c r="V38" s="12">
        <v>-39965</v>
      </c>
      <c r="W38" s="11">
        <v>1.0816211095891339</v>
      </c>
      <c r="X38" s="89">
        <v>1</v>
      </c>
      <c r="Y38" s="12">
        <v>39965</v>
      </c>
      <c r="Z38" s="11">
        <v>299.68722632303263</v>
      </c>
      <c r="AA38" s="14">
        <v>3572.2717377705494</v>
      </c>
      <c r="AB38" s="11">
        <v>0.95580636357068205</v>
      </c>
      <c r="AC38" s="11">
        <v>1.0375211785267431</v>
      </c>
      <c r="AD38" s="15">
        <v>97415.95614349535</v>
      </c>
      <c r="AE38" s="11">
        <v>229.98567250644243</v>
      </c>
      <c r="AF38" s="11">
        <f>(Opti_Medias__30_INS_1[[#This Row],[All: TS Index]]-AA$114) /ABS(AA$114)</f>
        <v>-0.38730348261838748</v>
      </c>
      <c r="AG38" s="11">
        <f>(Opti_Medias__30_INS_1[[#This Row],[All: Expectancy Score]]-AB$114) /ABS(AB$114)</f>
        <v>-0.58160286741592115</v>
      </c>
      <c r="AH38" s="11"/>
      <c r="AI38" s="11">
        <f>(Opti_Medias__30_INS_1[[#This Row],[All: Perfect Profit Correlation]]-AD$114) /ABS(AD$114)</f>
        <v>-0.33220043613170191</v>
      </c>
      <c r="AJ38" s="11">
        <f>(Opti_Medias__30_INS_1[[#This Row],[All: Robustness Index]]-AE$114) /ABS(AE$114)</f>
        <v>-0.72375152962448863</v>
      </c>
      <c r="AK38" s="11">
        <f>SUM(Opti_Medias__30_INS_1[[#This Row],[VAR TS Index]:[VAR Robustness Index]])</f>
        <v>-2.0248583157904991</v>
      </c>
      <c r="AL38" s="11">
        <f>Opti_Medias__30_INS_1[[#This Row],[SUMA]]-Opti_Medias__30_INS_1[[#This Row],[VAR Robustness Index]]</f>
        <v>-1.3011067861660104</v>
      </c>
    </row>
    <row r="39" spans="1:38" x14ac:dyDescent="0.25">
      <c r="A39" s="11"/>
      <c r="B39" s="89">
        <v>24</v>
      </c>
      <c r="C39" s="89">
        <v>8</v>
      </c>
      <c r="D39" s="89">
        <v>339</v>
      </c>
      <c r="E39" s="10">
        <v>106070</v>
      </c>
      <c r="F39" s="10">
        <v>1577070</v>
      </c>
      <c r="G39" s="10">
        <v>-1471000</v>
      </c>
      <c r="H39" s="89">
        <v>3559</v>
      </c>
      <c r="I39" s="11">
        <v>33.745434110705254</v>
      </c>
      <c r="J39" s="89">
        <v>1201</v>
      </c>
      <c r="K39" s="89">
        <v>2346</v>
      </c>
      <c r="L39" s="12">
        <v>17090</v>
      </c>
      <c r="M39" s="12">
        <v>-5240</v>
      </c>
      <c r="N39" s="12">
        <v>1313.1307373046875</v>
      </c>
      <c r="O39" s="12">
        <v>-627.02471923828125</v>
      </c>
      <c r="P39" s="11">
        <v>2.094224831996891</v>
      </c>
      <c r="Q39" s="13">
        <v>29.803315538072493</v>
      </c>
      <c r="R39" s="89">
        <v>7</v>
      </c>
      <c r="S39" s="89">
        <v>12</v>
      </c>
      <c r="T39" s="89">
        <v>74</v>
      </c>
      <c r="U39" s="89">
        <v>25</v>
      </c>
      <c r="V39" s="12">
        <v>-41105</v>
      </c>
      <c r="W39" s="11">
        <v>1.072107409925221</v>
      </c>
      <c r="X39" s="89">
        <v>1</v>
      </c>
      <c r="Y39" s="12">
        <v>41105</v>
      </c>
      <c r="Z39" s="11">
        <v>258.04646636662204</v>
      </c>
      <c r="AA39" s="14">
        <v>3099.1380610631309</v>
      </c>
      <c r="AB39" s="11">
        <v>1.379655750204289</v>
      </c>
      <c r="AC39" s="11">
        <v>0.90933139017157305</v>
      </c>
      <c r="AD39" s="15">
        <v>78959.857544677739</v>
      </c>
      <c r="AE39" s="11">
        <v>251.33124322326341</v>
      </c>
      <c r="AF39" s="11">
        <f>(Opti_Medias__30_INS_1[[#This Row],[All: TS Index]]-AA$114) /ABS(AA$114)</f>
        <v>-0.46845278403057833</v>
      </c>
      <c r="AG39" s="11">
        <f>(Opti_Medias__30_INS_1[[#This Row],[All: Expectancy Score]]-AB$114) /ABS(AB$114)</f>
        <v>-0.39606594825111407</v>
      </c>
      <c r="AH39" s="11"/>
      <c r="AI39" s="11">
        <f>(Opti_Medias__30_INS_1[[#This Row],[All: Perfect Profit Correlation]]-AD$114) /ABS(AD$114)</f>
        <v>-0.45871948991839173</v>
      </c>
      <c r="AJ39" s="11">
        <f>(Opti_Medias__30_INS_1[[#This Row],[All: Robustness Index]]-AE$114) /ABS(AE$114)</f>
        <v>-0.69811218785354012</v>
      </c>
      <c r="AK39" s="11">
        <f>SUM(Opti_Medias__30_INS_1[[#This Row],[VAR TS Index]:[VAR Robustness Index]])</f>
        <v>-2.0213504100536239</v>
      </c>
      <c r="AL39" s="11">
        <f>Opti_Medias__30_INS_1[[#This Row],[SUMA]]-Opti_Medias__30_INS_1[[#This Row],[VAR Robustness Index]]</f>
        <v>-1.3232382222000838</v>
      </c>
    </row>
    <row r="40" spans="1:38" x14ac:dyDescent="0.25">
      <c r="A40" s="11"/>
      <c r="B40" s="89">
        <v>25</v>
      </c>
      <c r="C40" s="89">
        <v>11</v>
      </c>
      <c r="D40" s="89">
        <v>475</v>
      </c>
      <c r="E40" s="10">
        <v>125140</v>
      </c>
      <c r="F40" s="10">
        <v>1655880</v>
      </c>
      <c r="G40" s="10">
        <v>-1530740</v>
      </c>
      <c r="H40" s="89">
        <v>3729</v>
      </c>
      <c r="I40" s="11">
        <v>39.823008849557525</v>
      </c>
      <c r="J40" s="89">
        <v>1485</v>
      </c>
      <c r="K40" s="89">
        <v>2222</v>
      </c>
      <c r="L40" s="12">
        <v>17430</v>
      </c>
      <c r="M40" s="12">
        <v>-6480</v>
      </c>
      <c r="N40" s="12">
        <v>1115.0706787109375</v>
      </c>
      <c r="O40" s="12">
        <v>-688.90191650390625</v>
      </c>
      <c r="P40" s="11">
        <v>1.618620375408137</v>
      </c>
      <c r="Q40" s="13">
        <v>33.558594797532848</v>
      </c>
      <c r="R40" s="89">
        <v>10</v>
      </c>
      <c r="S40" s="89">
        <v>14</v>
      </c>
      <c r="T40" s="89">
        <v>60</v>
      </c>
      <c r="U40" s="89">
        <v>26</v>
      </c>
      <c r="V40" s="12">
        <v>-52275</v>
      </c>
      <c r="W40" s="11">
        <v>1.081751309824007</v>
      </c>
      <c r="X40" s="89">
        <v>1</v>
      </c>
      <c r="Y40" s="12">
        <v>52275</v>
      </c>
      <c r="Z40" s="11">
        <v>239.38785270205642</v>
      </c>
      <c r="AA40" s="14">
        <v>3554.9096126255381</v>
      </c>
      <c r="AB40" s="11">
        <v>0.82151607049174002</v>
      </c>
      <c r="AC40" s="11">
        <v>1.146434950217966</v>
      </c>
      <c r="AD40" s="15">
        <v>102571.02460840806</v>
      </c>
      <c r="AE40" s="11">
        <v>82.06123666986997</v>
      </c>
      <c r="AF40" s="11">
        <f>(Opti_Medias__30_INS_1[[#This Row],[All: TS Index]]-AA$114) /ABS(AA$114)</f>
        <v>-0.39028133939737125</v>
      </c>
      <c r="AG40" s="11">
        <f>(Opti_Medias__30_INS_1[[#This Row],[All: Expectancy Score]]-AB$114) /ABS(AB$114)</f>
        <v>-0.64038744523375846</v>
      </c>
      <c r="AH40" s="11"/>
      <c r="AI40" s="11">
        <f>(Opti_Medias__30_INS_1[[#This Row],[All: Perfect Profit Correlation]]-AD$114) /ABS(AD$114)</f>
        <v>-0.29686174410563393</v>
      </c>
      <c r="AJ40" s="11">
        <f>(Opti_Medias__30_INS_1[[#This Row],[All: Robustness Index]]-AE$114) /ABS(AE$114)</f>
        <v>-0.90143172459345544</v>
      </c>
      <c r="AK40" s="11">
        <f>SUM(Opti_Medias__30_INS_1[[#This Row],[VAR TS Index]:[VAR Robustness Index]])</f>
        <v>-2.2289622533302191</v>
      </c>
      <c r="AL40" s="11">
        <f>Opti_Medias__30_INS_1[[#This Row],[SUMA]]-Opti_Medias__30_INS_1[[#This Row],[VAR Robustness Index]]</f>
        <v>-1.3275305287367636</v>
      </c>
    </row>
    <row r="41" spans="1:38" x14ac:dyDescent="0.25">
      <c r="A41" s="11"/>
      <c r="B41" s="89">
        <v>32</v>
      </c>
      <c r="C41" s="89">
        <v>11</v>
      </c>
      <c r="D41" s="89">
        <v>482</v>
      </c>
      <c r="E41" s="10">
        <v>136200</v>
      </c>
      <c r="F41" s="10">
        <v>1630060</v>
      </c>
      <c r="G41" s="10">
        <v>-1493860</v>
      </c>
      <c r="H41" s="89">
        <v>3747</v>
      </c>
      <c r="I41" s="11">
        <v>36.295703229250066</v>
      </c>
      <c r="J41" s="89">
        <v>1360</v>
      </c>
      <c r="K41" s="89">
        <v>2367</v>
      </c>
      <c r="L41" s="12">
        <v>18440</v>
      </c>
      <c r="M41" s="12">
        <v>-5240</v>
      </c>
      <c r="N41" s="12">
        <v>1198.573486328125</v>
      </c>
      <c r="O41" s="12">
        <v>-631.11956787109375</v>
      </c>
      <c r="P41" s="11">
        <v>1.8991226818892319</v>
      </c>
      <c r="Q41" s="13">
        <v>36.349079263410729</v>
      </c>
      <c r="R41" s="89">
        <v>7</v>
      </c>
      <c r="S41" s="89">
        <v>13</v>
      </c>
      <c r="T41" s="89">
        <v>65</v>
      </c>
      <c r="U41" s="89">
        <v>25</v>
      </c>
      <c r="V41" s="12">
        <v>-46665</v>
      </c>
      <c r="W41" s="11">
        <v>1.0911732023081151</v>
      </c>
      <c r="X41" s="89">
        <v>1</v>
      </c>
      <c r="Y41" s="12">
        <v>46665</v>
      </c>
      <c r="Z41" s="11">
        <v>291.86756669881066</v>
      </c>
      <c r="AA41" s="14">
        <v>3969.398907103825</v>
      </c>
      <c r="AB41" s="11">
        <v>0.48687694247225599</v>
      </c>
      <c r="AC41" s="11">
        <v>1.2270391016678861</v>
      </c>
      <c r="AD41" s="15">
        <v>110897.19238644594</v>
      </c>
      <c r="AE41" s="11">
        <v>173.47769981265205</v>
      </c>
      <c r="AF41" s="11">
        <f>(Opti_Medias__30_INS_1[[#This Row],[All: TS Index]]-AA$114) /ABS(AA$114)</f>
        <v>-0.31919040179213137</v>
      </c>
      <c r="AG41" s="11">
        <f>(Opti_Medias__30_INS_1[[#This Row],[All: Expectancy Score]]-AB$114) /ABS(AB$114)</f>
        <v>-0.78687323665570974</v>
      </c>
      <c r="AH41" s="11"/>
      <c r="AI41" s="11">
        <f>(Opti_Medias__30_INS_1[[#This Row],[All: Perfect Profit Correlation]]-AD$114) /ABS(AD$114)</f>
        <v>-0.23978473710405313</v>
      </c>
      <c r="AJ41" s="11">
        <f>(Opti_Medias__30_INS_1[[#This Row],[All: Robustness Index]]-AE$114) /ABS(AE$114)</f>
        <v>-0.79162637091593235</v>
      </c>
      <c r="AK41" s="11">
        <f>SUM(Opti_Medias__30_INS_1[[#This Row],[VAR TS Index]:[VAR Robustness Index]])</f>
        <v>-2.1374747464678263</v>
      </c>
      <c r="AL41" s="11">
        <f>Opti_Medias__30_INS_1[[#This Row],[SUMA]]-Opti_Medias__30_INS_1[[#This Row],[VAR Robustness Index]]</f>
        <v>-1.345848375551894</v>
      </c>
    </row>
    <row r="42" spans="1:38" x14ac:dyDescent="0.25">
      <c r="A42" s="11"/>
      <c r="B42" s="89">
        <v>28</v>
      </c>
      <c r="C42" s="89">
        <v>11</v>
      </c>
      <c r="D42" s="89">
        <v>478</v>
      </c>
      <c r="E42" s="10">
        <v>117320</v>
      </c>
      <c r="F42" s="10">
        <v>1635020</v>
      </c>
      <c r="G42" s="10">
        <v>-1517700</v>
      </c>
      <c r="H42" s="89">
        <v>3749</v>
      </c>
      <c r="I42" s="11">
        <v>37.690050680181379</v>
      </c>
      <c r="J42" s="89">
        <v>1413</v>
      </c>
      <c r="K42" s="89">
        <v>2315</v>
      </c>
      <c r="L42" s="12">
        <v>17080</v>
      </c>
      <c r="M42" s="12">
        <v>-4670</v>
      </c>
      <c r="N42" s="12">
        <v>1157.126708984375</v>
      </c>
      <c r="O42" s="12">
        <v>-655.59393310546875</v>
      </c>
      <c r="P42" s="11">
        <v>1.765005212148939</v>
      </c>
      <c r="Q42" s="13">
        <v>31.293678314217125</v>
      </c>
      <c r="R42" s="89">
        <v>8</v>
      </c>
      <c r="S42" s="89">
        <v>15</v>
      </c>
      <c r="T42" s="89">
        <v>62</v>
      </c>
      <c r="U42" s="89">
        <v>25</v>
      </c>
      <c r="V42" s="12">
        <v>-43475</v>
      </c>
      <c r="W42" s="11">
        <v>1.0773011794162219</v>
      </c>
      <c r="X42" s="89">
        <v>1</v>
      </c>
      <c r="Y42" s="12">
        <v>43475</v>
      </c>
      <c r="Z42" s="11">
        <v>269.85623921794132</v>
      </c>
      <c r="AA42" s="14">
        <v>3813.0686601495113</v>
      </c>
      <c r="AB42" s="11">
        <v>0.68777058348837306</v>
      </c>
      <c r="AC42" s="11">
        <v>1.0536727314997649</v>
      </c>
      <c r="AD42" s="15">
        <v>99996.506882898859</v>
      </c>
      <c r="AE42" s="11">
        <v>157.69909577706284</v>
      </c>
      <c r="AF42" s="11">
        <f>(Opti_Medias__30_INS_1[[#This Row],[All: TS Index]]-AA$114) /ABS(AA$114)</f>
        <v>-0.34600331102789222</v>
      </c>
      <c r="AG42" s="11">
        <f>(Opti_Medias__30_INS_1[[#This Row],[All: Expectancy Score]]-AB$114) /ABS(AB$114)</f>
        <v>-0.69893353824073567</v>
      </c>
      <c r="AH42" s="11"/>
      <c r="AI42" s="11">
        <f>(Opti_Medias__30_INS_1[[#This Row],[All: Perfect Profit Correlation]]-AD$114) /ABS(AD$114)</f>
        <v>-0.31451041155528403</v>
      </c>
      <c r="AJ42" s="11">
        <f>(Opti_Medias__30_INS_1[[#This Row],[All: Robustness Index]]-AE$114) /ABS(AE$114)</f>
        <v>-0.81057892209874693</v>
      </c>
      <c r="AK42" s="11">
        <f>SUM(Opti_Medias__30_INS_1[[#This Row],[VAR TS Index]:[VAR Robustness Index]])</f>
        <v>-2.1700261829226593</v>
      </c>
      <c r="AL42" s="11">
        <f>Opti_Medias__30_INS_1[[#This Row],[SUMA]]-Opti_Medias__30_INS_1[[#This Row],[VAR Robustness Index]]</f>
        <v>-1.3594472608239123</v>
      </c>
    </row>
    <row r="43" spans="1:38" x14ac:dyDescent="0.25">
      <c r="A43" s="11"/>
      <c r="B43" s="89">
        <v>29</v>
      </c>
      <c r="C43" s="89">
        <v>8</v>
      </c>
      <c r="D43" s="89">
        <v>344</v>
      </c>
      <c r="E43" s="10">
        <v>120550</v>
      </c>
      <c r="F43" s="10">
        <v>1598210</v>
      </c>
      <c r="G43" s="10">
        <v>-1477660</v>
      </c>
      <c r="H43" s="89">
        <v>3657</v>
      </c>
      <c r="I43" s="11">
        <v>32.64971287940935</v>
      </c>
      <c r="J43" s="89">
        <v>1194</v>
      </c>
      <c r="K43" s="89">
        <v>2448</v>
      </c>
      <c r="L43" s="12">
        <v>17090</v>
      </c>
      <c r="M43" s="12">
        <v>-5240</v>
      </c>
      <c r="N43" s="12">
        <v>1338.5343017578125</v>
      </c>
      <c r="O43" s="12">
        <v>-603.6192626953125</v>
      </c>
      <c r="P43" s="11">
        <v>2.2175142254091069</v>
      </c>
      <c r="Q43" s="13">
        <v>32.964178288214384</v>
      </c>
      <c r="R43" s="89">
        <v>7</v>
      </c>
      <c r="S43" s="89">
        <v>16</v>
      </c>
      <c r="T43" s="89">
        <v>75</v>
      </c>
      <c r="U43" s="89">
        <v>23</v>
      </c>
      <c r="V43" s="12">
        <v>-37585</v>
      </c>
      <c r="W43" s="11">
        <v>1.0815816899692761</v>
      </c>
      <c r="X43" s="89">
        <v>1</v>
      </c>
      <c r="Y43" s="12">
        <v>37585</v>
      </c>
      <c r="Z43" s="11">
        <v>320.73965677796991</v>
      </c>
      <c r="AA43" s="14">
        <v>3829.6315019289609</v>
      </c>
      <c r="AB43" s="11">
        <v>0.64078179489636899</v>
      </c>
      <c r="AC43" s="11">
        <v>1.0416330874474879</v>
      </c>
      <c r="AD43" s="15">
        <v>101445.01727507441</v>
      </c>
      <c r="AE43" s="11">
        <v>222.38108987004108</v>
      </c>
      <c r="AF43" s="11">
        <f>(Opti_Medias__30_INS_1[[#This Row],[All: TS Index]]-AA$114) /ABS(AA$114)</f>
        <v>-0.34316254296175824</v>
      </c>
      <c r="AG43" s="11">
        <f>(Opti_Medias__30_INS_1[[#This Row],[All: Expectancy Score]]-AB$114) /ABS(AB$114)</f>
        <v>-0.7195025312499983</v>
      </c>
      <c r="AH43" s="11"/>
      <c r="AI43" s="11">
        <f>(Opti_Medias__30_INS_1[[#This Row],[All: Perfect Profit Correlation]]-AD$114) /ABS(AD$114)</f>
        <v>-0.30458067677211709</v>
      </c>
      <c r="AJ43" s="11">
        <f>(Opti_Medias__30_INS_1[[#This Row],[All: Robustness Index]]-AE$114) /ABS(AE$114)</f>
        <v>-0.73288581307030287</v>
      </c>
      <c r="AK43" s="11">
        <f>SUM(Opti_Medias__30_INS_1[[#This Row],[VAR TS Index]:[VAR Robustness Index]])</f>
        <v>-2.1001315640541764</v>
      </c>
      <c r="AL43" s="11">
        <f>Opti_Medias__30_INS_1[[#This Row],[SUMA]]-Opti_Medias__30_INS_1[[#This Row],[VAR Robustness Index]]</f>
        <v>-1.3672457509838736</v>
      </c>
    </row>
    <row r="44" spans="1:38" x14ac:dyDescent="0.25">
      <c r="A44" s="11"/>
      <c r="B44" s="89">
        <v>31</v>
      </c>
      <c r="C44" s="89">
        <v>8</v>
      </c>
      <c r="D44" s="89">
        <v>346</v>
      </c>
      <c r="E44" s="10">
        <v>130390</v>
      </c>
      <c r="F44" s="10">
        <v>1615230</v>
      </c>
      <c r="G44" s="10">
        <v>-1484840</v>
      </c>
      <c r="H44" s="89">
        <v>3737</v>
      </c>
      <c r="I44" s="11">
        <v>32.405672999732403</v>
      </c>
      <c r="J44" s="89">
        <v>1211</v>
      </c>
      <c r="K44" s="89">
        <v>2513</v>
      </c>
      <c r="L44" s="12">
        <v>16890</v>
      </c>
      <c r="M44" s="12">
        <v>-5240</v>
      </c>
      <c r="N44" s="12">
        <v>1333.7984619140625</v>
      </c>
      <c r="O44" s="12">
        <v>-590.863525390625</v>
      </c>
      <c r="P44" s="11">
        <v>2.2573714649796282</v>
      </c>
      <c r="Q44" s="13">
        <v>34.891624297564888</v>
      </c>
      <c r="R44" s="89">
        <v>7</v>
      </c>
      <c r="S44" s="89">
        <v>16</v>
      </c>
      <c r="T44" s="89">
        <v>74</v>
      </c>
      <c r="U44" s="89">
        <v>23</v>
      </c>
      <c r="V44" s="12">
        <v>-36995</v>
      </c>
      <c r="W44" s="11">
        <v>1.0878141752646751</v>
      </c>
      <c r="X44" s="89">
        <v>1</v>
      </c>
      <c r="Y44" s="12">
        <v>36995</v>
      </c>
      <c r="Z44" s="11">
        <v>352.45303419380997</v>
      </c>
      <c r="AA44" s="14">
        <v>4268.2062440870386</v>
      </c>
      <c r="AB44" s="11">
        <v>0.282612189157742</v>
      </c>
      <c r="AC44" s="11">
        <v>1.1359446642963029</v>
      </c>
      <c r="AD44" s="15">
        <v>110678.10330536959</v>
      </c>
      <c r="AE44" s="11">
        <v>157.90797118406388</v>
      </c>
      <c r="AF44" s="11">
        <f>(Opti_Medias__30_INS_1[[#This Row],[All: TS Index]]-AA$114) /ABS(AA$114)</f>
        <v>-0.26794060105554246</v>
      </c>
      <c r="AG44" s="11">
        <f>(Opti_Medias__30_INS_1[[#This Row],[All: Expectancy Score]]-AB$114) /ABS(AB$114)</f>
        <v>-0.87628861442690709</v>
      </c>
      <c r="AH44" s="11"/>
      <c r="AI44" s="11">
        <f>(Opti_Medias__30_INS_1[[#This Row],[All: Perfect Profit Correlation]]-AD$114) /ABS(AD$114)</f>
        <v>-0.24128662240686308</v>
      </c>
      <c r="AJ44" s="11">
        <f>(Opti_Medias__30_INS_1[[#This Row],[All: Robustness Index]]-AE$114) /ABS(AE$114)</f>
        <v>-0.81032803033208067</v>
      </c>
      <c r="AK44" s="11">
        <f>SUM(Opti_Medias__30_INS_1[[#This Row],[VAR TS Index]:[VAR Robustness Index]])</f>
        <v>-2.1958438682213934</v>
      </c>
      <c r="AL44" s="11">
        <f>Opti_Medias__30_INS_1[[#This Row],[SUMA]]-Opti_Medias__30_INS_1[[#This Row],[VAR Robustness Index]]</f>
        <v>-1.3855158378893129</v>
      </c>
    </row>
    <row r="45" spans="1:38" x14ac:dyDescent="0.25">
      <c r="A45" s="11"/>
      <c r="B45" s="89">
        <v>37</v>
      </c>
      <c r="C45" s="89">
        <v>2</v>
      </c>
      <c r="D45" s="89">
        <v>82</v>
      </c>
      <c r="E45" s="10">
        <v>93830</v>
      </c>
      <c r="F45" s="10">
        <v>1532100</v>
      </c>
      <c r="G45" s="10">
        <v>-1438270</v>
      </c>
      <c r="H45" s="89">
        <v>4047</v>
      </c>
      <c r="I45" s="11">
        <v>26.53817642698295</v>
      </c>
      <c r="J45" s="89">
        <v>1074</v>
      </c>
      <c r="K45" s="89">
        <v>2959</v>
      </c>
      <c r="L45" s="12">
        <v>17460</v>
      </c>
      <c r="M45" s="12">
        <v>-4300</v>
      </c>
      <c r="N45" s="12">
        <v>1426.5362548828125</v>
      </c>
      <c r="O45" s="12">
        <v>-486.06625366210938</v>
      </c>
      <c r="P45" s="11">
        <v>2.9348596907006721</v>
      </c>
      <c r="Q45" s="13">
        <v>23.185075364467508</v>
      </c>
      <c r="R45" s="89">
        <v>6</v>
      </c>
      <c r="S45" s="89">
        <v>22</v>
      </c>
      <c r="T45" s="89">
        <v>87</v>
      </c>
      <c r="U45" s="89">
        <v>18</v>
      </c>
      <c r="V45" s="12">
        <v>-57805</v>
      </c>
      <c r="W45" s="11">
        <v>1.0652380985489509</v>
      </c>
      <c r="X45" s="89">
        <v>1</v>
      </c>
      <c r="Y45" s="12">
        <v>57805</v>
      </c>
      <c r="Z45" s="11">
        <v>162.32159847764035</v>
      </c>
      <c r="AA45" s="14">
        <v>1743.3339676498572</v>
      </c>
      <c r="AB45" s="11">
        <v>1.9373360297890769</v>
      </c>
      <c r="AC45" s="11">
        <v>0.73520033688592501</v>
      </c>
      <c r="AD45" s="15">
        <v>68129.945228307071</v>
      </c>
      <c r="AE45" s="11">
        <v>121.75380217793558</v>
      </c>
      <c r="AF45" s="11">
        <f>(Opti_Medias__30_INS_1[[#This Row],[All: TS Index]]-AA$114) /ABS(AA$114)</f>
        <v>-0.70099288939347104</v>
      </c>
      <c r="AG45" s="11">
        <f>(Opti_Medias__30_INS_1[[#This Row],[All: Expectancy Score]]-AB$114) /ABS(AB$114)</f>
        <v>-0.15194555026036788</v>
      </c>
      <c r="AH45" s="11"/>
      <c r="AI45" s="11">
        <f>(Opti_Medias__30_INS_1[[#This Row],[All: Perfect Profit Correlation]]-AD$114) /ABS(AD$114)</f>
        <v>-0.5329600045929187</v>
      </c>
      <c r="AJ45" s="11">
        <f>(Opti_Medias__30_INS_1[[#This Row],[All: Robustness Index]]-AE$114) /ABS(AE$114)</f>
        <v>-0.85375479590749237</v>
      </c>
      <c r="AK45" s="11">
        <f>SUM(Opti_Medias__30_INS_1[[#This Row],[VAR TS Index]:[VAR Robustness Index]])</f>
        <v>-2.2396532401542499</v>
      </c>
      <c r="AL45" s="11">
        <f>Opti_Medias__30_INS_1[[#This Row],[SUMA]]-Opti_Medias__30_INS_1[[#This Row],[VAR Robustness Index]]</f>
        <v>-1.3858984442467577</v>
      </c>
    </row>
    <row r="46" spans="1:38" x14ac:dyDescent="0.25">
      <c r="A46" s="11"/>
      <c r="B46" s="89">
        <v>35</v>
      </c>
      <c r="C46" s="89">
        <v>5</v>
      </c>
      <c r="D46" s="89">
        <v>215</v>
      </c>
      <c r="E46" s="10">
        <v>104730</v>
      </c>
      <c r="F46" s="10">
        <v>1475040</v>
      </c>
      <c r="G46" s="10">
        <v>-1370310</v>
      </c>
      <c r="H46" s="89">
        <v>3619</v>
      </c>
      <c r="I46" s="11">
        <v>31.334622823984525</v>
      </c>
      <c r="J46" s="89">
        <v>1134</v>
      </c>
      <c r="K46" s="89">
        <v>2458</v>
      </c>
      <c r="L46" s="12">
        <v>16600</v>
      </c>
      <c r="M46" s="12">
        <v>-4240</v>
      </c>
      <c r="N46" s="12">
        <v>1300.74072265625</v>
      </c>
      <c r="O46" s="12">
        <v>-557.48980712890625</v>
      </c>
      <c r="P46" s="11">
        <v>2.3332098740156599</v>
      </c>
      <c r="Q46" s="13">
        <v>28.938933407018514</v>
      </c>
      <c r="R46" s="89">
        <v>6</v>
      </c>
      <c r="S46" s="89">
        <v>19</v>
      </c>
      <c r="T46" s="89">
        <v>81</v>
      </c>
      <c r="U46" s="89">
        <v>22</v>
      </c>
      <c r="V46" s="12">
        <v>-44165</v>
      </c>
      <c r="W46" s="11">
        <v>1.0764279615561441</v>
      </c>
      <c r="X46" s="89">
        <v>1</v>
      </c>
      <c r="Y46" s="12">
        <v>44165</v>
      </c>
      <c r="Z46" s="11">
        <v>237.13347673497114</v>
      </c>
      <c r="AA46" s="14">
        <v>2689.0936261745728</v>
      </c>
      <c r="AB46" s="11">
        <v>1.300680041716155</v>
      </c>
      <c r="AC46" s="11">
        <v>0.88567018159910804</v>
      </c>
      <c r="AD46" s="15">
        <v>84485.526886039152</v>
      </c>
      <c r="AE46" s="11">
        <v>185.36812726484854</v>
      </c>
      <c r="AF46" s="11">
        <f>(Opti_Medias__30_INS_1[[#This Row],[All: TS Index]]-AA$114) /ABS(AA$114)</f>
        <v>-0.53878136362086593</v>
      </c>
      <c r="AG46" s="11">
        <f>(Opti_Medias__30_INS_1[[#This Row],[All: Expectancy Score]]-AB$114) /ABS(AB$114)</f>
        <v>-0.43063697773431314</v>
      </c>
      <c r="AH46" s="11"/>
      <c r="AI46" s="11">
        <f>(Opti_Medias__30_INS_1[[#This Row],[All: Perfect Profit Correlation]]-AD$114) /ABS(AD$114)</f>
        <v>-0.42084027872627361</v>
      </c>
      <c r="AJ46" s="11">
        <f>(Opti_Medias__30_INS_1[[#This Row],[All: Robustness Index]]-AE$114) /ABS(AE$114)</f>
        <v>-0.77734412298290845</v>
      </c>
      <c r="AK46" s="11">
        <f>SUM(Opti_Medias__30_INS_1[[#This Row],[VAR TS Index]:[VAR Robustness Index]])</f>
        <v>-2.1676027430643612</v>
      </c>
      <c r="AL46" s="11">
        <f>Opti_Medias__30_INS_1[[#This Row],[SUMA]]-Opti_Medias__30_INS_1[[#This Row],[VAR Robustness Index]]</f>
        <v>-1.3902586200814526</v>
      </c>
    </row>
    <row r="47" spans="1:38" x14ac:dyDescent="0.25">
      <c r="A47" s="11"/>
      <c r="B47" s="89">
        <v>27</v>
      </c>
      <c r="C47" s="89">
        <v>8</v>
      </c>
      <c r="D47" s="89">
        <v>342</v>
      </c>
      <c r="E47" s="10">
        <v>111850</v>
      </c>
      <c r="F47" s="10">
        <v>1582020</v>
      </c>
      <c r="G47" s="10">
        <v>-1470170</v>
      </c>
      <c r="H47" s="89">
        <v>3577</v>
      </c>
      <c r="I47" s="11">
        <v>33.072407045009783</v>
      </c>
      <c r="J47" s="89">
        <v>1183</v>
      </c>
      <c r="K47" s="89">
        <v>2381</v>
      </c>
      <c r="L47" s="12">
        <v>17090</v>
      </c>
      <c r="M47" s="12">
        <v>-5240</v>
      </c>
      <c r="N47" s="12">
        <v>1337.2950439453125</v>
      </c>
      <c r="O47" s="12">
        <v>-617.45904541015625</v>
      </c>
      <c r="P47" s="11">
        <v>2.1658036332709241</v>
      </c>
      <c r="Q47" s="13">
        <v>31.269220016773833</v>
      </c>
      <c r="R47" s="89">
        <v>7</v>
      </c>
      <c r="S47" s="89">
        <v>16</v>
      </c>
      <c r="T47" s="89">
        <v>75</v>
      </c>
      <c r="U47" s="89">
        <v>24</v>
      </c>
      <c r="V47" s="12">
        <v>-40305</v>
      </c>
      <c r="W47" s="11">
        <v>1.0760796370487771</v>
      </c>
      <c r="X47" s="89">
        <v>1</v>
      </c>
      <c r="Y47" s="12">
        <v>40305</v>
      </c>
      <c r="Z47" s="11">
        <v>277.50899392134971</v>
      </c>
      <c r="AA47" s="14">
        <v>3282.9313980895672</v>
      </c>
      <c r="AB47" s="11">
        <v>1.0082385589816381</v>
      </c>
      <c r="AC47" s="11">
        <v>0.95983267494504598</v>
      </c>
      <c r="AD47" s="15">
        <v>85985.64308343202</v>
      </c>
      <c r="AE47" s="11">
        <v>246.93832546864161</v>
      </c>
      <c r="AF47" s="11">
        <f>(Opti_Medias__30_INS_1[[#This Row],[All: TS Index]]-AA$114) /ABS(AA$114)</f>
        <v>-0.43692955573767084</v>
      </c>
      <c r="AG47" s="11">
        <f>(Opti_Medias__30_INS_1[[#This Row],[All: Expectancy Score]]-AB$114) /ABS(AB$114)</f>
        <v>-0.55865106352430594</v>
      </c>
      <c r="AH47" s="11"/>
      <c r="AI47" s="11">
        <f>(Opti_Medias__30_INS_1[[#This Row],[All: Perfect Profit Correlation]]-AD$114) /ABS(AD$114)</f>
        <v>-0.41055677916389094</v>
      </c>
      <c r="AJ47" s="11">
        <f>(Opti_Medias__30_INS_1[[#This Row],[All: Robustness Index]]-AE$114) /ABS(AE$114)</f>
        <v>-0.70338876355051405</v>
      </c>
      <c r="AK47" s="11">
        <f>SUM(Opti_Medias__30_INS_1[[#This Row],[VAR TS Index]:[VAR Robustness Index]])</f>
        <v>-2.1095261619763814</v>
      </c>
      <c r="AL47" s="11">
        <f>Opti_Medias__30_INS_1[[#This Row],[SUMA]]-Opti_Medias__30_INS_1[[#This Row],[VAR Robustness Index]]</f>
        <v>-1.4061373984258674</v>
      </c>
    </row>
    <row r="48" spans="1:38" x14ac:dyDescent="0.25">
      <c r="A48" s="11"/>
      <c r="B48" s="89">
        <v>36</v>
      </c>
      <c r="C48" s="89">
        <v>2</v>
      </c>
      <c r="D48" s="89">
        <v>81</v>
      </c>
      <c r="E48" s="10">
        <v>100670</v>
      </c>
      <c r="F48" s="10">
        <v>1510640</v>
      </c>
      <c r="G48" s="10">
        <v>-1409970</v>
      </c>
      <c r="H48" s="89">
        <v>3851</v>
      </c>
      <c r="I48" s="11">
        <v>26.746299662425344</v>
      </c>
      <c r="J48" s="89">
        <v>1030</v>
      </c>
      <c r="K48" s="89">
        <v>2804</v>
      </c>
      <c r="L48" s="12">
        <v>16700</v>
      </c>
      <c r="M48" s="12">
        <v>-4370</v>
      </c>
      <c r="N48" s="12">
        <v>1466.6407470703125</v>
      </c>
      <c r="O48" s="12">
        <v>-502.84237670898438</v>
      </c>
      <c r="P48" s="11">
        <v>2.9167007694721758</v>
      </c>
      <c r="Q48" s="13">
        <v>26.141262009867567</v>
      </c>
      <c r="R48" s="89">
        <v>5</v>
      </c>
      <c r="S48" s="89">
        <v>22</v>
      </c>
      <c r="T48" s="89">
        <v>90</v>
      </c>
      <c r="U48" s="89">
        <v>19</v>
      </c>
      <c r="V48" s="12">
        <v>-53165</v>
      </c>
      <c r="W48" s="11">
        <v>1.0713986822414661</v>
      </c>
      <c r="X48" s="89">
        <v>1</v>
      </c>
      <c r="Y48" s="12">
        <v>53165</v>
      </c>
      <c r="Z48" s="11">
        <v>189.35389824132417</v>
      </c>
      <c r="AA48" s="14">
        <v>1950.3451518856391</v>
      </c>
      <c r="AB48" s="11">
        <v>1.69252253604497</v>
      </c>
      <c r="AC48" s="11">
        <v>0.80227114359838902</v>
      </c>
      <c r="AD48" s="15">
        <v>75251.088170831965</v>
      </c>
      <c r="AE48" s="11">
        <v>92.481670683948664</v>
      </c>
      <c r="AF48" s="11">
        <f>(Opti_Medias__30_INS_1[[#This Row],[All: TS Index]]-AA$114) /ABS(AA$114)</f>
        <v>-0.66548746288874927</v>
      </c>
      <c r="AG48" s="11">
        <f>(Opti_Medias__30_INS_1[[#This Row],[All: Expectancy Score]]-AB$114) /ABS(AB$114)</f>
        <v>-0.25911083781690969</v>
      </c>
      <c r="AH48" s="11"/>
      <c r="AI48" s="11">
        <f>(Opti_Medias__30_INS_1[[#This Row],[All: Perfect Profit Correlation]]-AD$114) /ABS(AD$114)</f>
        <v>-0.48414360592967504</v>
      </c>
      <c r="AJ48" s="11">
        <f>(Opti_Medias__30_INS_1[[#This Row],[All: Robustness Index]]-AE$114) /ABS(AE$114)</f>
        <v>-0.88891516681980731</v>
      </c>
      <c r="AK48" s="11">
        <f>SUM(Opti_Medias__30_INS_1[[#This Row],[VAR TS Index]:[VAR Robustness Index]])</f>
        <v>-2.2976570734551411</v>
      </c>
      <c r="AL48" s="11">
        <f>Opti_Medias__30_INS_1[[#This Row],[SUMA]]-Opti_Medias__30_INS_1[[#This Row],[VAR Robustness Index]]</f>
        <v>-1.4087419066353339</v>
      </c>
    </row>
    <row r="49" spans="1:38" x14ac:dyDescent="0.25">
      <c r="A49" s="11"/>
      <c r="B49" s="89">
        <v>36</v>
      </c>
      <c r="C49" s="89">
        <v>11</v>
      </c>
      <c r="D49" s="89">
        <v>486</v>
      </c>
      <c r="E49" s="10">
        <v>122520</v>
      </c>
      <c r="F49" s="10">
        <v>1620360</v>
      </c>
      <c r="G49" s="10">
        <v>-1497840</v>
      </c>
      <c r="H49" s="89">
        <v>3751</v>
      </c>
      <c r="I49" s="11">
        <v>34.684084244201543</v>
      </c>
      <c r="J49" s="89">
        <v>1301</v>
      </c>
      <c r="K49" s="89">
        <v>2428</v>
      </c>
      <c r="L49" s="12">
        <v>18560</v>
      </c>
      <c r="M49" s="12">
        <v>-5640</v>
      </c>
      <c r="N49" s="12">
        <v>1245.47265625</v>
      </c>
      <c r="O49" s="12">
        <v>-616.90277099609375</v>
      </c>
      <c r="P49" s="11">
        <v>2.0189124037147281</v>
      </c>
      <c r="Q49" s="13">
        <v>32.663289789389495</v>
      </c>
      <c r="R49" s="89">
        <v>9</v>
      </c>
      <c r="S49" s="89">
        <v>13</v>
      </c>
      <c r="T49" s="89">
        <v>69</v>
      </c>
      <c r="U49" s="89">
        <v>23</v>
      </c>
      <c r="V49" s="12">
        <v>-69185</v>
      </c>
      <c r="W49" s="11">
        <v>1.0817977888158949</v>
      </c>
      <c r="X49" s="89">
        <v>1</v>
      </c>
      <c r="Y49" s="12">
        <v>69185</v>
      </c>
      <c r="Z49" s="11">
        <v>177.0904097709041</v>
      </c>
      <c r="AA49" s="14">
        <v>2303.9462311194625</v>
      </c>
      <c r="AB49" s="11">
        <v>1.453201861674936</v>
      </c>
      <c r="AC49" s="11">
        <v>1.079942995161705</v>
      </c>
      <c r="AD49" s="15">
        <v>81302.02139460195</v>
      </c>
      <c r="AE49" s="11">
        <v>143.10244110352781</v>
      </c>
      <c r="AF49" s="11">
        <f>(Opti_Medias__30_INS_1[[#This Row],[All: TS Index]]-AA$114) /ABS(AA$114)</f>
        <v>-0.60483973906129085</v>
      </c>
      <c r="AG49" s="11">
        <f>(Opti_Medias__30_INS_1[[#This Row],[All: Expectancy Score]]-AB$114) /ABS(AB$114)</f>
        <v>-0.36387168451230373</v>
      </c>
      <c r="AH49" s="11"/>
      <c r="AI49" s="11">
        <f>(Opti_Medias__30_INS_1[[#This Row],[All: Perfect Profit Correlation]]-AD$114) /ABS(AD$114)</f>
        <v>-0.44266363973319678</v>
      </c>
      <c r="AJ49" s="11">
        <f>(Opti_Medias__30_INS_1[[#This Row],[All: Robustness Index]]-AE$114) /ABS(AE$114)</f>
        <v>-0.82811176874183812</v>
      </c>
      <c r="AK49" s="11">
        <f>SUM(Opti_Medias__30_INS_1[[#This Row],[VAR TS Index]:[VAR Robustness Index]])</f>
        <v>-2.2394868320486294</v>
      </c>
      <c r="AL49" s="11">
        <f>Opti_Medias__30_INS_1[[#This Row],[SUMA]]-Opti_Medias__30_INS_1[[#This Row],[VAR Robustness Index]]</f>
        <v>-1.4113750633067914</v>
      </c>
    </row>
    <row r="50" spans="1:38" x14ac:dyDescent="0.25">
      <c r="A50" s="11"/>
      <c r="B50" s="89">
        <v>20</v>
      </c>
      <c r="C50" s="89">
        <v>11</v>
      </c>
      <c r="D50" s="89">
        <v>470</v>
      </c>
      <c r="E50" s="10">
        <v>117820</v>
      </c>
      <c r="F50" s="10">
        <v>1620150</v>
      </c>
      <c r="G50" s="10">
        <v>-1502330</v>
      </c>
      <c r="H50" s="89">
        <v>3735</v>
      </c>
      <c r="I50" s="11">
        <v>41.900937081659976</v>
      </c>
      <c r="J50" s="89">
        <v>1565</v>
      </c>
      <c r="K50" s="89">
        <v>2150</v>
      </c>
      <c r="L50" s="12">
        <v>16550</v>
      </c>
      <c r="M50" s="12">
        <v>-6240</v>
      </c>
      <c r="N50" s="12">
        <v>1035.2396240234375</v>
      </c>
      <c r="O50" s="12">
        <v>-698.75811767578125</v>
      </c>
      <c r="P50" s="11">
        <v>1.4815421786681571</v>
      </c>
      <c r="Q50" s="13">
        <v>31.544846050870149</v>
      </c>
      <c r="R50" s="89">
        <v>9</v>
      </c>
      <c r="S50" s="89">
        <v>17</v>
      </c>
      <c r="T50" s="89">
        <v>57</v>
      </c>
      <c r="U50" s="89">
        <v>27</v>
      </c>
      <c r="V50" s="12">
        <v>-52445</v>
      </c>
      <c r="W50" s="11">
        <v>1.078424846738067</v>
      </c>
      <c r="X50" s="89">
        <v>1</v>
      </c>
      <c r="Y50" s="12">
        <v>52445</v>
      </c>
      <c r="Z50" s="11">
        <v>224.65439984745925</v>
      </c>
      <c r="AA50" s="14">
        <v>3515.8413576127373</v>
      </c>
      <c r="AB50" s="11">
        <v>0.58361929770409904</v>
      </c>
      <c r="AC50" s="11">
        <v>1.0926591905989029</v>
      </c>
      <c r="AD50" s="15">
        <v>104440.73153172094</v>
      </c>
      <c r="AE50" s="11">
        <v>231.65320389615215</v>
      </c>
      <c r="AF50" s="11">
        <f>(Opti_Medias__30_INS_1[[#This Row],[All: TS Index]]-AA$114) /ABS(AA$114)</f>
        <v>-0.39698211289492685</v>
      </c>
      <c r="AG50" s="11">
        <f>(Opti_Medias__30_INS_1[[#This Row],[All: Expectancy Score]]-AB$114) /ABS(AB$114)</f>
        <v>-0.74452498959317559</v>
      </c>
      <c r="AH50" s="11"/>
      <c r="AI50" s="11">
        <f>(Opti_Medias__30_INS_1[[#This Row],[All: Perfect Profit Correlation]]-AD$114) /ABS(AD$114)</f>
        <v>-0.28404465009579138</v>
      </c>
      <c r="AJ50" s="11">
        <f>(Opti_Medias__30_INS_1[[#This Row],[All: Robustness Index]]-AE$114) /ABS(AE$114)</f>
        <v>-0.72174856574117296</v>
      </c>
      <c r="AK50" s="11">
        <f>SUM(Opti_Medias__30_INS_1[[#This Row],[VAR TS Index]:[VAR Robustness Index]])</f>
        <v>-2.1473003183250667</v>
      </c>
      <c r="AL50" s="11">
        <f>Opti_Medias__30_INS_1[[#This Row],[SUMA]]-Opti_Medias__30_INS_1[[#This Row],[VAR Robustness Index]]</f>
        <v>-1.4255517525838939</v>
      </c>
    </row>
    <row r="51" spans="1:38" x14ac:dyDescent="0.25">
      <c r="A51" s="11"/>
      <c r="B51" s="89">
        <v>19</v>
      </c>
      <c r="C51" s="89">
        <v>11</v>
      </c>
      <c r="D51" s="89">
        <v>469</v>
      </c>
      <c r="E51" s="10">
        <v>116430</v>
      </c>
      <c r="F51" s="10">
        <v>1625970</v>
      </c>
      <c r="G51" s="10">
        <v>-1509540</v>
      </c>
      <c r="H51" s="89">
        <v>3703</v>
      </c>
      <c r="I51" s="11">
        <v>41.965973534971646</v>
      </c>
      <c r="J51" s="89">
        <v>1554</v>
      </c>
      <c r="K51" s="89">
        <v>2125</v>
      </c>
      <c r="L51" s="12">
        <v>17020</v>
      </c>
      <c r="M51" s="12">
        <v>-4880</v>
      </c>
      <c r="N51" s="12">
        <v>1046.312744140625</v>
      </c>
      <c r="O51" s="12">
        <v>-710.37176513671875</v>
      </c>
      <c r="P51" s="11">
        <v>1.472908687381812</v>
      </c>
      <c r="Q51" s="13">
        <v>31.44207399405887</v>
      </c>
      <c r="R51" s="89">
        <v>9</v>
      </c>
      <c r="S51" s="89">
        <v>12</v>
      </c>
      <c r="T51" s="89">
        <v>57</v>
      </c>
      <c r="U51" s="89">
        <v>28</v>
      </c>
      <c r="V51" s="12">
        <v>-53095</v>
      </c>
      <c r="W51" s="11">
        <v>1.0771294566556699</v>
      </c>
      <c r="X51" s="89">
        <v>1</v>
      </c>
      <c r="Y51" s="12">
        <v>53095</v>
      </c>
      <c r="Z51" s="11">
        <v>219.28618513984367</v>
      </c>
      <c r="AA51" s="14">
        <v>3407.7073170731705</v>
      </c>
      <c r="AB51" s="11">
        <v>0.68722236302796302</v>
      </c>
      <c r="AC51" s="11">
        <v>1.0793002801818281</v>
      </c>
      <c r="AD51" s="15">
        <v>100397.98860719841</v>
      </c>
      <c r="AE51" s="11">
        <v>229.28831763700961</v>
      </c>
      <c r="AF51" s="11">
        <f>(Opti_Medias__30_INS_1[[#This Row],[All: TS Index]]-AA$114) /ABS(AA$114)</f>
        <v>-0.4155286723149399</v>
      </c>
      <c r="AG51" s="11">
        <f>(Opti_Medias__30_INS_1[[#This Row],[All: Expectancy Score]]-AB$114) /ABS(AB$114)</f>
        <v>-0.69917351767318336</v>
      </c>
      <c r="AH51" s="11"/>
      <c r="AI51" s="11">
        <f>(Opti_Medias__30_INS_1[[#This Row],[All: Perfect Profit Correlation]]-AD$114) /ABS(AD$114)</f>
        <v>-0.31175819999772975</v>
      </c>
      <c r="AJ51" s="11">
        <f>(Opti_Medias__30_INS_1[[#This Row],[All: Robustness Index]]-AE$114) /ABS(AE$114)</f>
        <v>-0.72458916100339255</v>
      </c>
      <c r="AK51" s="11">
        <f>SUM(Opti_Medias__30_INS_1[[#This Row],[VAR TS Index]:[VAR Robustness Index]])</f>
        <v>-2.1510495509892458</v>
      </c>
      <c r="AL51" s="11">
        <f>Opti_Medias__30_INS_1[[#This Row],[SUMA]]-Opti_Medias__30_INS_1[[#This Row],[VAR Robustness Index]]</f>
        <v>-1.4264603899858532</v>
      </c>
    </row>
    <row r="52" spans="1:38" x14ac:dyDescent="0.25">
      <c r="A52" s="11"/>
      <c r="B52" s="89">
        <v>33</v>
      </c>
      <c r="C52" s="89">
        <v>1</v>
      </c>
      <c r="D52" s="89">
        <v>33</v>
      </c>
      <c r="E52" s="10">
        <v>130820</v>
      </c>
      <c r="F52" s="10">
        <v>1599430</v>
      </c>
      <c r="G52" s="10">
        <v>-1468610</v>
      </c>
      <c r="H52" s="89">
        <v>3763</v>
      </c>
      <c r="I52" s="11">
        <v>33.537071485516876</v>
      </c>
      <c r="J52" s="89">
        <v>1262</v>
      </c>
      <c r="K52" s="89">
        <v>2481</v>
      </c>
      <c r="L52" s="12">
        <v>17110</v>
      </c>
      <c r="M52" s="12">
        <v>-5700</v>
      </c>
      <c r="N52" s="12">
        <v>1267.377197265625</v>
      </c>
      <c r="O52" s="12">
        <v>-591.9427490234375</v>
      </c>
      <c r="P52" s="11">
        <v>2.1410469160345169</v>
      </c>
      <c r="Q52" s="13">
        <v>34.764815306935958</v>
      </c>
      <c r="R52" s="89">
        <v>7</v>
      </c>
      <c r="S52" s="89">
        <v>14</v>
      </c>
      <c r="T52" s="89">
        <v>69</v>
      </c>
      <c r="U52" s="89">
        <v>24</v>
      </c>
      <c r="V52" s="12">
        <v>-52485</v>
      </c>
      <c r="W52" s="11">
        <v>1.089077426954739</v>
      </c>
      <c r="X52" s="89">
        <v>1</v>
      </c>
      <c r="Y52" s="12">
        <v>52485</v>
      </c>
      <c r="Z52" s="11">
        <v>249.2521672858912</v>
      </c>
      <c r="AA52" s="14">
        <v>3145.5623511479471</v>
      </c>
      <c r="AB52" s="11">
        <v>0.66496116124902804</v>
      </c>
      <c r="AC52" s="11">
        <v>1.152813374277456</v>
      </c>
      <c r="AD52" s="15">
        <v>105191.87874684508</v>
      </c>
      <c r="AE52" s="11">
        <v>179.91638469562076</v>
      </c>
      <c r="AF52" s="11">
        <f>(Opti_Medias__30_INS_1[[#This Row],[All: TS Index]]-AA$114) /ABS(AA$114)</f>
        <v>-0.46049034361594393</v>
      </c>
      <c r="AG52" s="11">
        <f>(Opti_Medias__30_INS_1[[#This Row],[All: Expectancy Score]]-AB$114) /ABS(AB$114)</f>
        <v>-0.70891819331793093</v>
      </c>
      <c r="AH52" s="11"/>
      <c r="AI52" s="11">
        <f>(Opti_Medias__30_INS_1[[#This Row],[All: Perfect Profit Correlation]]-AD$114) /ABS(AD$114)</f>
        <v>-0.27889543427408459</v>
      </c>
      <c r="AJ52" s="11">
        <f>(Opti_Medias__30_INS_1[[#This Row],[All: Robustness Index]]-AE$114) /ABS(AE$114)</f>
        <v>-0.78389251153780004</v>
      </c>
      <c r="AK52" s="11">
        <f>SUM(Opti_Medias__30_INS_1[[#This Row],[VAR TS Index]:[VAR Robustness Index]])</f>
        <v>-2.2321964827457594</v>
      </c>
      <c r="AL52" s="11">
        <f>Opti_Medias__30_INS_1[[#This Row],[SUMA]]-Opti_Medias__30_INS_1[[#This Row],[VAR Robustness Index]]</f>
        <v>-1.4483039712079595</v>
      </c>
    </row>
    <row r="53" spans="1:38" x14ac:dyDescent="0.25">
      <c r="A53" s="11"/>
      <c r="B53" s="89">
        <v>5</v>
      </c>
      <c r="C53" s="89">
        <v>8</v>
      </c>
      <c r="D53" s="89">
        <v>320</v>
      </c>
      <c r="E53" s="10">
        <v>120080</v>
      </c>
      <c r="F53" s="10">
        <v>1750120</v>
      </c>
      <c r="G53" s="10">
        <v>-1630040</v>
      </c>
      <c r="H53" s="89">
        <v>4035</v>
      </c>
      <c r="I53" s="11">
        <v>37.496902106567532</v>
      </c>
      <c r="J53" s="89">
        <v>1513</v>
      </c>
      <c r="K53" s="89">
        <v>2497</v>
      </c>
      <c r="L53" s="12">
        <v>18050</v>
      </c>
      <c r="M53" s="12">
        <v>-6450</v>
      </c>
      <c r="N53" s="12">
        <v>1156.7218017578125</v>
      </c>
      <c r="O53" s="12">
        <v>-652.79937744140625</v>
      </c>
      <c r="P53" s="11">
        <v>1.771940724409832</v>
      </c>
      <c r="Q53" s="13">
        <v>29.759603469640645</v>
      </c>
      <c r="R53" s="89">
        <v>9</v>
      </c>
      <c r="S53" s="89">
        <v>17</v>
      </c>
      <c r="T53" s="89">
        <v>55</v>
      </c>
      <c r="U53" s="89">
        <v>25</v>
      </c>
      <c r="V53" s="12">
        <v>-55455</v>
      </c>
      <c r="W53" s="11">
        <v>1.0736669038796589</v>
      </c>
      <c r="X53" s="89">
        <v>1</v>
      </c>
      <c r="Y53" s="12">
        <v>55455</v>
      </c>
      <c r="Z53" s="11">
        <v>216.53593003336039</v>
      </c>
      <c r="AA53" s="14">
        <v>3276.1886214047427</v>
      </c>
      <c r="AB53" s="11">
        <v>1.0016086576737191</v>
      </c>
      <c r="AC53" s="11">
        <v>1.077070245912815</v>
      </c>
      <c r="AD53" s="15">
        <v>79109.017800279631</v>
      </c>
      <c r="AE53" s="11">
        <v>367.39630533914743</v>
      </c>
      <c r="AF53" s="11">
        <f>(Opti_Medias__30_INS_1[[#This Row],[All: TS Index]]-AA$114) /ABS(AA$114)</f>
        <v>-0.43808603992911482</v>
      </c>
      <c r="AG53" s="11">
        <f>(Opti_Medias__30_INS_1[[#This Row],[All: Expectancy Score]]-AB$114) /ABS(AB$114)</f>
        <v>-0.56155325355177754</v>
      </c>
      <c r="AH53" s="11"/>
      <c r="AI53" s="11">
        <f>(Opti_Medias__30_INS_1[[#This Row],[All: Perfect Profit Correlation]]-AD$114) /ABS(AD$114)</f>
        <v>-0.45769697617854094</v>
      </c>
      <c r="AJ53" s="11">
        <f>(Opti_Medias__30_INS_1[[#This Row],[All: Robustness Index]]-AE$114) /ABS(AE$114)</f>
        <v>-0.5587000430702449</v>
      </c>
      <c r="AK53" s="11">
        <f>SUM(Opti_Medias__30_INS_1[[#This Row],[VAR TS Index]:[VAR Robustness Index]])</f>
        <v>-2.0160363127296783</v>
      </c>
      <c r="AL53" s="11">
        <f>Opti_Medias__30_INS_1[[#This Row],[SUMA]]-Opti_Medias__30_INS_1[[#This Row],[VAR Robustness Index]]</f>
        <v>-1.4573362696594334</v>
      </c>
    </row>
    <row r="54" spans="1:38" x14ac:dyDescent="0.25">
      <c r="A54" s="11"/>
      <c r="B54" s="89">
        <v>37</v>
      </c>
      <c r="C54" s="89">
        <v>1</v>
      </c>
      <c r="D54" s="89">
        <v>37</v>
      </c>
      <c r="E54" s="10">
        <v>102840</v>
      </c>
      <c r="F54" s="10">
        <v>1664050</v>
      </c>
      <c r="G54" s="10">
        <v>-1561210</v>
      </c>
      <c r="H54" s="89">
        <v>4233</v>
      </c>
      <c r="I54" s="11">
        <v>31.82140326009922</v>
      </c>
      <c r="J54" s="89">
        <v>1347</v>
      </c>
      <c r="K54" s="89">
        <v>2869</v>
      </c>
      <c r="L54" s="12">
        <v>18220</v>
      </c>
      <c r="M54" s="12">
        <v>-4830</v>
      </c>
      <c r="N54" s="12">
        <v>1235.3748779296875</v>
      </c>
      <c r="O54" s="12">
        <v>-544.16522216796875</v>
      </c>
      <c r="P54" s="11">
        <v>2.2702201971083729</v>
      </c>
      <c r="Q54" s="13">
        <v>24.294826364280652</v>
      </c>
      <c r="R54" s="89">
        <v>7</v>
      </c>
      <c r="S54" s="89">
        <v>19</v>
      </c>
      <c r="T54" s="89">
        <v>66</v>
      </c>
      <c r="U54" s="89">
        <v>20</v>
      </c>
      <c r="V54" s="12">
        <v>-57355</v>
      </c>
      <c r="W54" s="11">
        <v>1.065871983909916</v>
      </c>
      <c r="X54" s="89">
        <v>1</v>
      </c>
      <c r="Y54" s="12">
        <v>57355</v>
      </c>
      <c r="Z54" s="11">
        <v>179.30433266498125</v>
      </c>
      <c r="AA54" s="14">
        <v>2415.2293609972976</v>
      </c>
      <c r="AB54" s="11">
        <v>1.5256546937796329</v>
      </c>
      <c r="AC54" s="11">
        <v>0.86647036496844398</v>
      </c>
      <c r="AD54" s="15">
        <v>63237.99610878557</v>
      </c>
      <c r="AE54" s="11">
        <v>181.37812813660551</v>
      </c>
      <c r="AF54" s="11">
        <f>(Opti_Medias__30_INS_1[[#This Row],[All: TS Index]]-AA$114) /ABS(AA$114)</f>
        <v>-0.5857530650553463</v>
      </c>
      <c r="AG54" s="11">
        <f>(Opti_Medias__30_INS_1[[#This Row],[All: Expectancy Score]]-AB$114) /ABS(AB$114)</f>
        <v>-0.33215599569123938</v>
      </c>
      <c r="AH54" s="11"/>
      <c r="AI54" s="11">
        <f>(Opti_Medias__30_INS_1[[#This Row],[All: Perfect Profit Correlation]]-AD$114) /ABS(AD$114)</f>
        <v>-0.56649497789513892</v>
      </c>
      <c r="AJ54" s="11">
        <f>(Opti_Medias__30_INS_1[[#This Row],[All: Robustness Index]]-AE$114) /ABS(AE$114)</f>
        <v>-0.78213673090480362</v>
      </c>
      <c r="AK54" s="11">
        <f>SUM(Opti_Medias__30_INS_1[[#This Row],[VAR TS Index]:[VAR Robustness Index]])</f>
        <v>-2.2665407695465283</v>
      </c>
      <c r="AL54" s="11">
        <f>Opti_Medias__30_INS_1[[#This Row],[SUMA]]-Opti_Medias__30_INS_1[[#This Row],[VAR Robustness Index]]</f>
        <v>-1.4844040386417245</v>
      </c>
    </row>
    <row r="55" spans="1:38" x14ac:dyDescent="0.25">
      <c r="A55" s="11"/>
      <c r="B55" s="89">
        <v>30</v>
      </c>
      <c r="C55" s="89">
        <v>8</v>
      </c>
      <c r="D55" s="89">
        <v>345</v>
      </c>
      <c r="E55" s="10">
        <v>121130</v>
      </c>
      <c r="F55" s="10">
        <v>1601550</v>
      </c>
      <c r="G55" s="10">
        <v>-1480420</v>
      </c>
      <c r="H55" s="89">
        <v>3683</v>
      </c>
      <c r="I55" s="11">
        <v>32.609285908226987</v>
      </c>
      <c r="J55" s="89">
        <v>1201</v>
      </c>
      <c r="K55" s="89">
        <v>2466</v>
      </c>
      <c r="L55" s="12">
        <v>16890</v>
      </c>
      <c r="M55" s="12">
        <v>-5240</v>
      </c>
      <c r="N55" s="12">
        <v>1333.5137939453125</v>
      </c>
      <c r="O55" s="12">
        <v>-600.33251953125</v>
      </c>
      <c r="P55" s="11">
        <v>2.2212919516446372</v>
      </c>
      <c r="Q55" s="13">
        <v>32.888949226174311</v>
      </c>
      <c r="R55" s="89">
        <v>7</v>
      </c>
      <c r="S55" s="89">
        <v>16</v>
      </c>
      <c r="T55" s="89">
        <v>74</v>
      </c>
      <c r="U55" s="89">
        <v>23</v>
      </c>
      <c r="V55" s="12">
        <v>-34915</v>
      </c>
      <c r="W55" s="11">
        <v>1.0818213750151979</v>
      </c>
      <c r="X55" s="89">
        <v>1</v>
      </c>
      <c r="Y55" s="12">
        <v>34915</v>
      </c>
      <c r="Z55" s="11">
        <v>346.92825433194901</v>
      </c>
      <c r="AA55" s="14">
        <v>4166.6083345267079</v>
      </c>
      <c r="AB55" s="11">
        <v>0.20318958050970401</v>
      </c>
      <c r="AC55" s="11">
        <v>1.0472829975371041</v>
      </c>
      <c r="AD55" s="15">
        <v>102004.30835355118</v>
      </c>
      <c r="AE55" s="11">
        <v>188.24115577874636</v>
      </c>
      <c r="AF55" s="11">
        <f>(Opti_Medias__30_INS_1[[#This Row],[All: TS Index]]-AA$114) /ABS(AA$114)</f>
        <v>-0.28536611902571679</v>
      </c>
      <c r="AG55" s="11">
        <f>(Opti_Medias__30_INS_1[[#This Row],[All: Expectancy Score]]-AB$114) /ABS(AB$114)</f>
        <v>-0.91105527113396834</v>
      </c>
      <c r="AH55" s="11"/>
      <c r="AI55" s="11">
        <f>(Opti_Medias__30_INS_1[[#This Row],[All: Perfect Profit Correlation]]-AD$114) /ABS(AD$114)</f>
        <v>-0.30074666073338874</v>
      </c>
      <c r="AJ55" s="11">
        <f>(Opti_Medias__30_INS_1[[#This Row],[All: Robustness Index]]-AE$114) /ABS(AE$114)</f>
        <v>-0.77389317004458025</v>
      </c>
      <c r="AK55" s="11">
        <f>SUM(Opti_Medias__30_INS_1[[#This Row],[VAR TS Index]:[VAR Robustness Index]])</f>
        <v>-2.2710612209376544</v>
      </c>
      <c r="AL55" s="11">
        <f>Opti_Medias__30_INS_1[[#This Row],[SUMA]]-Opti_Medias__30_INS_1[[#This Row],[VAR Robustness Index]]</f>
        <v>-1.497168050893074</v>
      </c>
    </row>
    <row r="56" spans="1:38" x14ac:dyDescent="0.25">
      <c r="A56" s="11"/>
      <c r="B56" s="89">
        <v>19</v>
      </c>
      <c r="C56" s="89">
        <v>8</v>
      </c>
      <c r="D56" s="89">
        <v>334</v>
      </c>
      <c r="E56" s="10">
        <v>122110</v>
      </c>
      <c r="F56" s="10">
        <v>1618300</v>
      </c>
      <c r="G56" s="10">
        <v>-1496190</v>
      </c>
      <c r="H56" s="89">
        <v>3603</v>
      </c>
      <c r="I56" s="11">
        <v>33.805162364696088</v>
      </c>
      <c r="J56" s="89">
        <v>1218</v>
      </c>
      <c r="K56" s="89">
        <v>2371</v>
      </c>
      <c r="L56" s="12">
        <v>16840</v>
      </c>
      <c r="M56" s="12">
        <v>-5940</v>
      </c>
      <c r="N56" s="12">
        <v>1328.653564453125</v>
      </c>
      <c r="O56" s="12">
        <v>-631.03753662109375</v>
      </c>
      <c r="P56" s="11">
        <v>2.105506388046952</v>
      </c>
      <c r="Q56" s="13">
        <v>33.891201776297528</v>
      </c>
      <c r="R56" s="89">
        <v>7</v>
      </c>
      <c r="S56" s="89">
        <v>13</v>
      </c>
      <c r="T56" s="89">
        <v>71</v>
      </c>
      <c r="U56" s="89">
        <v>25</v>
      </c>
      <c r="V56" s="12">
        <v>-40775</v>
      </c>
      <c r="W56" s="11">
        <v>1.0816139661406641</v>
      </c>
      <c r="X56" s="89">
        <v>1</v>
      </c>
      <c r="Y56" s="12">
        <v>40775</v>
      </c>
      <c r="Z56" s="11">
        <v>299.47271612507666</v>
      </c>
      <c r="AA56" s="14">
        <v>3647.5776824034333</v>
      </c>
      <c r="AB56" s="11">
        <v>0.42506957512152599</v>
      </c>
      <c r="AC56" s="11">
        <v>1.0646723947464281</v>
      </c>
      <c r="AD56" s="15">
        <v>97561.784307871727</v>
      </c>
      <c r="AE56" s="11">
        <v>254.70013569046932</v>
      </c>
      <c r="AF56" s="11">
        <f>(Opti_Medias__30_INS_1[[#This Row],[All: TS Index]]-AA$114) /ABS(AA$114)</f>
        <v>-0.37438741872356851</v>
      </c>
      <c r="AG56" s="11">
        <f>(Opti_Medias__30_INS_1[[#This Row],[All: Expectancy Score]]-AB$114) /ABS(AB$114)</f>
        <v>-0.81392895239242946</v>
      </c>
      <c r="AH56" s="11"/>
      <c r="AI56" s="11">
        <f>(Opti_Medias__30_INS_1[[#This Row],[All: Perfect Profit Correlation]]-AD$114) /ABS(AD$114)</f>
        <v>-0.33120076432817508</v>
      </c>
      <c r="AJ56" s="11">
        <f>(Opti_Medias__30_INS_1[[#This Row],[All: Robustness Index]]-AE$114) /ABS(AE$114)</f>
        <v>-0.69406562538387517</v>
      </c>
      <c r="AK56" s="11">
        <f>SUM(Opti_Medias__30_INS_1[[#This Row],[VAR TS Index]:[VAR Robustness Index]])</f>
        <v>-2.2135827608280483</v>
      </c>
      <c r="AL56" s="11">
        <f>Opti_Medias__30_INS_1[[#This Row],[SUMA]]-Opti_Medias__30_INS_1[[#This Row],[VAR Robustness Index]]</f>
        <v>-1.5195171354441732</v>
      </c>
    </row>
    <row r="57" spans="1:38" x14ac:dyDescent="0.25">
      <c r="A57" s="11"/>
      <c r="B57" s="89">
        <v>9</v>
      </c>
      <c r="C57" s="89">
        <v>8</v>
      </c>
      <c r="D57" s="89">
        <v>324</v>
      </c>
      <c r="E57" s="4">
        <v>118090</v>
      </c>
      <c r="F57" s="4">
        <v>1709870</v>
      </c>
      <c r="G57" s="4">
        <v>-1591780</v>
      </c>
      <c r="H57" s="89">
        <v>3957</v>
      </c>
      <c r="I57" s="5">
        <v>36.340662117765987</v>
      </c>
      <c r="J57" s="89">
        <v>1438</v>
      </c>
      <c r="K57" s="89">
        <v>2505</v>
      </c>
      <c r="L57" s="6">
        <v>18310</v>
      </c>
      <c r="M57" s="6">
        <v>-6000</v>
      </c>
      <c r="N57" s="6">
        <v>1189.0611572265625</v>
      </c>
      <c r="O57" s="6">
        <v>-635.44110107421875</v>
      </c>
      <c r="P57" s="5">
        <v>1.8712374053495191</v>
      </c>
      <c r="Q57" s="7">
        <v>29.843315643164011</v>
      </c>
      <c r="R57" s="89">
        <v>7</v>
      </c>
      <c r="S57" s="89">
        <v>15</v>
      </c>
      <c r="T57" s="89">
        <v>59</v>
      </c>
      <c r="U57" s="89">
        <v>25</v>
      </c>
      <c r="V57" s="6">
        <v>-57375</v>
      </c>
      <c r="W57" s="5">
        <v>1.0741873877043311</v>
      </c>
      <c r="X57" s="89">
        <v>1</v>
      </c>
      <c r="Y57" s="6">
        <v>57375</v>
      </c>
      <c r="Z57" s="5">
        <v>205.82135076252723</v>
      </c>
      <c r="AA57" s="8">
        <v>2959.7110239651415</v>
      </c>
      <c r="AB57" s="5">
        <v>0.78836478419568001</v>
      </c>
      <c r="AC57" s="5">
        <v>1.0480345759114229</v>
      </c>
      <c r="AD57" s="9">
        <v>90188.419680593855</v>
      </c>
      <c r="AE57" s="5">
        <v>298.02826056733022</v>
      </c>
      <c r="AF57" s="11">
        <f>(Opti_Medias__30_INS_1[[#This Row],[All: TS Index]]-AA$114) /ABS(AA$114)</f>
        <v>-0.49236654712859212</v>
      </c>
      <c r="AG57" s="11">
        <f>(Opti_Medias__30_INS_1[[#This Row],[All: Expectancy Score]]-AB$114) /ABS(AB$114)</f>
        <v>-0.65489917444628287</v>
      </c>
      <c r="AH57" s="11"/>
      <c r="AI57" s="11">
        <f>(Opti_Medias__30_INS_1[[#This Row],[All: Perfect Profit Correlation]]-AD$114) /ABS(AD$114)</f>
        <v>-0.38174617677667649</v>
      </c>
      <c r="AJ57" s="11">
        <f>(Opti_Medias__30_INS_1[[#This Row],[All: Robustness Index]]-AE$114) /ABS(AE$114)</f>
        <v>-0.64202182591138124</v>
      </c>
      <c r="AK57" s="11">
        <f>SUM(Opti_Medias__30_INS_1[[#This Row],[VAR TS Index]:[VAR Robustness Index]])</f>
        <v>-2.1710337242629327</v>
      </c>
      <c r="AL57" s="11">
        <f>Opti_Medias__30_INS_1[[#This Row],[SUMA]]-Opti_Medias__30_INS_1[[#This Row],[VAR Robustness Index]]</f>
        <v>-1.5290118983515515</v>
      </c>
    </row>
    <row r="58" spans="1:38" x14ac:dyDescent="0.25">
      <c r="A58" s="11"/>
      <c r="B58" s="89">
        <v>42</v>
      </c>
      <c r="C58" s="89">
        <v>12</v>
      </c>
      <c r="D58" s="89">
        <v>537</v>
      </c>
      <c r="E58" s="10">
        <v>82590</v>
      </c>
      <c r="F58" s="10">
        <v>1546110</v>
      </c>
      <c r="G58" s="10">
        <v>-1463520</v>
      </c>
      <c r="H58" s="89">
        <v>4111</v>
      </c>
      <c r="I58" s="11">
        <v>27.80345414740939</v>
      </c>
      <c r="J58" s="89">
        <v>1143</v>
      </c>
      <c r="K58" s="89">
        <v>2955</v>
      </c>
      <c r="L58" s="12">
        <v>17270</v>
      </c>
      <c r="M58" s="12">
        <v>-4370</v>
      </c>
      <c r="N58" s="12">
        <v>1352.6771240234375</v>
      </c>
      <c r="O58" s="12">
        <v>-495.26904296875</v>
      </c>
      <c r="P58" s="11">
        <v>2.7311965955214919</v>
      </c>
      <c r="Q58" s="13">
        <v>20.090002432498174</v>
      </c>
      <c r="R58" s="89">
        <v>5</v>
      </c>
      <c r="S58" s="89">
        <v>21</v>
      </c>
      <c r="T58" s="89">
        <v>82</v>
      </c>
      <c r="U58" s="89">
        <v>18</v>
      </c>
      <c r="V58" s="12">
        <v>-64615</v>
      </c>
      <c r="W58" s="11">
        <v>1.0564324368645459</v>
      </c>
      <c r="X58" s="89">
        <v>1</v>
      </c>
      <c r="Y58" s="12">
        <v>64615</v>
      </c>
      <c r="Z58" s="11">
        <v>127.8186179679641</v>
      </c>
      <c r="AA58" s="14">
        <v>1460.9668033738296</v>
      </c>
      <c r="AB58" s="11">
        <v>1.7551238504341571</v>
      </c>
      <c r="AC58" s="11">
        <v>0.63781088613394898</v>
      </c>
      <c r="AD58" s="15">
        <v>62741.402741030761</v>
      </c>
      <c r="AE58" s="11">
        <v>55.770241079829489</v>
      </c>
      <c r="AF58" s="11">
        <f>(Opti_Medias__30_INS_1[[#This Row],[All: TS Index]]-AA$114) /ABS(AA$114)</f>
        <v>-0.7494229615925182</v>
      </c>
      <c r="AG58" s="11">
        <f>(Opti_Medias__30_INS_1[[#This Row],[All: Expectancy Score]]-AB$114) /ABS(AB$114)</f>
        <v>-0.23170757766431771</v>
      </c>
      <c r="AH58" s="11"/>
      <c r="AI58" s="11">
        <f>(Opti_Medias__30_INS_1[[#This Row],[All: Perfect Profit Correlation]]-AD$114) /ABS(AD$114)</f>
        <v>-0.56989919264121247</v>
      </c>
      <c r="AJ58" s="11">
        <f>(Opti_Medias__30_INS_1[[#This Row],[All: Robustness Index]]-AE$114) /ABS(AE$114)</f>
        <v>-0.93301128882128592</v>
      </c>
      <c r="AK58" s="11">
        <f>SUM(Opti_Medias__30_INS_1[[#This Row],[VAR TS Index]:[VAR Robustness Index]])</f>
        <v>-2.4840410207193342</v>
      </c>
      <c r="AL58" s="11">
        <f>Opti_Medias__30_INS_1[[#This Row],[SUMA]]-Opti_Medias__30_INS_1[[#This Row],[VAR Robustness Index]]</f>
        <v>-1.5510297318980482</v>
      </c>
    </row>
    <row r="59" spans="1:38" x14ac:dyDescent="0.25">
      <c r="A59" s="11"/>
      <c r="B59" s="89">
        <v>37</v>
      </c>
      <c r="C59" s="89">
        <v>8</v>
      </c>
      <c r="D59" s="89">
        <v>352</v>
      </c>
      <c r="E59" s="10">
        <v>100780</v>
      </c>
      <c r="F59" s="10">
        <v>1673800</v>
      </c>
      <c r="G59" s="10">
        <v>-1573020</v>
      </c>
      <c r="H59" s="89">
        <v>4311</v>
      </c>
      <c r="I59" s="11">
        <v>29.877058687079565</v>
      </c>
      <c r="J59" s="89">
        <v>1288</v>
      </c>
      <c r="K59" s="89">
        <v>3007</v>
      </c>
      <c r="L59" s="12">
        <v>18070</v>
      </c>
      <c r="M59" s="12">
        <v>-4490</v>
      </c>
      <c r="N59" s="12">
        <v>1299.5341796875</v>
      </c>
      <c r="O59" s="12">
        <v>-523.119384765625</v>
      </c>
      <c r="P59" s="11">
        <v>2.484201919356773</v>
      </c>
      <c r="Q59" s="13">
        <v>23.377406634191601</v>
      </c>
      <c r="R59" s="89">
        <v>7</v>
      </c>
      <c r="S59" s="89">
        <v>17</v>
      </c>
      <c r="T59" s="89">
        <v>70</v>
      </c>
      <c r="U59" s="89">
        <v>19</v>
      </c>
      <c r="V59" s="12">
        <v>-58855</v>
      </c>
      <c r="W59" s="11">
        <v>1.064067844019783</v>
      </c>
      <c r="X59" s="89">
        <v>1</v>
      </c>
      <c r="Y59" s="12">
        <v>58855</v>
      </c>
      <c r="Z59" s="11">
        <v>171.23438960156315</v>
      </c>
      <c r="AA59" s="14">
        <v>2205.4989380681336</v>
      </c>
      <c r="AB59" s="11">
        <v>1.3177252681339291</v>
      </c>
      <c r="AC59" s="11">
        <v>0.82827223659209404</v>
      </c>
      <c r="AD59" s="15">
        <v>69864.186939582883</v>
      </c>
      <c r="AE59" s="11">
        <v>121.29890602184798</v>
      </c>
      <c r="AF59" s="11">
        <f>(Opti_Medias__30_INS_1[[#This Row],[All: TS Index]]-AA$114) /ABS(AA$114)</f>
        <v>-0.62172488051355923</v>
      </c>
      <c r="AG59" s="11">
        <f>(Opti_Medias__30_INS_1[[#This Row],[All: Expectancy Score]]-AB$114) /ABS(AB$114)</f>
        <v>-0.42317555654142558</v>
      </c>
      <c r="AH59" s="11"/>
      <c r="AI59" s="11">
        <f>(Opti_Medias__30_INS_1[[#This Row],[All: Perfect Profit Correlation]]-AD$114) /ABS(AD$114)</f>
        <v>-0.52107154294577074</v>
      </c>
      <c r="AJ59" s="11">
        <f>(Opti_Medias__30_INS_1[[#This Row],[All: Robustness Index]]-AE$114) /ABS(AE$114)</f>
        <v>-0.8543011967590296</v>
      </c>
      <c r="AK59" s="11">
        <f>SUM(Opti_Medias__30_INS_1[[#This Row],[VAR TS Index]:[VAR Robustness Index]])</f>
        <v>-2.4202731767597849</v>
      </c>
      <c r="AL59" s="11">
        <f>Opti_Medias__30_INS_1[[#This Row],[SUMA]]-Opti_Medias__30_INS_1[[#This Row],[VAR Robustness Index]]</f>
        <v>-1.5659719800007554</v>
      </c>
    </row>
    <row r="60" spans="1:38" x14ac:dyDescent="0.25">
      <c r="A60" s="11"/>
      <c r="B60" s="89">
        <v>31</v>
      </c>
      <c r="C60" s="89">
        <v>1</v>
      </c>
      <c r="D60" s="89">
        <v>31</v>
      </c>
      <c r="E60" s="10">
        <v>108860</v>
      </c>
      <c r="F60" s="10">
        <v>1573670</v>
      </c>
      <c r="G60" s="10">
        <v>-1464810</v>
      </c>
      <c r="H60" s="89">
        <v>3673</v>
      </c>
      <c r="I60" s="11">
        <v>33.923223523005717</v>
      </c>
      <c r="J60" s="89">
        <v>1246</v>
      </c>
      <c r="K60" s="89">
        <v>2408</v>
      </c>
      <c r="L60" s="12">
        <v>17310</v>
      </c>
      <c r="M60" s="12">
        <v>-5590</v>
      </c>
      <c r="N60" s="12">
        <v>1262.9775390625</v>
      </c>
      <c r="O60" s="12">
        <v>-608.309814453125</v>
      </c>
      <c r="P60" s="11">
        <v>2.0762077300987261</v>
      </c>
      <c r="Q60" s="13">
        <v>29.637898175878028</v>
      </c>
      <c r="R60" s="89">
        <v>7</v>
      </c>
      <c r="S60" s="89">
        <v>15</v>
      </c>
      <c r="T60" s="89">
        <v>69</v>
      </c>
      <c r="U60" s="89">
        <v>25</v>
      </c>
      <c r="V60" s="12">
        <v>-52055</v>
      </c>
      <c r="W60" s="11">
        <v>1.0743168055925341</v>
      </c>
      <c r="X60" s="89">
        <v>1</v>
      </c>
      <c r="Y60" s="12">
        <v>52055</v>
      </c>
      <c r="Z60" s="11">
        <v>209.12496398040534</v>
      </c>
      <c r="AA60" s="14">
        <v>2605.6970511958507</v>
      </c>
      <c r="AB60" s="11">
        <v>0.83620379911966003</v>
      </c>
      <c r="AC60" s="11">
        <v>0.941291026245903</v>
      </c>
      <c r="AD60" s="15">
        <v>89804.07459067482</v>
      </c>
      <c r="AE60" s="11">
        <v>183.2011576247385</v>
      </c>
      <c r="AF60" s="11">
        <f>(Opti_Medias__30_INS_1[[#This Row],[All: TS Index]]-AA$114) /ABS(AA$114)</f>
        <v>-0.55308508819779489</v>
      </c>
      <c r="AG60" s="11">
        <f>(Opti_Medias__30_INS_1[[#This Row],[All: Expectancy Score]]-AB$114) /ABS(AB$114)</f>
        <v>-0.63395800117864953</v>
      </c>
      <c r="AH60" s="11"/>
      <c r="AI60" s="11">
        <f>(Opti_Medias__30_INS_1[[#This Row],[All: Perfect Profit Correlation]]-AD$114) /ABS(AD$114)</f>
        <v>-0.38438091438623995</v>
      </c>
      <c r="AJ60" s="11">
        <f>(Opti_Medias__30_INS_1[[#This Row],[All: Robustness Index]]-AE$114) /ABS(AE$114)</f>
        <v>-0.77994698968284959</v>
      </c>
      <c r="AK60" s="11">
        <f>SUM(Opti_Medias__30_INS_1[[#This Row],[VAR TS Index]:[VAR Robustness Index]])</f>
        <v>-2.351370993445534</v>
      </c>
      <c r="AL60" s="11">
        <f>Opti_Medias__30_INS_1[[#This Row],[SUMA]]-Opti_Medias__30_INS_1[[#This Row],[VAR Robustness Index]]</f>
        <v>-1.5714240037626843</v>
      </c>
    </row>
    <row r="61" spans="1:38" x14ac:dyDescent="0.25">
      <c r="A61" s="11"/>
      <c r="B61" s="89">
        <v>13</v>
      </c>
      <c r="C61" s="89">
        <v>8</v>
      </c>
      <c r="D61" s="89">
        <v>328</v>
      </c>
      <c r="E61" s="10">
        <v>98670</v>
      </c>
      <c r="F61" s="10">
        <v>1656010</v>
      </c>
      <c r="G61" s="10">
        <v>-1557340</v>
      </c>
      <c r="H61" s="89">
        <v>3795</v>
      </c>
      <c r="I61" s="11">
        <v>35.783926218708828</v>
      </c>
      <c r="J61" s="89">
        <v>1358</v>
      </c>
      <c r="K61" s="89">
        <v>2425</v>
      </c>
      <c r="L61" s="12">
        <v>17820</v>
      </c>
      <c r="M61" s="12">
        <v>-6240</v>
      </c>
      <c r="N61" s="12">
        <v>1219.44775390625</v>
      </c>
      <c r="O61" s="12">
        <v>-642.20208740234375</v>
      </c>
      <c r="P61" s="11">
        <v>1.8988536129473179</v>
      </c>
      <c r="Q61" s="13">
        <v>26</v>
      </c>
      <c r="R61" s="89">
        <v>7</v>
      </c>
      <c r="S61" s="89">
        <v>15</v>
      </c>
      <c r="T61" s="89">
        <v>64</v>
      </c>
      <c r="U61" s="89">
        <v>25</v>
      </c>
      <c r="V61" s="12">
        <v>-46925</v>
      </c>
      <c r="W61" s="11">
        <v>1.0633580335700621</v>
      </c>
      <c r="X61" s="89">
        <v>1</v>
      </c>
      <c r="Y61" s="12">
        <v>46925</v>
      </c>
      <c r="Z61" s="11">
        <v>210.27171017581247</v>
      </c>
      <c r="AA61" s="14">
        <v>2855.4898241875335</v>
      </c>
      <c r="AB61" s="11">
        <v>1.0144396408202001</v>
      </c>
      <c r="AC61" s="11">
        <v>0.85356853251604403</v>
      </c>
      <c r="AD61" s="15">
        <v>71981.934359553037</v>
      </c>
      <c r="AE61" s="11">
        <v>275.05197462429874</v>
      </c>
      <c r="AF61" s="11">
        <f>(Opti_Medias__30_INS_1[[#This Row],[All: TS Index]]-AA$114) /ABS(AA$114)</f>
        <v>-0.51024199749422594</v>
      </c>
      <c r="AG61" s="11">
        <f>(Opti_Medias__30_INS_1[[#This Row],[All: Expectancy Score]]-AB$114) /ABS(AB$114)</f>
        <v>-0.55593658603277607</v>
      </c>
      <c r="AH61" s="11"/>
      <c r="AI61" s="11">
        <f>(Opti_Medias__30_INS_1[[#This Row],[All: Perfect Profit Correlation]]-AD$114) /ABS(AD$114)</f>
        <v>-0.50655409776095828</v>
      </c>
      <c r="AJ61" s="11">
        <f>(Opti_Medias__30_INS_1[[#This Row],[All: Robustness Index]]-AE$114) /ABS(AE$114)</f>
        <v>-0.66961990964198848</v>
      </c>
      <c r="AK61" s="11">
        <f>SUM(Opti_Medias__30_INS_1[[#This Row],[VAR TS Index]:[VAR Robustness Index]])</f>
        <v>-2.2423525909299489</v>
      </c>
      <c r="AL61" s="11">
        <f>Opti_Medias__30_INS_1[[#This Row],[SUMA]]-Opti_Medias__30_INS_1[[#This Row],[VAR Robustness Index]]</f>
        <v>-1.5727326812879605</v>
      </c>
    </row>
    <row r="62" spans="1:38" x14ac:dyDescent="0.25">
      <c r="A62" s="11"/>
      <c r="B62" s="89">
        <v>32</v>
      </c>
      <c r="C62" s="89">
        <v>2</v>
      </c>
      <c r="D62" s="89">
        <v>77</v>
      </c>
      <c r="E62" s="10">
        <v>94990</v>
      </c>
      <c r="F62" s="10">
        <v>1432810</v>
      </c>
      <c r="G62" s="10">
        <v>-1337820</v>
      </c>
      <c r="H62" s="89">
        <v>3331</v>
      </c>
      <c r="I62" s="11">
        <v>27.499249474632244</v>
      </c>
      <c r="J62" s="89">
        <v>916</v>
      </c>
      <c r="K62" s="89">
        <v>2411</v>
      </c>
      <c r="L62" s="12">
        <v>16560</v>
      </c>
      <c r="M62" s="12">
        <v>-4370</v>
      </c>
      <c r="N62" s="12">
        <v>1564.2030029296875</v>
      </c>
      <c r="O62" s="12">
        <v>-554.88177490234375</v>
      </c>
      <c r="P62" s="11">
        <v>2.8189842840035229</v>
      </c>
      <c r="Q62" s="13">
        <v>28.516961873311317</v>
      </c>
      <c r="R62" s="89">
        <v>7</v>
      </c>
      <c r="S62" s="89">
        <v>16</v>
      </c>
      <c r="T62" s="89">
        <v>101</v>
      </c>
      <c r="U62" s="89">
        <v>23</v>
      </c>
      <c r="V62" s="12">
        <v>-46075</v>
      </c>
      <c r="W62" s="11">
        <v>1.0710035729769329</v>
      </c>
      <c r="X62" s="89">
        <v>1</v>
      </c>
      <c r="Y62" s="12">
        <v>46075</v>
      </c>
      <c r="Z62" s="11">
        <v>206.16386326641344</v>
      </c>
      <c r="AA62" s="14">
        <v>1888.4609875203473</v>
      </c>
      <c r="AB62" s="11">
        <v>1.178703193972289</v>
      </c>
      <c r="AC62" s="11">
        <v>0.74894394609926496</v>
      </c>
      <c r="AD62" s="15">
        <v>81717.056748775431</v>
      </c>
      <c r="AE62" s="11">
        <v>156.42566382376569</v>
      </c>
      <c r="AF62" s="11">
        <f>(Opti_Medias__30_INS_1[[#This Row],[All: TS Index]]-AA$114) /ABS(AA$114)</f>
        <v>-0.67610149641447115</v>
      </c>
      <c r="AG62" s="11">
        <f>(Opti_Medias__30_INS_1[[#This Row],[All: Expectancy Score]]-AB$114) /ABS(AB$114)</f>
        <v>-0.48403143636401269</v>
      </c>
      <c r="AH62" s="11"/>
      <c r="AI62" s="11">
        <f>(Opti_Medias__30_INS_1[[#This Row],[All: Perfect Profit Correlation]]-AD$114) /ABS(AD$114)</f>
        <v>-0.43981851620847656</v>
      </c>
      <c r="AJ62" s="11">
        <f>(Opti_Medias__30_INS_1[[#This Row],[All: Robustness Index]]-AE$114) /ABS(AE$114)</f>
        <v>-0.81210851142225493</v>
      </c>
      <c r="AK62" s="11">
        <f>SUM(Opti_Medias__30_INS_1[[#This Row],[VAR TS Index]:[VAR Robustness Index]])</f>
        <v>-2.4120599604092154</v>
      </c>
      <c r="AL62" s="11">
        <f>Opti_Medias__30_INS_1[[#This Row],[SUMA]]-Opti_Medias__30_INS_1[[#This Row],[VAR Robustness Index]]</f>
        <v>-1.5999514489869604</v>
      </c>
    </row>
    <row r="63" spans="1:38" x14ac:dyDescent="0.25">
      <c r="A63" s="11"/>
      <c r="B63" s="89">
        <v>41</v>
      </c>
      <c r="C63" s="89">
        <v>11</v>
      </c>
      <c r="D63" s="89">
        <v>491</v>
      </c>
      <c r="E63" s="10">
        <v>113020</v>
      </c>
      <c r="F63" s="10">
        <v>1661060</v>
      </c>
      <c r="G63" s="10">
        <v>-1548040</v>
      </c>
      <c r="H63" s="89">
        <v>4145</v>
      </c>
      <c r="I63" s="11">
        <v>31.242460796139927</v>
      </c>
      <c r="J63" s="89">
        <v>1295</v>
      </c>
      <c r="K63" s="89">
        <v>2838</v>
      </c>
      <c r="L63" s="12">
        <v>18310</v>
      </c>
      <c r="M63" s="12">
        <v>-5080</v>
      </c>
      <c r="N63" s="12">
        <v>1282.671875</v>
      </c>
      <c r="O63" s="12">
        <v>-545.4686279296875</v>
      </c>
      <c r="P63" s="11">
        <v>2.3515043933293631</v>
      </c>
      <c r="Q63" s="13">
        <v>27.26658624849216</v>
      </c>
      <c r="R63" s="89">
        <v>7</v>
      </c>
      <c r="S63" s="89">
        <v>19</v>
      </c>
      <c r="T63" s="89">
        <v>70</v>
      </c>
      <c r="U63" s="89">
        <v>20</v>
      </c>
      <c r="V63" s="12">
        <v>-67295</v>
      </c>
      <c r="W63" s="11">
        <v>1.073008449394073</v>
      </c>
      <c r="X63" s="89">
        <v>1</v>
      </c>
      <c r="Y63" s="12">
        <v>67295</v>
      </c>
      <c r="Z63" s="11">
        <v>167.94709859573518</v>
      </c>
      <c r="AA63" s="14">
        <v>2174.9149268147708</v>
      </c>
      <c r="AB63" s="11">
        <v>0.95423111825936902</v>
      </c>
      <c r="AC63" s="11">
        <v>0.95920319705644896</v>
      </c>
      <c r="AD63" s="15">
        <v>87722.428946873057</v>
      </c>
      <c r="AE63" s="11">
        <v>82.912734915541591</v>
      </c>
      <c r="AF63" s="11">
        <f>(Opti_Medias__30_INS_1[[#This Row],[All: TS Index]]-AA$114) /ABS(AA$114)</f>
        <v>-0.62697048290835078</v>
      </c>
      <c r="AG63" s="11">
        <f>(Opti_Medias__30_INS_1[[#This Row],[All: Expectancy Score]]-AB$114) /ABS(AB$114)</f>
        <v>-0.58229241934452269</v>
      </c>
      <c r="AH63" s="11"/>
      <c r="AI63" s="11">
        <f>(Opti_Medias__30_INS_1[[#This Row],[All: Perfect Profit Correlation]]-AD$114) /ABS(AD$114)</f>
        <v>-0.39865087700931873</v>
      </c>
      <c r="AJ63" s="11">
        <f>(Opti_Medias__30_INS_1[[#This Row],[All: Robustness Index]]-AE$114) /ABS(AE$114)</f>
        <v>-0.90040894310741459</v>
      </c>
      <c r="AK63" s="11">
        <f>SUM(Opti_Medias__30_INS_1[[#This Row],[VAR TS Index]:[VAR Robustness Index]])</f>
        <v>-2.508322722369607</v>
      </c>
      <c r="AL63" s="11">
        <f>Opti_Medias__30_INS_1[[#This Row],[SUMA]]-Opti_Medias__30_INS_1[[#This Row],[VAR Robustness Index]]</f>
        <v>-1.6079137792621925</v>
      </c>
    </row>
    <row r="64" spans="1:38" x14ac:dyDescent="0.25">
      <c r="A64" s="11"/>
      <c r="B64" s="89">
        <v>11</v>
      </c>
      <c r="C64" s="89">
        <v>8</v>
      </c>
      <c r="D64" s="89">
        <v>326</v>
      </c>
      <c r="E64" s="10">
        <v>118990</v>
      </c>
      <c r="F64" s="10">
        <v>1680180</v>
      </c>
      <c r="G64" s="10">
        <v>-1561190</v>
      </c>
      <c r="H64" s="89">
        <v>3845</v>
      </c>
      <c r="I64" s="11">
        <v>36.020806241872563</v>
      </c>
      <c r="J64" s="89">
        <v>1385</v>
      </c>
      <c r="K64" s="89">
        <v>2453</v>
      </c>
      <c r="L64" s="12">
        <v>17970</v>
      </c>
      <c r="M64" s="12">
        <v>-6520</v>
      </c>
      <c r="N64" s="12">
        <v>1213.1263427734375</v>
      </c>
      <c r="O64" s="12">
        <v>-636.44110107421875</v>
      </c>
      <c r="P64" s="11">
        <v>1.9061093645992679</v>
      </c>
      <c r="Q64" s="13">
        <v>30.946684005201561</v>
      </c>
      <c r="R64" s="89">
        <v>7</v>
      </c>
      <c r="S64" s="89">
        <v>15</v>
      </c>
      <c r="T64" s="89">
        <v>62</v>
      </c>
      <c r="U64" s="89">
        <v>25</v>
      </c>
      <c r="V64" s="12">
        <v>-47465</v>
      </c>
      <c r="W64" s="11">
        <v>1.0762175007526309</v>
      </c>
      <c r="X64" s="89">
        <v>1</v>
      </c>
      <c r="Y64" s="12">
        <v>47465</v>
      </c>
      <c r="Z64" s="11">
        <v>250.68998209206785</v>
      </c>
      <c r="AA64" s="14">
        <v>3472.0562519751397</v>
      </c>
      <c r="AB64" s="11">
        <v>0.26838672298774202</v>
      </c>
      <c r="AC64" s="11">
        <v>1.053642973077483</v>
      </c>
      <c r="AD64" s="15">
        <v>90964.006732547641</v>
      </c>
      <c r="AE64" s="11">
        <v>276.36040917236488</v>
      </c>
      <c r="AF64" s="11">
        <f>(Opti_Medias__30_INS_1[[#This Row],[All: TS Index]]-AA$114) /ABS(AA$114)</f>
        <v>-0.40449189482268266</v>
      </c>
      <c r="AG64" s="11">
        <f>(Opti_Medias__30_INS_1[[#This Row],[All: Expectancy Score]]-AB$114) /ABS(AB$114)</f>
        <v>-0.88251570652636191</v>
      </c>
      <c r="AH64" s="11"/>
      <c r="AI64" s="11">
        <f>(Opti_Medias__30_INS_1[[#This Row],[All: Perfect Profit Correlation]]-AD$114) /ABS(AD$114)</f>
        <v>-0.3764294225657574</v>
      </c>
      <c r="AJ64" s="11">
        <f>(Opti_Medias__30_INS_1[[#This Row],[All: Robustness Index]]-AE$114) /ABS(AE$114)</f>
        <v>-0.66804827677220779</v>
      </c>
      <c r="AK64" s="11">
        <f>SUM(Opti_Medias__30_INS_1[[#This Row],[VAR TS Index]:[VAR Robustness Index]])</f>
        <v>-2.3314853006870098</v>
      </c>
      <c r="AL64" s="11">
        <f>Opti_Medias__30_INS_1[[#This Row],[SUMA]]-Opti_Medias__30_INS_1[[#This Row],[VAR Robustness Index]]</f>
        <v>-1.663437023914802</v>
      </c>
    </row>
    <row r="65" spans="1:38" x14ac:dyDescent="0.25">
      <c r="A65" s="11"/>
      <c r="B65" s="89">
        <v>30</v>
      </c>
      <c r="C65" s="89">
        <v>2</v>
      </c>
      <c r="D65" s="89">
        <v>75</v>
      </c>
      <c r="E65" s="10">
        <v>100410</v>
      </c>
      <c r="F65" s="10">
        <v>1397660</v>
      </c>
      <c r="G65" s="10">
        <v>-1297250</v>
      </c>
      <c r="H65" s="89">
        <v>3135</v>
      </c>
      <c r="I65" s="11">
        <v>27.400318979266348</v>
      </c>
      <c r="J65" s="89">
        <v>859</v>
      </c>
      <c r="K65" s="89">
        <v>2268</v>
      </c>
      <c r="L65" s="12">
        <v>18810</v>
      </c>
      <c r="M65" s="12">
        <v>-4190</v>
      </c>
      <c r="N65" s="12">
        <v>1627.0780029296875</v>
      </c>
      <c r="O65" s="12">
        <v>-571.979736328125</v>
      </c>
      <c r="P65" s="11">
        <v>2.8446427374767862</v>
      </c>
      <c r="Q65" s="13">
        <v>32.028708133971293</v>
      </c>
      <c r="R65" s="89">
        <v>5</v>
      </c>
      <c r="S65" s="89">
        <v>19</v>
      </c>
      <c r="T65" s="89">
        <v>107</v>
      </c>
      <c r="U65" s="89">
        <v>24</v>
      </c>
      <c r="V65" s="12">
        <v>-50395</v>
      </c>
      <c r="W65" s="11">
        <v>1.0774021969550971</v>
      </c>
      <c r="X65" s="89">
        <v>1</v>
      </c>
      <c r="Y65" s="12">
        <v>50395</v>
      </c>
      <c r="Z65" s="11">
        <v>199.24595694017265</v>
      </c>
      <c r="AA65" s="14">
        <v>1711.5227701160829</v>
      </c>
      <c r="AB65" s="11">
        <v>0.94436565206059797</v>
      </c>
      <c r="AC65" s="11">
        <v>0.79962145783756899</v>
      </c>
      <c r="AD65" s="15">
        <v>83585.557012587946</v>
      </c>
      <c r="AE65" s="11">
        <v>120.32833812692674</v>
      </c>
      <c r="AF65" s="11">
        <f>(Opti_Medias__30_INS_1[[#This Row],[All: TS Index]]-AA$114) /ABS(AA$114)</f>
        <v>-0.70644897206954593</v>
      </c>
      <c r="AG65" s="11">
        <f>(Opti_Medias__30_INS_1[[#This Row],[All: Expectancy Score]]-AB$114) /ABS(AB$114)</f>
        <v>-0.58661095385788464</v>
      </c>
      <c r="AH65" s="11"/>
      <c r="AI65" s="11">
        <f>(Opti_Medias__30_INS_1[[#This Row],[All: Perfect Profit Correlation]]-AD$114) /ABS(AD$114)</f>
        <v>-0.42700969401282113</v>
      </c>
      <c r="AJ65" s="11">
        <f>(Opti_Medias__30_INS_1[[#This Row],[All: Robustness Index]]-AE$114) /ABS(AE$114)</f>
        <v>-0.85546699936510306</v>
      </c>
      <c r="AK65" s="11">
        <f>SUM(Opti_Medias__30_INS_1[[#This Row],[VAR TS Index]:[VAR Robustness Index]])</f>
        <v>-2.575536619305355</v>
      </c>
      <c r="AL65" s="11">
        <f>Opti_Medias__30_INS_1[[#This Row],[SUMA]]-Opti_Medias__30_INS_1[[#This Row],[VAR Robustness Index]]</f>
        <v>-1.7200696199402521</v>
      </c>
    </row>
    <row r="66" spans="1:38" x14ac:dyDescent="0.25">
      <c r="A66" s="11"/>
      <c r="B66" s="89">
        <v>40</v>
      </c>
      <c r="C66" s="89">
        <v>5</v>
      </c>
      <c r="D66" s="89">
        <v>220</v>
      </c>
      <c r="E66" s="10">
        <v>92760</v>
      </c>
      <c r="F66" s="10">
        <v>1633850</v>
      </c>
      <c r="G66" s="10">
        <v>-1541090</v>
      </c>
      <c r="H66" s="89">
        <v>4827</v>
      </c>
      <c r="I66" s="11">
        <v>28.112699399212762</v>
      </c>
      <c r="J66" s="89">
        <v>1357</v>
      </c>
      <c r="K66" s="89">
        <v>3437</v>
      </c>
      <c r="L66" s="12">
        <v>17770</v>
      </c>
      <c r="M66" s="12">
        <v>-4310</v>
      </c>
      <c r="N66" s="12">
        <v>1204.0162353515625</v>
      </c>
      <c r="O66" s="12">
        <v>-448.38232421875</v>
      </c>
      <c r="P66" s="11">
        <v>2.6852446457371171</v>
      </c>
      <c r="Q66" s="13">
        <v>19.216904909881915</v>
      </c>
      <c r="R66" s="89">
        <v>6</v>
      </c>
      <c r="S66" s="89">
        <v>27</v>
      </c>
      <c r="T66" s="89">
        <v>69</v>
      </c>
      <c r="U66" s="89">
        <v>16</v>
      </c>
      <c r="V66" s="12">
        <v>-76265</v>
      </c>
      <c r="W66" s="11">
        <v>1.060191163397336</v>
      </c>
      <c r="X66" s="89">
        <v>1</v>
      </c>
      <c r="Y66" s="12">
        <v>76265</v>
      </c>
      <c r="Z66" s="11">
        <v>121.62853209204746</v>
      </c>
      <c r="AA66" s="14">
        <v>1650.4991804890842</v>
      </c>
      <c r="AB66" s="11">
        <v>1.4420458555559399</v>
      </c>
      <c r="AC66" s="11">
        <v>0.74693906959727896</v>
      </c>
      <c r="AD66" s="15">
        <v>53243.829972085092</v>
      </c>
      <c r="AE66" s="11">
        <v>45.127839108414314</v>
      </c>
      <c r="AF66" s="11">
        <f>(Opti_Medias__30_INS_1[[#This Row],[All: TS Index]]-AA$114) /ABS(AA$114)</f>
        <v>-0.71691540452127234</v>
      </c>
      <c r="AG66" s="11">
        <f>(Opti_Medias__30_INS_1[[#This Row],[All: Expectancy Score]]-AB$114) /ABS(AB$114)</f>
        <v>-0.36875514328510489</v>
      </c>
      <c r="AH66" s="11"/>
      <c r="AI66" s="11">
        <f>(Opti_Medias__30_INS_1[[#This Row],[All: Perfect Profit Correlation]]-AD$114) /ABS(AD$114)</f>
        <v>-0.6350063393961729</v>
      </c>
      <c r="AJ66" s="11">
        <f>(Opti_Medias__30_INS_1[[#This Row],[All: Robustness Index]]-AE$114) /ABS(AE$114)</f>
        <v>-0.94579446454560157</v>
      </c>
      <c r="AK66" s="11">
        <f>SUM(Opti_Medias__30_INS_1[[#This Row],[VAR TS Index]:[VAR Robustness Index]])</f>
        <v>-2.666471351748152</v>
      </c>
      <c r="AL66" s="11">
        <f>Opti_Medias__30_INS_1[[#This Row],[SUMA]]-Opti_Medias__30_INS_1[[#This Row],[VAR Robustness Index]]</f>
        <v>-1.7206768872025504</v>
      </c>
    </row>
    <row r="67" spans="1:38" x14ac:dyDescent="0.25">
      <c r="A67" s="11"/>
      <c r="B67" s="89">
        <v>39</v>
      </c>
      <c r="C67" s="89">
        <v>5</v>
      </c>
      <c r="D67" s="89">
        <v>219</v>
      </c>
      <c r="E67" s="10">
        <v>96830</v>
      </c>
      <c r="F67" s="10">
        <v>1595200</v>
      </c>
      <c r="G67" s="10">
        <v>-1498370</v>
      </c>
      <c r="H67" s="89">
        <v>4499</v>
      </c>
      <c r="I67" s="11">
        <v>28.806401422538343</v>
      </c>
      <c r="J67" s="89">
        <v>1296</v>
      </c>
      <c r="K67" s="89">
        <v>3172</v>
      </c>
      <c r="L67" s="12">
        <v>17230</v>
      </c>
      <c r="M67" s="12">
        <v>-4300</v>
      </c>
      <c r="N67" s="12">
        <v>1230.8642578125</v>
      </c>
      <c r="O67" s="12">
        <v>-472.3739013671875</v>
      </c>
      <c r="P67" s="11">
        <v>2.6056991172671071</v>
      </c>
      <c r="Q67" s="13">
        <v>21.522560569015337</v>
      </c>
      <c r="R67" s="89">
        <v>6</v>
      </c>
      <c r="S67" s="89">
        <v>20</v>
      </c>
      <c r="T67" s="89">
        <v>72</v>
      </c>
      <c r="U67" s="89">
        <v>17</v>
      </c>
      <c r="V67" s="12">
        <v>-74985</v>
      </c>
      <c r="W67" s="11">
        <v>1.064623557599258</v>
      </c>
      <c r="X67" s="89">
        <v>1</v>
      </c>
      <c r="Y67" s="12">
        <v>74985</v>
      </c>
      <c r="Z67" s="11">
        <v>129.13249316529973</v>
      </c>
      <c r="AA67" s="14">
        <v>1673.5571114222844</v>
      </c>
      <c r="AB67" s="11">
        <v>1.4690135293325399</v>
      </c>
      <c r="AC67" s="11">
        <v>0.79123228298868098</v>
      </c>
      <c r="AD67" s="15">
        <v>50937.08644351572</v>
      </c>
      <c r="AE67" s="11">
        <v>89.136841082616584</v>
      </c>
      <c r="AF67" s="11">
        <f>(Opti_Medias__30_INS_1[[#This Row],[All: TS Index]]-AA$114) /ABS(AA$114)</f>
        <v>-0.71296063427481449</v>
      </c>
      <c r="AG67" s="11">
        <f>(Opti_Medias__30_INS_1[[#This Row],[All: Expectancy Score]]-AB$114) /ABS(AB$114)</f>
        <v>-0.35695024449949653</v>
      </c>
      <c r="AH67" s="11"/>
      <c r="AI67" s="11">
        <f>(Opti_Medias__30_INS_1[[#This Row],[All: Perfect Profit Correlation]]-AD$114) /ABS(AD$114)</f>
        <v>-0.6508193784846108</v>
      </c>
      <c r="AJ67" s="11">
        <f>(Opti_Medias__30_INS_1[[#This Row],[All: Robustness Index]]-AE$114) /ABS(AE$114)</f>
        <v>-0.89293282605468349</v>
      </c>
      <c r="AK67" s="11">
        <f>SUM(Opti_Medias__30_INS_1[[#This Row],[VAR TS Index]:[VAR Robustness Index]])</f>
        <v>-2.6136630833136052</v>
      </c>
      <c r="AL67" s="11">
        <f>Opti_Medias__30_INS_1[[#This Row],[SUMA]]-Opti_Medias__30_INS_1[[#This Row],[VAR Robustness Index]]</f>
        <v>-1.7207302572589218</v>
      </c>
    </row>
    <row r="68" spans="1:38" x14ac:dyDescent="0.25">
      <c r="A68" s="11"/>
      <c r="B68" s="89">
        <v>12</v>
      </c>
      <c r="C68" s="89">
        <v>8</v>
      </c>
      <c r="D68" s="89">
        <v>327</v>
      </c>
      <c r="E68" s="10">
        <v>106450</v>
      </c>
      <c r="F68" s="10">
        <v>1674250</v>
      </c>
      <c r="G68" s="10">
        <v>-1567800</v>
      </c>
      <c r="H68" s="89">
        <v>3811</v>
      </c>
      <c r="I68" s="11">
        <v>36.027289425347675</v>
      </c>
      <c r="J68" s="89">
        <v>1373</v>
      </c>
      <c r="K68" s="89">
        <v>2429</v>
      </c>
      <c r="L68" s="12">
        <v>17970</v>
      </c>
      <c r="M68" s="12">
        <v>-6520</v>
      </c>
      <c r="N68" s="12">
        <v>1219.4100341796875</v>
      </c>
      <c r="O68" s="12">
        <v>-645.4508056640625</v>
      </c>
      <c r="P68" s="11">
        <v>1.8892377598399861</v>
      </c>
      <c r="Q68" s="13">
        <v>27.932301233272106</v>
      </c>
      <c r="R68" s="89">
        <v>7</v>
      </c>
      <c r="S68" s="89">
        <v>15</v>
      </c>
      <c r="T68" s="89">
        <v>63</v>
      </c>
      <c r="U68" s="89">
        <v>25</v>
      </c>
      <c r="V68" s="12">
        <v>-52525</v>
      </c>
      <c r="W68" s="11">
        <v>1.067897691032019</v>
      </c>
      <c r="X68" s="89">
        <v>1</v>
      </c>
      <c r="Y68" s="12">
        <v>52525</v>
      </c>
      <c r="Z68" s="11">
        <v>202.66539742979535</v>
      </c>
      <c r="AA68" s="14">
        <v>2782.5959067110898</v>
      </c>
      <c r="AB68" s="11">
        <v>0.63856410038599398</v>
      </c>
      <c r="AC68" s="11">
        <v>0.93076931447136901</v>
      </c>
      <c r="AD68" s="15">
        <v>75989.410190694718</v>
      </c>
      <c r="AE68" s="11">
        <v>273.14299672429433</v>
      </c>
      <c r="AF68" s="11">
        <f>(Opti_Medias__30_INS_1[[#This Row],[All: TS Index]]-AA$114) /ABS(AA$114)</f>
        <v>-0.52274436367871813</v>
      </c>
      <c r="AG68" s="11">
        <f>(Opti_Medias__30_INS_1[[#This Row],[All: Expectancy Score]]-AB$114) /ABS(AB$114)</f>
        <v>-0.72047331054113217</v>
      </c>
      <c r="AH68" s="11"/>
      <c r="AI68" s="11">
        <f>(Opti_Medias__30_INS_1[[#This Row],[All: Perfect Profit Correlation]]-AD$114) /ABS(AD$114)</f>
        <v>-0.47908230855727707</v>
      </c>
      <c r="AJ68" s="11">
        <f>(Opti_Medias__30_INS_1[[#This Row],[All: Robustness Index]]-AE$114) /ABS(AE$114)</f>
        <v>-0.6719128882397839</v>
      </c>
      <c r="AK68" s="11">
        <f>SUM(Opti_Medias__30_INS_1[[#This Row],[VAR TS Index]:[VAR Robustness Index]])</f>
        <v>-2.394212871016911</v>
      </c>
      <c r="AL68" s="11">
        <f>Opti_Medias__30_INS_1[[#This Row],[SUMA]]-Opti_Medias__30_INS_1[[#This Row],[VAR Robustness Index]]</f>
        <v>-1.7222999827771273</v>
      </c>
    </row>
    <row r="69" spans="1:38" x14ac:dyDescent="0.25">
      <c r="A69" s="11"/>
      <c r="B69" s="89">
        <v>38</v>
      </c>
      <c r="C69" s="89">
        <v>1</v>
      </c>
      <c r="D69" s="89">
        <v>38</v>
      </c>
      <c r="E69" s="10">
        <v>103660</v>
      </c>
      <c r="F69" s="10">
        <v>1678650</v>
      </c>
      <c r="G69" s="10">
        <v>-1574990</v>
      </c>
      <c r="H69" s="89">
        <v>4389</v>
      </c>
      <c r="I69" s="11">
        <v>31.510594668489404</v>
      </c>
      <c r="J69" s="89">
        <v>1383</v>
      </c>
      <c r="K69" s="89">
        <v>2988</v>
      </c>
      <c r="L69" s="12">
        <v>18740</v>
      </c>
      <c r="M69" s="12">
        <v>-5240</v>
      </c>
      <c r="N69" s="12">
        <v>1213.7744140625</v>
      </c>
      <c r="O69" s="12">
        <v>-527.1051025390625</v>
      </c>
      <c r="P69" s="11">
        <v>2.3027180124338682</v>
      </c>
      <c r="Q69" s="13">
        <v>23.618136249715196</v>
      </c>
      <c r="R69" s="89">
        <v>7</v>
      </c>
      <c r="S69" s="89">
        <v>20</v>
      </c>
      <c r="T69" s="89">
        <v>65</v>
      </c>
      <c r="U69" s="89">
        <v>19</v>
      </c>
      <c r="V69" s="12">
        <v>-52815</v>
      </c>
      <c r="W69" s="11">
        <v>1.065816290897085</v>
      </c>
      <c r="X69" s="89">
        <v>1</v>
      </c>
      <c r="Y69" s="12">
        <v>52815</v>
      </c>
      <c r="Z69" s="11">
        <v>196.26999905329924</v>
      </c>
      <c r="AA69" s="14">
        <v>2714.4140869071289</v>
      </c>
      <c r="AB69" s="11">
        <v>0.93084594953719402</v>
      </c>
      <c r="AC69" s="11">
        <v>0.87334233482526802</v>
      </c>
      <c r="AD69" s="15">
        <v>58042.461589959777</v>
      </c>
      <c r="AE69" s="11">
        <v>145.45832720055154</v>
      </c>
      <c r="AF69" s="11">
        <f>(Opti_Medias__30_INS_1[[#This Row],[All: TS Index]]-AA$114) /ABS(AA$114)</f>
        <v>-0.53443853663340468</v>
      </c>
      <c r="AG69" s="11">
        <f>(Opti_Medias__30_INS_1[[#This Row],[All: Expectancy Score]]-AB$114) /ABS(AB$114)</f>
        <v>-0.59252910316592045</v>
      </c>
      <c r="AH69" s="11"/>
      <c r="AI69" s="11">
        <f>(Opti_Medias__30_INS_1[[#This Row],[All: Perfect Profit Correlation]]-AD$114) /ABS(AD$114)</f>
        <v>-0.60211107019755195</v>
      </c>
      <c r="AJ69" s="11">
        <f>(Opti_Medias__30_INS_1[[#This Row],[All: Robustness Index]]-AE$114) /ABS(AE$114)</f>
        <v>-0.82528198407051889</v>
      </c>
      <c r="AK69" s="11">
        <f>SUM(Opti_Medias__30_INS_1[[#This Row],[VAR TS Index]:[VAR Robustness Index]])</f>
        <v>-2.554360694067396</v>
      </c>
      <c r="AL69" s="11">
        <f>Opti_Medias__30_INS_1[[#This Row],[SUMA]]-Opti_Medias__30_INS_1[[#This Row],[VAR Robustness Index]]</f>
        <v>-1.7290787099968772</v>
      </c>
    </row>
    <row r="70" spans="1:38" x14ac:dyDescent="0.25">
      <c r="A70" s="11"/>
      <c r="B70" s="89">
        <v>8</v>
      </c>
      <c r="C70" s="89">
        <v>8</v>
      </c>
      <c r="D70" s="89">
        <v>323</v>
      </c>
      <c r="E70" s="10">
        <v>104930</v>
      </c>
      <c r="F70" s="10">
        <v>1723340</v>
      </c>
      <c r="G70" s="10">
        <v>-1618410</v>
      </c>
      <c r="H70" s="89">
        <v>3989</v>
      </c>
      <c r="I70" s="11">
        <v>36.67585861118075</v>
      </c>
      <c r="J70" s="89">
        <v>1463</v>
      </c>
      <c r="K70" s="89">
        <v>2509</v>
      </c>
      <c r="L70" s="12">
        <v>18390</v>
      </c>
      <c r="M70" s="12">
        <v>-6550</v>
      </c>
      <c r="N70" s="12">
        <v>1177.949462890625</v>
      </c>
      <c r="O70" s="12">
        <v>-645.0418701171875</v>
      </c>
      <c r="P70" s="11">
        <v>1.8261596920470009</v>
      </c>
      <c r="Q70" s="13">
        <v>26.304838305339683</v>
      </c>
      <c r="R70" s="89">
        <v>9</v>
      </c>
      <c r="S70" s="89">
        <v>15</v>
      </c>
      <c r="T70" s="89">
        <v>58</v>
      </c>
      <c r="U70" s="89">
        <v>25</v>
      </c>
      <c r="V70" s="12">
        <v>-62265</v>
      </c>
      <c r="W70" s="11">
        <v>1.064835239525213</v>
      </c>
      <c r="X70" s="89">
        <v>1</v>
      </c>
      <c r="Y70" s="12">
        <v>62265</v>
      </c>
      <c r="Z70" s="11">
        <v>168.52164137155705</v>
      </c>
      <c r="AA70" s="14">
        <v>2465.4716132658796</v>
      </c>
      <c r="AB70" s="11">
        <v>0.73877726886203399</v>
      </c>
      <c r="AC70" s="11">
        <v>0.92184491189431195</v>
      </c>
      <c r="AD70" s="15">
        <v>73849.943729923165</v>
      </c>
      <c r="AE70" s="11">
        <v>370.63002778193237</v>
      </c>
      <c r="AF70" s="11">
        <f>(Opti_Medias__30_INS_1[[#This Row],[All: TS Index]]-AA$114) /ABS(AA$114)</f>
        <v>-0.57713578864132409</v>
      </c>
      <c r="AG70" s="11">
        <f>(Opti_Medias__30_INS_1[[#This Row],[All: Expectancy Score]]-AB$114) /ABS(AB$114)</f>
        <v>-0.67660574077427771</v>
      </c>
      <c r="AH70" s="11"/>
      <c r="AI70" s="11">
        <f>(Opti_Medias__30_INS_1[[#This Row],[All: Perfect Profit Correlation]]-AD$114) /ABS(AD$114)</f>
        <v>-0.4937486407062891</v>
      </c>
      <c r="AJ70" s="11">
        <f>(Opti_Medias__30_INS_1[[#This Row],[All: Robustness Index]]-AE$114) /ABS(AE$114)</f>
        <v>-0.55481584076884594</v>
      </c>
      <c r="AK70" s="11">
        <f>SUM(Opti_Medias__30_INS_1[[#This Row],[VAR TS Index]:[VAR Robustness Index]])</f>
        <v>-2.3023060108907369</v>
      </c>
      <c r="AL70" s="11">
        <f>Opti_Medias__30_INS_1[[#This Row],[SUMA]]-Opti_Medias__30_INS_1[[#This Row],[VAR Robustness Index]]</f>
        <v>-1.747490170121891</v>
      </c>
    </row>
    <row r="71" spans="1:38" x14ac:dyDescent="0.25">
      <c r="A71" s="11"/>
      <c r="B71" s="89">
        <v>38</v>
      </c>
      <c r="C71" s="89">
        <v>5</v>
      </c>
      <c r="D71" s="89">
        <v>218</v>
      </c>
      <c r="E71" s="10">
        <v>98880</v>
      </c>
      <c r="F71" s="10">
        <v>1571920</v>
      </c>
      <c r="G71" s="10">
        <v>-1473040</v>
      </c>
      <c r="H71" s="89">
        <v>4255</v>
      </c>
      <c r="I71" s="11">
        <v>29.776733254994124</v>
      </c>
      <c r="J71" s="89">
        <v>1267</v>
      </c>
      <c r="K71" s="89">
        <v>2965</v>
      </c>
      <c r="L71" s="12">
        <v>17400</v>
      </c>
      <c r="M71" s="12">
        <v>-4300</v>
      </c>
      <c r="N71" s="12">
        <v>1240.6629638671875</v>
      </c>
      <c r="O71" s="12">
        <v>-496.8094482421875</v>
      </c>
      <c r="P71" s="11">
        <v>2.4972612100210738</v>
      </c>
      <c r="Q71" s="13">
        <v>23.238542890716804</v>
      </c>
      <c r="R71" s="89">
        <v>5</v>
      </c>
      <c r="S71" s="89">
        <v>22</v>
      </c>
      <c r="T71" s="89">
        <v>74</v>
      </c>
      <c r="U71" s="89">
        <v>18</v>
      </c>
      <c r="V71" s="12">
        <v>-59325</v>
      </c>
      <c r="W71" s="11">
        <v>1.0671264867213379</v>
      </c>
      <c r="X71" s="89">
        <v>1</v>
      </c>
      <c r="Y71" s="12">
        <v>59325</v>
      </c>
      <c r="Z71" s="11">
        <v>166.67509481668773</v>
      </c>
      <c r="AA71" s="14">
        <v>2111.7734513274336</v>
      </c>
      <c r="AB71" s="11">
        <v>1.0995681457519371</v>
      </c>
      <c r="AC71" s="11">
        <v>0.81770846443519196</v>
      </c>
      <c r="AD71" s="15">
        <v>57650.79731083176</v>
      </c>
      <c r="AE71" s="11">
        <v>155.62851797331052</v>
      </c>
      <c r="AF71" s="11">
        <f>(Opti_Medias__30_INS_1[[#This Row],[All: TS Index]]-AA$114) /ABS(AA$114)</f>
        <v>-0.63780016356348823</v>
      </c>
      <c r="AG71" s="11">
        <f>(Opti_Medias__30_INS_1[[#This Row],[All: Expectancy Score]]-AB$114) /ABS(AB$114)</f>
        <v>-0.51867221563085797</v>
      </c>
      <c r="AH71" s="11"/>
      <c r="AI71" s="11">
        <f>(Opti_Medias__30_INS_1[[#This Row],[All: Perfect Profit Correlation]]-AD$114) /ABS(AD$114)</f>
        <v>-0.60479598183973926</v>
      </c>
      <c r="AJ71" s="11">
        <f>(Opti_Medias__30_INS_1[[#This Row],[All: Robustness Index]]-AE$114) /ABS(AE$114)</f>
        <v>-0.81306600724994937</v>
      </c>
      <c r="AK71" s="11">
        <f>SUM(Opti_Medias__30_INS_1[[#This Row],[VAR TS Index]:[VAR Robustness Index]])</f>
        <v>-2.5743343682840347</v>
      </c>
      <c r="AL71" s="11">
        <f>Opti_Medias__30_INS_1[[#This Row],[SUMA]]-Opti_Medias__30_INS_1[[#This Row],[VAR Robustness Index]]</f>
        <v>-1.7612683610340854</v>
      </c>
    </row>
    <row r="72" spans="1:38" x14ac:dyDescent="0.25">
      <c r="A72" s="11"/>
      <c r="B72" s="89">
        <v>21</v>
      </c>
      <c r="C72" s="89">
        <v>11</v>
      </c>
      <c r="D72" s="89">
        <v>471</v>
      </c>
      <c r="E72" s="10">
        <v>96810</v>
      </c>
      <c r="F72" s="10">
        <v>1621640</v>
      </c>
      <c r="G72" s="10">
        <v>-1524830</v>
      </c>
      <c r="H72" s="89">
        <v>3743</v>
      </c>
      <c r="I72" s="11">
        <v>41.036601656425326</v>
      </c>
      <c r="J72" s="89">
        <v>1536</v>
      </c>
      <c r="K72" s="89">
        <v>2193</v>
      </c>
      <c r="L72" s="12">
        <v>16700</v>
      </c>
      <c r="M72" s="12">
        <v>-6220</v>
      </c>
      <c r="N72" s="12">
        <v>1055.7552490234375</v>
      </c>
      <c r="O72" s="12">
        <v>-695.31689453125</v>
      </c>
      <c r="P72" s="11">
        <v>1.5183799751265621</v>
      </c>
      <c r="Q72" s="13">
        <v>25.864279989313385</v>
      </c>
      <c r="R72" s="89">
        <v>9</v>
      </c>
      <c r="S72" s="89">
        <v>14</v>
      </c>
      <c r="T72" s="89">
        <v>57</v>
      </c>
      <c r="U72" s="89">
        <v>27</v>
      </c>
      <c r="V72" s="12">
        <v>-53715</v>
      </c>
      <c r="W72" s="11">
        <v>1.0634890446803911</v>
      </c>
      <c r="X72" s="89">
        <v>1</v>
      </c>
      <c r="Y72" s="12">
        <v>53715</v>
      </c>
      <c r="Z72" s="11">
        <v>180.22898631667132</v>
      </c>
      <c r="AA72" s="14">
        <v>2768.3172298240715</v>
      </c>
      <c r="AB72" s="11">
        <v>0.46079521140988899</v>
      </c>
      <c r="AC72" s="11">
        <v>0.87994343357798899</v>
      </c>
      <c r="AD72" s="15">
        <v>81113.919437775359</v>
      </c>
      <c r="AE72" s="11">
        <v>336.25438627283955</v>
      </c>
      <c r="AF72" s="11">
        <f>(Opti_Medias__30_INS_1[[#This Row],[All: TS Index]]-AA$114) /ABS(AA$114)</f>
        <v>-0.52519336427097241</v>
      </c>
      <c r="AG72" s="11">
        <f>(Opti_Medias__30_INS_1[[#This Row],[All: Expectancy Score]]-AB$114) /ABS(AB$114)</f>
        <v>-0.7982903206020403</v>
      </c>
      <c r="AH72" s="11"/>
      <c r="AI72" s="11">
        <f>(Opti_Medias__30_INS_1[[#This Row],[All: Perfect Profit Correlation]]-AD$114) /ABS(AD$114)</f>
        <v>-0.44395310410540434</v>
      </c>
      <c r="AJ72" s="11">
        <f>(Opti_Medias__30_INS_1[[#This Row],[All: Robustness Index]]-AE$114) /ABS(AE$114)</f>
        <v>-0.59610631891720889</v>
      </c>
      <c r="AK72" s="11">
        <f>SUM(Opti_Medias__30_INS_1[[#This Row],[VAR TS Index]:[VAR Robustness Index]])</f>
        <v>-2.3635431078956257</v>
      </c>
      <c r="AL72" s="11">
        <f>Opti_Medias__30_INS_1[[#This Row],[SUMA]]-Opti_Medias__30_INS_1[[#This Row],[VAR Robustness Index]]</f>
        <v>-1.7674367889784168</v>
      </c>
    </row>
    <row r="73" spans="1:38" x14ac:dyDescent="0.25">
      <c r="A73" s="11"/>
      <c r="B73" s="89">
        <v>28</v>
      </c>
      <c r="C73" s="89">
        <v>1</v>
      </c>
      <c r="D73" s="89">
        <v>28</v>
      </c>
      <c r="E73" s="10">
        <v>102700</v>
      </c>
      <c r="F73" s="10">
        <v>1559500</v>
      </c>
      <c r="G73" s="10">
        <v>-1456800</v>
      </c>
      <c r="H73" s="89">
        <v>3563</v>
      </c>
      <c r="I73" s="11">
        <v>34.886331742913278</v>
      </c>
      <c r="J73" s="89">
        <v>1243</v>
      </c>
      <c r="K73" s="89">
        <v>2305</v>
      </c>
      <c r="L73" s="12">
        <v>17290</v>
      </c>
      <c r="M73" s="12">
        <v>-5820</v>
      </c>
      <c r="N73" s="12">
        <v>1254.6258544921875</v>
      </c>
      <c r="O73" s="12">
        <v>-632.017333984375</v>
      </c>
      <c r="P73" s="11">
        <v>1.985113045211518</v>
      </c>
      <c r="Q73" s="13">
        <v>28.82402469828796</v>
      </c>
      <c r="R73" s="89">
        <v>7</v>
      </c>
      <c r="S73" s="89">
        <v>15</v>
      </c>
      <c r="T73" s="89">
        <v>70</v>
      </c>
      <c r="U73" s="89">
        <v>26</v>
      </c>
      <c r="V73" s="12">
        <v>-61675</v>
      </c>
      <c r="W73" s="11">
        <v>1.070496979681494</v>
      </c>
      <c r="X73" s="89">
        <v>1</v>
      </c>
      <c r="Y73" s="12">
        <v>61675</v>
      </c>
      <c r="Z73" s="11">
        <v>166.51803810295905</v>
      </c>
      <c r="AA73" s="14">
        <v>2069.8192136197813</v>
      </c>
      <c r="AB73" s="11">
        <v>0.71889526053947195</v>
      </c>
      <c r="AC73" s="11">
        <v>0.88810067504196</v>
      </c>
      <c r="AD73" s="15">
        <v>78909.856003039196</v>
      </c>
      <c r="AE73" s="11">
        <v>222.90800845259636</v>
      </c>
      <c r="AF73" s="11">
        <f>(Opti_Medias__30_INS_1[[#This Row],[All: TS Index]]-AA$114) /ABS(AA$114)</f>
        <v>-0.64499592503400882</v>
      </c>
      <c r="AG73" s="11">
        <f>(Opti_Medias__30_INS_1[[#This Row],[All: Expectancy Score]]-AB$114) /ABS(AB$114)</f>
        <v>-0.68530894216445915</v>
      </c>
      <c r="AH73" s="11"/>
      <c r="AI73" s="11">
        <f>(Opti_Medias__30_INS_1[[#This Row],[All: Perfect Profit Correlation]]-AD$114) /ABS(AD$114)</f>
        <v>-0.45906225725365019</v>
      </c>
      <c r="AJ73" s="11">
        <f>(Opti_Medias__30_INS_1[[#This Row],[All: Robustness Index]]-AE$114) /ABS(AE$114)</f>
        <v>-0.73225290211173311</v>
      </c>
      <c r="AK73" s="11">
        <f>SUM(Opti_Medias__30_INS_1[[#This Row],[VAR TS Index]:[VAR Robustness Index]])</f>
        <v>-2.5216200265638515</v>
      </c>
      <c r="AL73" s="11">
        <f>Opti_Medias__30_INS_1[[#This Row],[SUMA]]-Opti_Medias__30_INS_1[[#This Row],[VAR Robustness Index]]</f>
        <v>-1.7893671244521183</v>
      </c>
    </row>
    <row r="74" spans="1:38" x14ac:dyDescent="0.25">
      <c r="A74" s="11"/>
      <c r="B74" s="89">
        <v>6</v>
      </c>
      <c r="C74" s="89">
        <v>8</v>
      </c>
      <c r="D74" s="89">
        <v>321</v>
      </c>
      <c r="E74" s="10">
        <v>95830</v>
      </c>
      <c r="F74" s="10">
        <v>1732910</v>
      </c>
      <c r="G74" s="10">
        <v>-1637080</v>
      </c>
      <c r="H74" s="89">
        <v>4041</v>
      </c>
      <c r="I74" s="11">
        <v>37.71343726800297</v>
      </c>
      <c r="J74" s="89">
        <v>1524</v>
      </c>
      <c r="K74" s="89">
        <v>2497</v>
      </c>
      <c r="L74" s="12">
        <v>17740</v>
      </c>
      <c r="M74" s="12">
        <v>-6490</v>
      </c>
      <c r="N74" s="12">
        <v>1137.080078125</v>
      </c>
      <c r="O74" s="12">
        <v>-655.61871337890625</v>
      </c>
      <c r="P74" s="11">
        <v>1.734361840077373</v>
      </c>
      <c r="Q74" s="13">
        <v>23.714427121999506</v>
      </c>
      <c r="R74" s="89">
        <v>8</v>
      </c>
      <c r="S74" s="89">
        <v>17</v>
      </c>
      <c r="T74" s="89">
        <v>55</v>
      </c>
      <c r="U74" s="89">
        <v>25</v>
      </c>
      <c r="V74" s="12">
        <v>-57875</v>
      </c>
      <c r="W74" s="11">
        <v>1.058537151513671</v>
      </c>
      <c r="X74" s="89">
        <v>1</v>
      </c>
      <c r="Y74" s="12">
        <v>57875</v>
      </c>
      <c r="Z74" s="11">
        <v>165.58099352051835</v>
      </c>
      <c r="AA74" s="14">
        <v>2523.4543412526996</v>
      </c>
      <c r="AB74" s="11">
        <v>0.93957826056699301</v>
      </c>
      <c r="AC74" s="11">
        <v>0.842014283065188</v>
      </c>
      <c r="AD74" s="15">
        <v>49181.733661252125</v>
      </c>
      <c r="AE74" s="11">
        <v>457.25010450632391</v>
      </c>
      <c r="AF74" s="11">
        <f>(Opti_Medias__30_INS_1[[#This Row],[All: TS Index]]-AA$114) /ABS(AA$114)</f>
        <v>-0.56719090815247819</v>
      </c>
      <c r="AG74" s="11">
        <f>(Opti_Medias__30_INS_1[[#This Row],[All: Expectancy Score]]-AB$114) /ABS(AB$114)</f>
        <v>-0.58870659890674049</v>
      </c>
      <c r="AH74" s="11"/>
      <c r="AI74" s="11">
        <f>(Opti_Medias__30_INS_1[[#This Row],[All: Perfect Profit Correlation]]-AD$114) /ABS(AD$114)</f>
        <v>-0.66285255938060206</v>
      </c>
      <c r="AJ74" s="11">
        <f>(Opti_Medias__30_INS_1[[#This Row],[All: Robustness Index]]-AE$114) /ABS(AE$114)</f>
        <v>-0.45077169124360844</v>
      </c>
      <c r="AK74" s="11">
        <f>SUM(Opti_Medias__30_INS_1[[#This Row],[VAR TS Index]:[VAR Robustness Index]])</f>
        <v>-2.269521757683429</v>
      </c>
      <c r="AL74" s="11">
        <f>Opti_Medias__30_INS_1[[#This Row],[SUMA]]-Opti_Medias__30_INS_1[[#This Row],[VAR Robustness Index]]</f>
        <v>-1.8187500664398206</v>
      </c>
    </row>
    <row r="75" spans="1:38" x14ac:dyDescent="0.25">
      <c r="A75" s="11"/>
      <c r="B75" s="89">
        <v>33</v>
      </c>
      <c r="C75" s="89">
        <v>11</v>
      </c>
      <c r="D75" s="89">
        <v>483</v>
      </c>
      <c r="E75" s="10">
        <v>136370</v>
      </c>
      <c r="F75" s="10">
        <v>1629100</v>
      </c>
      <c r="G75" s="10">
        <v>-1492730</v>
      </c>
      <c r="H75" s="89">
        <v>3725</v>
      </c>
      <c r="I75" s="11">
        <v>35.919463087248324</v>
      </c>
      <c r="J75" s="89">
        <v>1338</v>
      </c>
      <c r="K75" s="89">
        <v>2375</v>
      </c>
      <c r="L75" s="12">
        <v>18440</v>
      </c>
      <c r="M75" s="12">
        <v>-5240</v>
      </c>
      <c r="N75" s="12">
        <v>1217.5634765625</v>
      </c>
      <c r="O75" s="12">
        <v>-628.51788330078125</v>
      </c>
      <c r="P75" s="11">
        <v>1.9371978250932711</v>
      </c>
      <c r="Q75" s="13">
        <v>36.609395973154363</v>
      </c>
      <c r="R75" s="89">
        <v>7</v>
      </c>
      <c r="S75" s="89">
        <v>15</v>
      </c>
      <c r="T75" s="89">
        <v>67</v>
      </c>
      <c r="U75" s="89">
        <v>24</v>
      </c>
      <c r="V75" s="12">
        <v>-64745</v>
      </c>
      <c r="W75" s="11">
        <v>1.0913561059267249</v>
      </c>
      <c r="X75" s="89">
        <v>1</v>
      </c>
      <c r="Y75" s="12">
        <v>64745</v>
      </c>
      <c r="Z75" s="11">
        <v>210.62630318943548</v>
      </c>
      <c r="AA75" s="14">
        <v>2818.1799366746468</v>
      </c>
      <c r="AB75" s="11">
        <v>8.9056436613383E-2</v>
      </c>
      <c r="AC75" s="11">
        <v>1.224633038321675</v>
      </c>
      <c r="AD75" s="15">
        <v>96054.621666519452</v>
      </c>
      <c r="AE75" s="11">
        <v>190.50887660752514</v>
      </c>
      <c r="AF75" s="11">
        <f>(Opti_Medias__30_INS_1[[#This Row],[All: TS Index]]-AA$114) /ABS(AA$114)</f>
        <v>-0.5166411854119155</v>
      </c>
      <c r="AG75" s="11">
        <f>(Opti_Medias__30_INS_1[[#This Row],[All: Expectancy Score]]-AB$114) /ABS(AB$114)</f>
        <v>-0.96101620669484089</v>
      </c>
      <c r="AH75" s="11"/>
      <c r="AI75" s="11">
        <f>(Opti_Medias__30_INS_1[[#This Row],[All: Perfect Profit Correlation]]-AD$114) /ABS(AD$114)</f>
        <v>-0.34153256821758182</v>
      </c>
      <c r="AJ75" s="11">
        <f>(Opti_Medias__30_INS_1[[#This Row],[All: Robustness Index]]-AE$114) /ABS(AE$114)</f>
        <v>-0.77116928553750819</v>
      </c>
      <c r="AK75" s="11">
        <f>SUM(Opti_Medias__30_INS_1[[#This Row],[VAR TS Index]:[VAR Robustness Index]])</f>
        <v>-2.5903592458618463</v>
      </c>
      <c r="AL75" s="11">
        <f>Opti_Medias__30_INS_1[[#This Row],[SUMA]]-Opti_Medias__30_INS_1[[#This Row],[VAR Robustness Index]]</f>
        <v>-1.819189960324338</v>
      </c>
    </row>
    <row r="76" spans="1:38" x14ac:dyDescent="0.25">
      <c r="A76" s="11"/>
      <c r="B76" s="89">
        <v>29</v>
      </c>
      <c r="C76" s="89">
        <v>1</v>
      </c>
      <c r="D76" s="89">
        <v>29</v>
      </c>
      <c r="E76" s="10">
        <v>88000</v>
      </c>
      <c r="F76" s="10">
        <v>1554190</v>
      </c>
      <c r="G76" s="10">
        <v>-1466190</v>
      </c>
      <c r="H76" s="89">
        <v>3581</v>
      </c>
      <c r="I76" s="11">
        <v>34.822675230382572</v>
      </c>
      <c r="J76" s="89">
        <v>1247</v>
      </c>
      <c r="K76" s="89">
        <v>2313</v>
      </c>
      <c r="L76" s="12">
        <v>17550</v>
      </c>
      <c r="M76" s="12">
        <v>-5020</v>
      </c>
      <c r="N76" s="12">
        <v>1246.34326171875</v>
      </c>
      <c r="O76" s="12">
        <v>-633.89105224609375</v>
      </c>
      <c r="P76" s="11">
        <v>1.966178978710186</v>
      </c>
      <c r="Q76" s="13">
        <v>24.574141301312483</v>
      </c>
      <c r="R76" s="89">
        <v>9</v>
      </c>
      <c r="S76" s="89">
        <v>13</v>
      </c>
      <c r="T76" s="89">
        <v>70</v>
      </c>
      <c r="U76" s="89">
        <v>26</v>
      </c>
      <c r="V76" s="12">
        <v>-59035</v>
      </c>
      <c r="W76" s="11">
        <v>1.0600195063395601</v>
      </c>
      <c r="X76" s="89">
        <v>1</v>
      </c>
      <c r="Y76" s="12">
        <v>59035</v>
      </c>
      <c r="Z76" s="11">
        <v>149.0641145083425</v>
      </c>
      <c r="AA76" s="14">
        <v>1858.8295079190311</v>
      </c>
      <c r="AB76" s="11">
        <v>0.95624691282614904</v>
      </c>
      <c r="AC76" s="11">
        <v>0.74474162162665003</v>
      </c>
      <c r="AD76" s="15">
        <v>63780.93088739238</v>
      </c>
      <c r="AE76" s="11">
        <v>230.87064269186129</v>
      </c>
      <c r="AF76" s="11">
        <f>(Opti_Medias__30_INS_1[[#This Row],[All: TS Index]]-AA$114) /ABS(AA$114)</f>
        <v>-0.68118372578818653</v>
      </c>
      <c r="AG76" s="11">
        <f>(Opti_Medias__30_INS_1[[#This Row],[All: Expectancy Score]]-AB$114) /ABS(AB$114)</f>
        <v>-0.58141002025327937</v>
      </c>
      <c r="AH76" s="11"/>
      <c r="AI76" s="11">
        <f>(Opti_Medias__30_INS_1[[#This Row],[All: Perfect Profit Correlation]]-AD$114) /ABS(AD$114)</f>
        <v>-0.56277308650571922</v>
      </c>
      <c r="AJ76" s="11">
        <f>(Opti_Medias__30_INS_1[[#This Row],[All: Robustness Index]]-AE$114) /ABS(AE$114)</f>
        <v>-0.72268854314630671</v>
      </c>
      <c r="AK76" s="11">
        <f>SUM(Opti_Medias__30_INS_1[[#This Row],[VAR TS Index]:[VAR Robustness Index]])</f>
        <v>-2.5480553756934916</v>
      </c>
      <c r="AL76" s="11">
        <f>Opti_Medias__30_INS_1[[#This Row],[SUMA]]-Opti_Medias__30_INS_1[[#This Row],[VAR Robustness Index]]</f>
        <v>-1.8253668325471848</v>
      </c>
    </row>
    <row r="77" spans="1:38" x14ac:dyDescent="0.25">
      <c r="A77" s="11"/>
      <c r="B77" s="89">
        <v>36</v>
      </c>
      <c r="C77" s="89">
        <v>1</v>
      </c>
      <c r="D77" s="89">
        <v>36</v>
      </c>
      <c r="E77" s="10">
        <v>90870</v>
      </c>
      <c r="F77" s="10">
        <v>1650030</v>
      </c>
      <c r="G77" s="10">
        <v>-1559160</v>
      </c>
      <c r="H77" s="89">
        <v>4107</v>
      </c>
      <c r="I77" s="11">
        <v>32.383735086437788</v>
      </c>
      <c r="J77" s="89">
        <v>1330</v>
      </c>
      <c r="K77" s="89">
        <v>2758</v>
      </c>
      <c r="L77" s="12">
        <v>18070</v>
      </c>
      <c r="M77" s="12">
        <v>-4830</v>
      </c>
      <c r="N77" s="12">
        <v>1240.6240234375</v>
      </c>
      <c r="O77" s="12">
        <v>-565.32269287109375</v>
      </c>
      <c r="P77" s="11">
        <v>2.1945413461765808</v>
      </c>
      <c r="Q77" s="13">
        <v>22.125639152666178</v>
      </c>
      <c r="R77" s="89">
        <v>7</v>
      </c>
      <c r="S77" s="89">
        <v>17</v>
      </c>
      <c r="T77" s="89">
        <v>67</v>
      </c>
      <c r="U77" s="89">
        <v>21</v>
      </c>
      <c r="V77" s="12">
        <v>-56365</v>
      </c>
      <c r="W77" s="11">
        <v>1.0582813822827679</v>
      </c>
      <c r="X77" s="89">
        <v>1</v>
      </c>
      <c r="Y77" s="12">
        <v>56365</v>
      </c>
      <c r="Z77" s="11">
        <v>161.21706732901623</v>
      </c>
      <c r="AA77" s="14">
        <v>2144.1869954759159</v>
      </c>
      <c r="AB77" s="11">
        <v>1.037574530506459</v>
      </c>
      <c r="AC77" s="11">
        <v>0.753143385501576</v>
      </c>
      <c r="AD77" s="15">
        <v>50543.561148749373</v>
      </c>
      <c r="AE77" s="11">
        <v>192.02057789134926</v>
      </c>
      <c r="AF77" s="11">
        <f>(Opti_Medias__30_INS_1[[#This Row],[All: TS Index]]-AA$114) /ABS(AA$114)</f>
        <v>-0.63224076968933551</v>
      </c>
      <c r="AG77" s="11">
        <f>(Opti_Medias__30_INS_1[[#This Row],[All: Expectancy Score]]-AB$114) /ABS(AB$114)</f>
        <v>-0.54580945999940367</v>
      </c>
      <c r="AH77" s="11"/>
      <c r="AI77" s="11">
        <f>(Opti_Medias__30_INS_1[[#This Row],[All: Perfect Profit Correlation]]-AD$114) /ABS(AD$114)</f>
        <v>-0.65351704764087315</v>
      </c>
      <c r="AJ77" s="11">
        <f>(Opti_Medias__30_INS_1[[#This Row],[All: Robustness Index]]-AE$114) /ABS(AE$114)</f>
        <v>-0.76935349778529771</v>
      </c>
      <c r="AK77" s="11">
        <f>SUM(Opti_Medias__30_INS_1[[#This Row],[VAR TS Index]:[VAR Robustness Index]])</f>
        <v>-2.6009207751149099</v>
      </c>
      <c r="AL77" s="11">
        <f>Opti_Medias__30_INS_1[[#This Row],[SUMA]]-Opti_Medias__30_INS_1[[#This Row],[VAR Robustness Index]]</f>
        <v>-1.8315672773296123</v>
      </c>
    </row>
    <row r="78" spans="1:38" x14ac:dyDescent="0.25">
      <c r="A78" s="11"/>
      <c r="B78" s="89">
        <v>42</v>
      </c>
      <c r="C78" s="89">
        <v>11</v>
      </c>
      <c r="D78" s="89">
        <v>492</v>
      </c>
      <c r="E78" s="10">
        <v>79540</v>
      </c>
      <c r="F78" s="10">
        <v>1687110</v>
      </c>
      <c r="G78" s="10">
        <v>-1607570</v>
      </c>
      <c r="H78" s="89">
        <v>4455</v>
      </c>
      <c r="I78" s="11">
        <v>29.562289562289564</v>
      </c>
      <c r="J78" s="89">
        <v>1317</v>
      </c>
      <c r="K78" s="89">
        <v>3119</v>
      </c>
      <c r="L78" s="12">
        <v>18560</v>
      </c>
      <c r="M78" s="12">
        <v>-5640</v>
      </c>
      <c r="N78" s="12">
        <v>1281.0250244140625</v>
      </c>
      <c r="O78" s="12">
        <v>-515.4119873046875</v>
      </c>
      <c r="P78" s="11">
        <v>2.485438941987161</v>
      </c>
      <c r="Q78" s="13">
        <v>17.854096520763189</v>
      </c>
      <c r="R78" s="89">
        <v>8</v>
      </c>
      <c r="S78" s="89">
        <v>17</v>
      </c>
      <c r="T78" s="89">
        <v>69</v>
      </c>
      <c r="U78" s="89">
        <v>18</v>
      </c>
      <c r="V78" s="12">
        <v>-65945</v>
      </c>
      <c r="W78" s="11">
        <v>1.049478405294948</v>
      </c>
      <c r="X78" s="89">
        <v>1</v>
      </c>
      <c r="Y78" s="12">
        <v>65945</v>
      </c>
      <c r="Z78" s="11">
        <v>120.61566456895898</v>
      </c>
      <c r="AA78" s="14">
        <v>1588.5083023731897</v>
      </c>
      <c r="AB78" s="11">
        <v>1.2651723578213341</v>
      </c>
      <c r="AC78" s="11">
        <v>0.61835700067753896</v>
      </c>
      <c r="AD78" s="15">
        <v>48929.916285929183</v>
      </c>
      <c r="AE78" s="11">
        <v>9.1820909564794668</v>
      </c>
      <c r="AF78" s="11">
        <f>(Opti_Medias__30_INS_1[[#This Row],[All: TS Index]]-AA$114) /ABS(AA$114)</f>
        <v>-0.72754774100604969</v>
      </c>
      <c r="AG78" s="11">
        <f>(Opti_Medias__30_INS_1[[#This Row],[All: Expectancy Score]]-AB$114) /ABS(AB$114)</f>
        <v>-0.4461802024841412</v>
      </c>
      <c r="AH78" s="11"/>
      <c r="AI78" s="11">
        <f>(Opti_Medias__30_INS_1[[#This Row],[All: Perfect Profit Correlation]]-AD$114) /ABS(AD$114)</f>
        <v>-0.66457880156999682</v>
      </c>
      <c r="AJ78" s="11">
        <f>(Opti_Medias__30_INS_1[[#This Row],[All: Robustness Index]]-AE$114) /ABS(AE$114)</f>
        <v>-0.98897088434278357</v>
      </c>
      <c r="AK78" s="11">
        <f>SUM(Opti_Medias__30_INS_1[[#This Row],[VAR TS Index]:[VAR Robustness Index]])</f>
        <v>-2.8272776294029711</v>
      </c>
      <c r="AL78" s="11">
        <f>Opti_Medias__30_INS_1[[#This Row],[SUMA]]-Opti_Medias__30_INS_1[[#This Row],[VAR Robustness Index]]</f>
        <v>-1.8383067450601875</v>
      </c>
    </row>
    <row r="79" spans="1:38" x14ac:dyDescent="0.25">
      <c r="A79" s="11"/>
      <c r="B79" s="89">
        <v>31</v>
      </c>
      <c r="C79" s="89">
        <v>2</v>
      </c>
      <c r="D79" s="89">
        <v>76</v>
      </c>
      <c r="E79" s="4">
        <v>97430</v>
      </c>
      <c r="F79" s="4">
        <v>1415750</v>
      </c>
      <c r="G79" s="4">
        <v>-1318320</v>
      </c>
      <c r="H79" s="89">
        <v>3225</v>
      </c>
      <c r="I79" s="5">
        <v>27.31782945736434</v>
      </c>
      <c r="J79" s="89">
        <v>881</v>
      </c>
      <c r="K79" s="89">
        <v>2335</v>
      </c>
      <c r="L79" s="6">
        <v>18820</v>
      </c>
      <c r="M79" s="6">
        <v>-4370</v>
      </c>
      <c r="N79" s="6">
        <v>1606.980712890625</v>
      </c>
      <c r="O79" s="6">
        <v>-564.59100341796875</v>
      </c>
      <c r="P79" s="5">
        <v>2.8462740340567758</v>
      </c>
      <c r="Q79" s="7">
        <v>30.210852713178294</v>
      </c>
      <c r="R79" s="89">
        <v>7</v>
      </c>
      <c r="S79" s="89">
        <v>16</v>
      </c>
      <c r="T79" s="89">
        <v>104</v>
      </c>
      <c r="U79" s="89">
        <v>23</v>
      </c>
      <c r="V79" s="6">
        <v>-48015</v>
      </c>
      <c r="W79" s="5">
        <v>1.0739046665453</v>
      </c>
      <c r="X79" s="89">
        <v>1</v>
      </c>
      <c r="Y79" s="6">
        <v>48015</v>
      </c>
      <c r="Z79" s="5">
        <v>202.91575549307507</v>
      </c>
      <c r="AA79" s="8">
        <v>1787.6878058939915</v>
      </c>
      <c r="AB79" s="5">
        <v>0.70976415308785901</v>
      </c>
      <c r="AC79" s="5">
        <v>0.77014245567402295</v>
      </c>
      <c r="AD79" s="9">
        <v>79304.946396745843</v>
      </c>
      <c r="AE79" s="5">
        <v>108.68125094843137</v>
      </c>
      <c r="AF79" s="11">
        <f>(Opti_Medias__30_INS_1[[#This Row],[All: TS Index]]-AA$114) /ABS(AA$114)</f>
        <v>-0.69338556155853737</v>
      </c>
      <c r="AG79" s="11">
        <f>(Opti_Medias__30_INS_1[[#This Row],[All: Expectancy Score]]-AB$114) /ABS(AB$114)</f>
        <v>-0.68930601659363511</v>
      </c>
      <c r="AH79" s="11"/>
      <c r="AI79" s="11">
        <f>(Opti_Medias__30_INS_1[[#This Row],[All: Perfect Profit Correlation]]-AD$114) /ABS(AD$114)</f>
        <v>-0.45635385913232795</v>
      </c>
      <c r="AJ79" s="11">
        <f>(Opti_Medias__30_INS_1[[#This Row],[All: Robustness Index]]-AE$114) /ABS(AE$114)</f>
        <v>-0.86945695788001642</v>
      </c>
      <c r="AK79" s="11">
        <f>SUM(Opti_Medias__30_INS_1[[#This Row],[VAR TS Index]:[VAR Robustness Index]])</f>
        <v>-2.7085023951645169</v>
      </c>
      <c r="AL79" s="11">
        <f>Opti_Medias__30_INS_1[[#This Row],[SUMA]]-Opti_Medias__30_INS_1[[#This Row],[VAR Robustness Index]]</f>
        <v>-1.8390454372845004</v>
      </c>
    </row>
    <row r="80" spans="1:38" x14ac:dyDescent="0.25">
      <c r="A80" s="11"/>
      <c r="B80" s="89">
        <v>43</v>
      </c>
      <c r="C80" s="89">
        <v>12</v>
      </c>
      <c r="D80" s="89">
        <v>538</v>
      </c>
      <c r="E80" s="10">
        <v>74940</v>
      </c>
      <c r="F80" s="10">
        <v>1600890</v>
      </c>
      <c r="G80" s="10">
        <v>-1525950</v>
      </c>
      <c r="H80" s="89">
        <v>4619</v>
      </c>
      <c r="I80" s="11">
        <v>25.828101320632172</v>
      </c>
      <c r="J80" s="89">
        <v>1193</v>
      </c>
      <c r="K80" s="89">
        <v>3411</v>
      </c>
      <c r="L80" s="12">
        <v>17110</v>
      </c>
      <c r="M80" s="12">
        <v>-4310</v>
      </c>
      <c r="N80" s="12">
        <v>1341.9027099609375</v>
      </c>
      <c r="O80" s="12">
        <v>-447.36148071289063</v>
      </c>
      <c r="P80" s="11">
        <v>2.9995937688299739</v>
      </c>
      <c r="Q80" s="13">
        <v>16.224290972071877</v>
      </c>
      <c r="R80" s="89">
        <v>5</v>
      </c>
      <c r="S80" s="89">
        <v>18</v>
      </c>
      <c r="T80" s="89">
        <v>78</v>
      </c>
      <c r="U80" s="89">
        <v>16</v>
      </c>
      <c r="V80" s="12">
        <v>-69225</v>
      </c>
      <c r="W80" s="11">
        <v>1.049110390248698</v>
      </c>
      <c r="X80" s="89">
        <v>1</v>
      </c>
      <c r="Y80" s="12">
        <v>69225</v>
      </c>
      <c r="Z80" s="11">
        <v>108.25568797399784</v>
      </c>
      <c r="AA80" s="14">
        <v>1291.4903575297942</v>
      </c>
      <c r="AB80" s="11">
        <v>1.294751477818703</v>
      </c>
      <c r="AC80" s="11">
        <v>0.54718499293934797</v>
      </c>
      <c r="AD80" s="15">
        <v>48788.563105531772</v>
      </c>
      <c r="AE80" s="11">
        <v>35.308738818329608</v>
      </c>
      <c r="AF80" s="11">
        <f>(Opti_Medias__30_INS_1[[#This Row],[All: TS Index]]-AA$114) /ABS(AA$114)</f>
        <v>-0.77849063498616078</v>
      </c>
      <c r="AG80" s="11">
        <f>(Opti_Medias__30_INS_1[[#This Row],[All: Expectancy Score]]-AB$114) /ABS(AB$114)</f>
        <v>-0.43323216252233737</v>
      </c>
      <c r="AH80" s="11"/>
      <c r="AI80" s="11">
        <f>(Opti_Medias__30_INS_1[[#This Row],[All: Perfect Profit Correlation]]-AD$114) /ABS(AD$114)</f>
        <v>-0.66554779675269304</v>
      </c>
      <c r="AJ80" s="11">
        <f>(Opti_Medias__30_INS_1[[#This Row],[All: Robustness Index]]-AE$114) /ABS(AE$114)</f>
        <v>-0.95758872723178545</v>
      </c>
      <c r="AK80" s="11">
        <f>SUM(Opti_Medias__30_INS_1[[#This Row],[VAR TS Index]:[VAR Robustness Index]])</f>
        <v>-2.8348593214929765</v>
      </c>
      <c r="AL80" s="11">
        <f>Opti_Medias__30_INS_1[[#This Row],[SUMA]]-Opti_Medias__30_INS_1[[#This Row],[VAR Robustness Index]]</f>
        <v>-1.8772705942611911</v>
      </c>
    </row>
    <row r="81" spans="1:38" x14ac:dyDescent="0.25">
      <c r="A81" s="11"/>
      <c r="B81" s="89">
        <v>29</v>
      </c>
      <c r="C81" s="89">
        <v>2</v>
      </c>
      <c r="D81" s="89">
        <v>74</v>
      </c>
      <c r="E81" s="4">
        <v>93950</v>
      </c>
      <c r="F81" s="4">
        <v>1376040</v>
      </c>
      <c r="G81" s="4">
        <v>-1282090</v>
      </c>
      <c r="H81" s="89">
        <v>3023</v>
      </c>
      <c r="I81" s="5">
        <v>27.720807145219979</v>
      </c>
      <c r="J81" s="89">
        <v>838</v>
      </c>
      <c r="K81" s="89">
        <v>2180</v>
      </c>
      <c r="L81" s="6">
        <v>19170</v>
      </c>
      <c r="M81" s="6">
        <v>-4190</v>
      </c>
      <c r="N81" s="6">
        <v>1642.052490234375</v>
      </c>
      <c r="O81" s="6">
        <v>-588.11468505859375</v>
      </c>
      <c r="P81" s="5">
        <v>2.792061704888015</v>
      </c>
      <c r="Q81" s="7">
        <v>31.078398941448892</v>
      </c>
      <c r="R81" s="89">
        <v>9</v>
      </c>
      <c r="S81" s="89">
        <v>18</v>
      </c>
      <c r="T81" s="89">
        <v>109</v>
      </c>
      <c r="U81" s="89">
        <v>25</v>
      </c>
      <c r="V81" s="6">
        <v>-51345</v>
      </c>
      <c r="W81" s="5">
        <v>1.0732787869806331</v>
      </c>
      <c r="X81" s="89">
        <v>1</v>
      </c>
      <c r="Y81" s="6">
        <v>51345</v>
      </c>
      <c r="Z81" s="5">
        <v>182.97789463433637</v>
      </c>
      <c r="AA81" s="8">
        <v>1533.3547570357387</v>
      </c>
      <c r="AB81" s="5">
        <v>0.76131877588595498</v>
      </c>
      <c r="AC81" s="5">
        <v>0.73874837798313198</v>
      </c>
      <c r="AD81" s="9">
        <v>75849.157797895619</v>
      </c>
      <c r="AE81" s="5">
        <v>168.43946006725594</v>
      </c>
      <c r="AF81" s="11">
        <f>(Opti_Medias__30_INS_1[[#This Row],[All: TS Index]]-AA$114) /ABS(AA$114)</f>
        <v>-0.73700737555518248</v>
      </c>
      <c r="AG81" s="11">
        <f>(Opti_Medias__30_INS_1[[#This Row],[All: Expectancy Score]]-AB$114) /ABS(AB$114)</f>
        <v>-0.66673836359162408</v>
      </c>
      <c r="AH81" s="11"/>
      <c r="AI81" s="11">
        <f>(Opti_Medias__30_INS_1[[#This Row],[All: Perfect Profit Correlation]]-AD$114) /ABS(AD$114)</f>
        <v>-0.48004375769200364</v>
      </c>
      <c r="AJ81" s="11">
        <f>(Opti_Medias__30_INS_1[[#This Row],[All: Robustness Index]]-AE$114) /ABS(AE$114)</f>
        <v>-0.79767807843267691</v>
      </c>
      <c r="AK81" s="11">
        <f>SUM(Opti_Medias__30_INS_1[[#This Row],[VAR TS Index]:[VAR Robustness Index]])</f>
        <v>-2.6814675752714869</v>
      </c>
      <c r="AL81" s="11">
        <f>Opti_Medias__30_INS_1[[#This Row],[SUMA]]-Opti_Medias__30_INS_1[[#This Row],[VAR Robustness Index]]</f>
        <v>-1.88378949683881</v>
      </c>
    </row>
    <row r="82" spans="1:38" x14ac:dyDescent="0.25">
      <c r="A82" s="11"/>
      <c r="B82" s="89">
        <v>37</v>
      </c>
      <c r="C82" s="89">
        <v>5</v>
      </c>
      <c r="D82" s="89">
        <v>217</v>
      </c>
      <c r="E82" s="10">
        <v>85800</v>
      </c>
      <c r="F82" s="10">
        <v>1541020</v>
      </c>
      <c r="G82" s="10">
        <v>-1455220</v>
      </c>
      <c r="H82" s="89">
        <v>4059</v>
      </c>
      <c r="I82" s="11">
        <v>29.662478442966247</v>
      </c>
      <c r="J82" s="89">
        <v>1204</v>
      </c>
      <c r="K82" s="89">
        <v>2835</v>
      </c>
      <c r="L82" s="12">
        <v>17380</v>
      </c>
      <c r="M82" s="12">
        <v>-4450</v>
      </c>
      <c r="N82" s="12">
        <v>1279.9169921875</v>
      </c>
      <c r="O82" s="12">
        <v>-513.30511474609375</v>
      </c>
      <c r="P82" s="11">
        <v>2.493481859849791</v>
      </c>
      <c r="Q82" s="13">
        <v>21.13821138211382</v>
      </c>
      <c r="R82" s="89">
        <v>5</v>
      </c>
      <c r="S82" s="89">
        <v>22</v>
      </c>
      <c r="T82" s="89">
        <v>77</v>
      </c>
      <c r="U82" s="89">
        <v>19</v>
      </c>
      <c r="V82" s="12">
        <v>-51225</v>
      </c>
      <c r="W82" s="11">
        <v>1.0589601572270859</v>
      </c>
      <c r="X82" s="89">
        <v>1</v>
      </c>
      <c r="Y82" s="12">
        <v>51225</v>
      </c>
      <c r="Z82" s="11">
        <v>167.49633967789165</v>
      </c>
      <c r="AA82" s="14">
        <v>2016.6559297218155</v>
      </c>
      <c r="AB82" s="11">
        <v>0.83187387300294302</v>
      </c>
      <c r="AC82" s="11">
        <v>0.68719328026938498</v>
      </c>
      <c r="AD82" s="15">
        <v>57474.091221288625</v>
      </c>
      <c r="AE82" s="11">
        <v>204.80860493766082</v>
      </c>
      <c r="AF82" s="11">
        <f>(Opti_Medias__30_INS_1[[#This Row],[All: TS Index]]-AA$114) /ABS(AA$114)</f>
        <v>-0.65411420082262006</v>
      </c>
      <c r="AG82" s="11">
        <f>(Opti_Medias__30_INS_1[[#This Row],[All: Expectancy Score]]-AB$114) /ABS(AB$114)</f>
        <v>-0.63585339415842357</v>
      </c>
      <c r="AH82" s="11"/>
      <c r="AI82" s="11">
        <f>(Opti_Medias__30_INS_1[[#This Row],[All: Perfect Profit Correlation]]-AD$114) /ABS(AD$114)</f>
        <v>-0.60600732599937512</v>
      </c>
      <c r="AJ82" s="11">
        <f>(Opti_Medias__30_INS_1[[#This Row],[All: Robustness Index]]-AE$114) /ABS(AE$114)</f>
        <v>-0.75399309349504662</v>
      </c>
      <c r="AK82" s="11">
        <f>SUM(Opti_Medias__30_INS_1[[#This Row],[VAR TS Index]:[VAR Robustness Index]])</f>
        <v>-2.6499680144754656</v>
      </c>
      <c r="AL82" s="11">
        <f>Opti_Medias__30_INS_1[[#This Row],[SUMA]]-Opti_Medias__30_INS_1[[#This Row],[VAR Robustness Index]]</f>
        <v>-1.8959749209804189</v>
      </c>
    </row>
    <row r="83" spans="1:38" x14ac:dyDescent="0.25">
      <c r="A83" s="11"/>
      <c r="B83" s="89">
        <v>38</v>
      </c>
      <c r="C83" s="89">
        <v>2</v>
      </c>
      <c r="D83" s="89">
        <v>83</v>
      </c>
      <c r="E83" s="10">
        <v>80890</v>
      </c>
      <c r="F83" s="10">
        <v>1563590</v>
      </c>
      <c r="G83" s="10">
        <v>-1482700</v>
      </c>
      <c r="H83" s="89">
        <v>4275</v>
      </c>
      <c r="I83" s="11">
        <v>25.918128654970761</v>
      </c>
      <c r="J83" s="89">
        <v>1108</v>
      </c>
      <c r="K83" s="89">
        <v>3150</v>
      </c>
      <c r="L83" s="12">
        <v>17290</v>
      </c>
      <c r="M83" s="12">
        <v>-4300</v>
      </c>
      <c r="N83" s="12">
        <v>1411.1822509765625</v>
      </c>
      <c r="O83" s="12">
        <v>-470.69842529296875</v>
      </c>
      <c r="P83" s="11">
        <v>2.9980602762760991</v>
      </c>
      <c r="Q83" s="13">
        <v>18.921637426900585</v>
      </c>
      <c r="R83" s="89">
        <v>7</v>
      </c>
      <c r="S83" s="89">
        <v>26</v>
      </c>
      <c r="T83" s="89">
        <v>84</v>
      </c>
      <c r="U83" s="89">
        <v>17</v>
      </c>
      <c r="V83" s="12">
        <v>-66955</v>
      </c>
      <c r="W83" s="11">
        <v>1.0545558777905171</v>
      </c>
      <c r="X83" s="89">
        <v>1</v>
      </c>
      <c r="Y83" s="12">
        <v>66955</v>
      </c>
      <c r="Z83" s="11">
        <v>120.81248599805839</v>
      </c>
      <c r="AA83" s="14">
        <v>1338.602344858487</v>
      </c>
      <c r="AB83" s="11">
        <v>1.240298225808349</v>
      </c>
      <c r="AC83" s="11">
        <v>0.60334373881021497</v>
      </c>
      <c r="AD83" s="15">
        <v>45376.974366254719</v>
      </c>
      <c r="AE83" s="11">
        <v>95.163480991381618</v>
      </c>
      <c r="AF83" s="11">
        <f>(Opti_Medias__30_INS_1[[#This Row],[All: TS Index]]-AA$114) /ABS(AA$114)</f>
        <v>-0.77041024450018059</v>
      </c>
      <c r="AG83" s="11">
        <f>(Opti_Medias__30_INS_1[[#This Row],[All: Expectancy Score]]-AB$114) /ABS(AB$114)</f>
        <v>-0.45706866892086956</v>
      </c>
      <c r="AH83" s="11"/>
      <c r="AI83" s="11">
        <f>(Opti_Medias__30_INS_1[[#This Row],[All: Perfect Profit Correlation]]-AD$114) /ABS(AD$114)</f>
        <v>-0.68893469929288154</v>
      </c>
      <c r="AJ83" s="11">
        <f>(Opti_Medias__30_INS_1[[#This Row],[All: Robustness Index]]-AE$114) /ABS(AE$114)</f>
        <v>-0.88569389661113851</v>
      </c>
      <c r="AK83" s="11">
        <f>SUM(Opti_Medias__30_INS_1[[#This Row],[VAR TS Index]:[VAR Robustness Index]])</f>
        <v>-2.8021075093250705</v>
      </c>
      <c r="AL83" s="11">
        <f>Opti_Medias__30_INS_1[[#This Row],[SUMA]]-Opti_Medias__30_INS_1[[#This Row],[VAR Robustness Index]]</f>
        <v>-1.916413612713932</v>
      </c>
    </row>
    <row r="84" spans="1:38" x14ac:dyDescent="0.25">
      <c r="A84" s="11"/>
      <c r="B84" s="89">
        <v>7</v>
      </c>
      <c r="C84" s="89">
        <v>8</v>
      </c>
      <c r="D84" s="89">
        <v>322</v>
      </c>
      <c r="E84" s="10">
        <v>95410</v>
      </c>
      <c r="F84" s="10">
        <v>1728290</v>
      </c>
      <c r="G84" s="10">
        <v>-1632880</v>
      </c>
      <c r="H84" s="89">
        <v>4029</v>
      </c>
      <c r="I84" s="11">
        <v>36.88260114172251</v>
      </c>
      <c r="J84" s="89">
        <v>1486</v>
      </c>
      <c r="K84" s="89">
        <v>2523</v>
      </c>
      <c r="L84" s="12">
        <v>17740</v>
      </c>
      <c r="M84" s="12">
        <v>-6960</v>
      </c>
      <c r="N84" s="12">
        <v>1163.0484619140625</v>
      </c>
      <c r="O84" s="12">
        <v>-647.19775390625</v>
      </c>
      <c r="P84" s="11">
        <v>1.797052685820254</v>
      </c>
      <c r="Q84" s="13">
        <v>23.680814097791014</v>
      </c>
      <c r="R84" s="89">
        <v>8</v>
      </c>
      <c r="S84" s="89">
        <v>17</v>
      </c>
      <c r="T84" s="89">
        <v>57</v>
      </c>
      <c r="U84" s="89">
        <v>25</v>
      </c>
      <c r="V84" s="12">
        <v>-67125</v>
      </c>
      <c r="W84" s="11">
        <v>1.0584305031600609</v>
      </c>
      <c r="X84" s="89">
        <v>1</v>
      </c>
      <c r="Y84" s="12">
        <v>67125</v>
      </c>
      <c r="Z84" s="11">
        <v>142.13780260707634</v>
      </c>
      <c r="AA84" s="14">
        <v>2112.1677467411546</v>
      </c>
      <c r="AB84" s="11">
        <v>0.75364575933591604</v>
      </c>
      <c r="AC84" s="11">
        <v>0.83084432108113504</v>
      </c>
      <c r="AD84" s="15">
        <v>52344.426866051341</v>
      </c>
      <c r="AE84" s="11">
        <v>433.04589991839561</v>
      </c>
      <c r="AF84" s="11">
        <f>(Opti_Medias__30_INS_1[[#This Row],[All: TS Index]]-AA$114) /ABS(AA$114)</f>
        <v>-0.63773253616990222</v>
      </c>
      <c r="AG84" s="11">
        <f>(Opti_Medias__30_INS_1[[#This Row],[All: Expectancy Score]]-AB$114) /ABS(AB$114)</f>
        <v>-0.67009716956442933</v>
      </c>
      <c r="AH84" s="11"/>
      <c r="AI84" s="11">
        <f>(Opti_Medias__30_INS_1[[#This Row],[All: Perfect Profit Correlation]]-AD$114) /ABS(AD$114)</f>
        <v>-0.64117186941536619</v>
      </c>
      <c r="AJ84" s="11">
        <f>(Opti_Medias__30_INS_1[[#This Row],[All: Robustness Index]]-AE$114) /ABS(AE$114)</f>
        <v>-0.47984469575385169</v>
      </c>
      <c r="AK84" s="11">
        <f>SUM(Opti_Medias__30_INS_1[[#This Row],[VAR TS Index]:[VAR Robustness Index]])</f>
        <v>-2.4288462709035494</v>
      </c>
      <c r="AL84" s="11">
        <f>Opti_Medias__30_INS_1[[#This Row],[SUMA]]-Opti_Medias__30_INS_1[[#This Row],[VAR Robustness Index]]</f>
        <v>-1.9490015751496976</v>
      </c>
    </row>
    <row r="85" spans="1:38" x14ac:dyDescent="0.25">
      <c r="A85" s="11"/>
      <c r="B85" s="89">
        <v>30</v>
      </c>
      <c r="C85" s="89">
        <v>1</v>
      </c>
      <c r="D85" s="89">
        <v>30</v>
      </c>
      <c r="E85" s="10">
        <v>90040</v>
      </c>
      <c r="F85" s="10">
        <v>1558400</v>
      </c>
      <c r="G85" s="10">
        <v>-1468360</v>
      </c>
      <c r="H85" s="89">
        <v>3623</v>
      </c>
      <c r="I85" s="11">
        <v>34.805409881313828</v>
      </c>
      <c r="J85" s="89">
        <v>1261</v>
      </c>
      <c r="K85" s="89">
        <v>2344</v>
      </c>
      <c r="L85" s="12">
        <v>17550</v>
      </c>
      <c r="M85" s="12">
        <v>-5590</v>
      </c>
      <c r="N85" s="12">
        <v>1235.8446044921875</v>
      </c>
      <c r="O85" s="12">
        <v>-626.4334716796875</v>
      </c>
      <c r="P85" s="11">
        <v>1.9728265815337991</v>
      </c>
      <c r="Q85" s="13">
        <v>24.852332321280706</v>
      </c>
      <c r="R85" s="89">
        <v>7</v>
      </c>
      <c r="S85" s="89">
        <v>13</v>
      </c>
      <c r="T85" s="89">
        <v>69</v>
      </c>
      <c r="U85" s="89">
        <v>25</v>
      </c>
      <c r="V85" s="12">
        <v>-60585</v>
      </c>
      <c r="W85" s="11">
        <v>1.061320112234057</v>
      </c>
      <c r="X85" s="89">
        <v>1</v>
      </c>
      <c r="Y85" s="12">
        <v>60585</v>
      </c>
      <c r="Z85" s="11">
        <v>148.61764463150945</v>
      </c>
      <c r="AA85" s="14">
        <v>1874.0684988033343</v>
      </c>
      <c r="AB85" s="11">
        <v>0.56640079437356705</v>
      </c>
      <c r="AC85" s="11">
        <v>0.76483161341139105</v>
      </c>
      <c r="AD85" s="15">
        <v>65312.621338133904</v>
      </c>
      <c r="AE85" s="11">
        <v>236.62776190802876</v>
      </c>
      <c r="AF85" s="11">
        <f>(Opti_Medias__30_INS_1[[#This Row],[All: TS Index]]-AA$114) /ABS(AA$114)</f>
        <v>-0.67857001738955003</v>
      </c>
      <c r="AG85" s="11">
        <f>(Opti_Medias__30_INS_1[[#This Row],[All: Expectancy Score]]-AB$114) /ABS(AB$114)</f>
        <v>-0.75206226146691657</v>
      </c>
      <c r="AH85" s="11"/>
      <c r="AI85" s="11">
        <f>(Opti_Medias__30_INS_1[[#This Row],[All: Perfect Profit Correlation]]-AD$114) /ABS(AD$114)</f>
        <v>-0.55227314116329773</v>
      </c>
      <c r="AJ85" s="11">
        <f>(Opti_Medias__30_INS_1[[#This Row],[All: Robustness Index]]-AE$114) /ABS(AE$114)</f>
        <v>-0.71577334986533758</v>
      </c>
      <c r="AK85" s="11">
        <f>SUM(Opti_Medias__30_INS_1[[#This Row],[VAR TS Index]:[VAR Robustness Index]])</f>
        <v>-2.6986787698851016</v>
      </c>
      <c r="AL85" s="11">
        <f>Opti_Medias__30_INS_1[[#This Row],[SUMA]]-Opti_Medias__30_INS_1[[#This Row],[VAR Robustness Index]]</f>
        <v>-1.982905420019764</v>
      </c>
    </row>
    <row r="86" spans="1:38" x14ac:dyDescent="0.25">
      <c r="A86" s="11"/>
      <c r="B86" s="89">
        <v>28</v>
      </c>
      <c r="C86" s="89">
        <v>2</v>
      </c>
      <c r="D86" s="89">
        <v>73</v>
      </c>
      <c r="E86" s="10">
        <v>81250</v>
      </c>
      <c r="F86" s="10">
        <v>1346850</v>
      </c>
      <c r="G86" s="10">
        <v>-1265600</v>
      </c>
      <c r="H86" s="89">
        <v>2931</v>
      </c>
      <c r="I86" s="11">
        <v>28.045035823950869</v>
      </c>
      <c r="J86" s="89">
        <v>822</v>
      </c>
      <c r="K86" s="89">
        <v>2105</v>
      </c>
      <c r="L86" s="12">
        <v>19430</v>
      </c>
      <c r="M86" s="12">
        <v>-4120</v>
      </c>
      <c r="N86" s="12">
        <v>1638.503662109375</v>
      </c>
      <c r="O86" s="12">
        <v>-601.23516845703125</v>
      </c>
      <c r="P86" s="11">
        <v>2.7252292415201169</v>
      </c>
      <c r="Q86" s="13">
        <v>27.720914363698398</v>
      </c>
      <c r="R86" s="89">
        <v>5</v>
      </c>
      <c r="S86" s="89">
        <v>18</v>
      </c>
      <c r="T86" s="89">
        <v>111</v>
      </c>
      <c r="U86" s="89">
        <v>26</v>
      </c>
      <c r="V86" s="12">
        <v>-44335</v>
      </c>
      <c r="W86" s="11">
        <v>1.0641987989886219</v>
      </c>
      <c r="X86" s="89">
        <v>1</v>
      </c>
      <c r="Y86" s="12">
        <v>44335</v>
      </c>
      <c r="Z86" s="11">
        <v>183.26378707567386</v>
      </c>
      <c r="AA86" s="14">
        <v>1506.4283297620391</v>
      </c>
      <c r="AB86" s="11">
        <v>0.72124497817754996</v>
      </c>
      <c r="AC86" s="11">
        <v>0.61858048304631397</v>
      </c>
      <c r="AD86" s="15">
        <v>61901.655953446752</v>
      </c>
      <c r="AE86" s="11">
        <v>189.71341392835023</v>
      </c>
      <c r="AF86" s="11">
        <f>(Opti_Medias__30_INS_1[[#This Row],[All: TS Index]]-AA$114) /ABS(AA$114)</f>
        <v>-0.74162564914330031</v>
      </c>
      <c r="AG86" s="11">
        <f>(Opti_Medias__30_INS_1[[#This Row],[All: Expectancy Score]]-AB$114) /ABS(AB$114)</f>
        <v>-0.68428037073030246</v>
      </c>
      <c r="AH86" s="11"/>
      <c r="AI86" s="11">
        <f>(Opti_Medias__30_INS_1[[#This Row],[All: Perfect Profit Correlation]]-AD$114) /ABS(AD$114)</f>
        <v>-0.57565577052340633</v>
      </c>
      <c r="AJ86" s="11">
        <f>(Opti_Medias__30_INS_1[[#This Row],[All: Robustness Index]]-AE$114) /ABS(AE$114)</f>
        <v>-0.77212475961538451</v>
      </c>
      <c r="AK86" s="11">
        <f>SUM(Opti_Medias__30_INS_1[[#This Row],[VAR TS Index]:[VAR Robustness Index]])</f>
        <v>-2.7736865500123935</v>
      </c>
      <c r="AL86" s="11">
        <f>Opti_Medias__30_INS_1[[#This Row],[SUMA]]-Opti_Medias__30_INS_1[[#This Row],[VAR Robustness Index]]</f>
        <v>-2.0015617903970089</v>
      </c>
    </row>
    <row r="87" spans="1:38" x14ac:dyDescent="0.25">
      <c r="A87" s="11"/>
      <c r="B87" s="89">
        <v>23</v>
      </c>
      <c r="C87" s="89">
        <v>11</v>
      </c>
      <c r="D87" s="89">
        <v>473</v>
      </c>
      <c r="E87" s="10">
        <v>77150</v>
      </c>
      <c r="F87" s="10">
        <v>1634230</v>
      </c>
      <c r="G87" s="10">
        <v>-1557080</v>
      </c>
      <c r="H87" s="89">
        <v>3741</v>
      </c>
      <c r="I87" s="11">
        <v>39.935846030473137</v>
      </c>
      <c r="J87" s="89">
        <v>1494</v>
      </c>
      <c r="K87" s="89">
        <v>2223</v>
      </c>
      <c r="L87" s="12">
        <v>17730</v>
      </c>
      <c r="M87" s="12">
        <v>-6870</v>
      </c>
      <c r="N87" s="12">
        <v>1093.862060546875</v>
      </c>
      <c r="O87" s="12">
        <v>-700.44085693359375</v>
      </c>
      <c r="P87" s="11">
        <v>1.5616765494457441</v>
      </c>
      <c r="Q87" s="13">
        <v>20.622828120823311</v>
      </c>
      <c r="R87" s="89">
        <v>8</v>
      </c>
      <c r="S87" s="89">
        <v>13</v>
      </c>
      <c r="T87" s="89">
        <v>59</v>
      </c>
      <c r="U87" s="89">
        <v>26</v>
      </c>
      <c r="V87" s="12">
        <v>-48485</v>
      </c>
      <c r="W87" s="11">
        <v>1.049547871657204</v>
      </c>
      <c r="X87" s="89">
        <v>1</v>
      </c>
      <c r="Y87" s="12">
        <v>48485</v>
      </c>
      <c r="Z87" s="11">
        <v>159.12137774569453</v>
      </c>
      <c r="AA87" s="14">
        <v>2377.2733835206764</v>
      </c>
      <c r="AB87" s="11">
        <v>0.186696657806457</v>
      </c>
      <c r="AC87" s="11">
        <v>0.67894593503642098</v>
      </c>
      <c r="AD87" s="15">
        <v>62853.672093526948</v>
      </c>
      <c r="AE87" s="11">
        <v>286.86941279588558</v>
      </c>
      <c r="AF87" s="11">
        <f>(Opti_Medias__30_INS_1[[#This Row],[All: TS Index]]-AA$114) /ABS(AA$114)</f>
        <v>-0.5922630667911758</v>
      </c>
      <c r="AG87" s="11">
        <f>(Opti_Medias__30_INS_1[[#This Row],[All: Expectancy Score]]-AB$114) /ABS(AB$114)</f>
        <v>-0.91827492548026335</v>
      </c>
      <c r="AH87" s="11"/>
      <c r="AI87" s="11">
        <f>(Opti_Medias__30_INS_1[[#This Row],[All: Perfect Profit Correlation]]-AD$114) /ABS(AD$114)</f>
        <v>-0.56912957103505279</v>
      </c>
      <c r="AJ87" s="11">
        <f>(Opti_Medias__30_INS_1[[#This Row],[All: Robustness Index]]-AE$114) /ABS(AE$114)</f>
        <v>-0.65542533315780938</v>
      </c>
      <c r="AK87" s="11">
        <f>SUM(Opti_Medias__30_INS_1[[#This Row],[VAR TS Index]:[VAR Robustness Index]])</f>
        <v>-2.7350928964643013</v>
      </c>
      <c r="AL87" s="11">
        <f>Opti_Medias__30_INS_1[[#This Row],[SUMA]]-Opti_Medias__30_INS_1[[#This Row],[VAR Robustness Index]]</f>
        <v>-2.0796675633064918</v>
      </c>
    </row>
    <row r="88" spans="1:38" x14ac:dyDescent="0.25">
      <c r="A88" s="11"/>
      <c r="B88" s="89">
        <v>39</v>
      </c>
      <c r="C88" s="89">
        <v>11</v>
      </c>
      <c r="D88" s="89">
        <v>489</v>
      </c>
      <c r="E88" s="10">
        <v>72700</v>
      </c>
      <c r="F88" s="10">
        <v>1612370</v>
      </c>
      <c r="G88" s="10">
        <v>-1539670</v>
      </c>
      <c r="H88" s="89">
        <v>3841</v>
      </c>
      <c r="I88" s="11">
        <v>32.413434001562095</v>
      </c>
      <c r="J88" s="89">
        <v>1245</v>
      </c>
      <c r="K88" s="89">
        <v>2575</v>
      </c>
      <c r="L88" s="12">
        <v>18310</v>
      </c>
      <c r="M88" s="12">
        <v>-5410</v>
      </c>
      <c r="N88" s="12">
        <v>1295.0762939453125</v>
      </c>
      <c r="O88" s="12">
        <v>-597.93011474609375</v>
      </c>
      <c r="P88" s="11">
        <v>2.1659325429615741</v>
      </c>
      <c r="Q88" s="13">
        <v>18.927362665972403</v>
      </c>
      <c r="R88" s="89">
        <v>7</v>
      </c>
      <c r="S88" s="89">
        <v>15</v>
      </c>
      <c r="T88" s="89">
        <v>72</v>
      </c>
      <c r="U88" s="89">
        <v>22</v>
      </c>
      <c r="V88" s="12">
        <v>-56415</v>
      </c>
      <c r="W88" s="11">
        <v>1.047217910331435</v>
      </c>
      <c r="X88" s="89">
        <v>1</v>
      </c>
      <c r="Y88" s="12">
        <v>56415</v>
      </c>
      <c r="Z88" s="11">
        <v>128.86643623149871</v>
      </c>
      <c r="AA88" s="14">
        <v>1604.3871310821589</v>
      </c>
      <c r="AB88" s="11">
        <v>0.71098516900659903</v>
      </c>
      <c r="AC88" s="11">
        <v>0.57345444198531303</v>
      </c>
      <c r="AD88" s="15">
        <v>42550.186951117597</v>
      </c>
      <c r="AE88" s="11">
        <v>163.27141867840191</v>
      </c>
      <c r="AF88" s="11">
        <f>(Opti_Medias__30_INS_1[[#This Row],[All: TS Index]]-AA$114) /ABS(AA$114)</f>
        <v>-0.72482429112198332</v>
      </c>
      <c r="AG88" s="11">
        <f>(Opti_Medias__30_INS_1[[#This Row],[All: Expectancy Score]]-AB$114) /ABS(AB$114)</f>
        <v>-0.6887715259491789</v>
      </c>
      <c r="AH88" s="11"/>
      <c r="AI88" s="11">
        <f>(Opti_Medias__30_INS_1[[#This Row],[All: Perfect Profit Correlation]]-AD$114) /ABS(AD$114)</f>
        <v>-0.70831270960770421</v>
      </c>
      <c r="AJ88" s="11">
        <f>(Opti_Medias__30_INS_1[[#This Row],[All: Robustness Index]]-AE$114) /ABS(AE$114)</f>
        <v>-0.80388569785935349</v>
      </c>
      <c r="AK88" s="11">
        <f>SUM(Opti_Medias__30_INS_1[[#This Row],[VAR TS Index]:[VAR Robustness Index]])</f>
        <v>-2.9257942245382198</v>
      </c>
      <c r="AL88" s="11">
        <f>Opti_Medias__30_INS_1[[#This Row],[SUMA]]-Opti_Medias__30_INS_1[[#This Row],[VAR Robustness Index]]</f>
        <v>-2.1219085266788662</v>
      </c>
    </row>
    <row r="89" spans="1:38" x14ac:dyDescent="0.25">
      <c r="A89" s="11"/>
      <c r="B89" s="89">
        <v>7</v>
      </c>
      <c r="C89" s="89">
        <v>3</v>
      </c>
      <c r="D89" s="89">
        <v>97</v>
      </c>
      <c r="E89" s="10">
        <v>67530</v>
      </c>
      <c r="F89" s="10">
        <v>1667560</v>
      </c>
      <c r="G89" s="10">
        <v>-1600030</v>
      </c>
      <c r="H89" s="89">
        <v>3887</v>
      </c>
      <c r="I89" s="11">
        <v>44.069976845896576</v>
      </c>
      <c r="J89" s="89">
        <v>1713</v>
      </c>
      <c r="K89" s="89">
        <v>2140</v>
      </c>
      <c r="L89" s="12">
        <v>17590</v>
      </c>
      <c r="M89" s="12">
        <v>-5600</v>
      </c>
      <c r="N89" s="12">
        <v>973.47344970703125</v>
      </c>
      <c r="O89" s="12">
        <v>-747.67755126953125</v>
      </c>
      <c r="P89" s="11">
        <v>1.301996359331782</v>
      </c>
      <c r="Q89" s="13">
        <v>17.373295600720351</v>
      </c>
      <c r="R89" s="89">
        <v>11</v>
      </c>
      <c r="S89" s="89">
        <v>15</v>
      </c>
      <c r="T89" s="89">
        <v>46</v>
      </c>
      <c r="U89" s="89">
        <v>31</v>
      </c>
      <c r="V89" s="12">
        <v>-94315</v>
      </c>
      <c r="W89" s="11">
        <v>1.0422054586476499</v>
      </c>
      <c r="X89" s="89">
        <v>1</v>
      </c>
      <c r="Y89" s="12">
        <v>94315</v>
      </c>
      <c r="Z89" s="11">
        <v>71.600487727296823</v>
      </c>
      <c r="AA89" s="14">
        <v>1226.5163547685945</v>
      </c>
      <c r="AB89" s="11">
        <v>0.699177868307579</v>
      </c>
      <c r="AC89" s="11">
        <v>0.61827152479093495</v>
      </c>
      <c r="AD89" s="15">
        <v>48723.562541699386</v>
      </c>
      <c r="AE89" s="11">
        <v>703.70693228473169</v>
      </c>
      <c r="AF89" s="11">
        <f>(Opti_Medias__30_INS_1[[#This Row],[All: TS Index]]-AA$114) /ABS(AA$114)</f>
        <v>-0.7896346207001298</v>
      </c>
      <c r="AG89" s="11">
        <f>(Opti_Medias__30_INS_1[[#This Row],[All: Expectancy Score]]-AB$114) /ABS(AB$114)</f>
        <v>-0.69394008408429386</v>
      </c>
      <c r="AH89" s="11"/>
      <c r="AI89" s="11">
        <f>(Opti_Medias__30_INS_1[[#This Row],[All: Perfect Profit Correlation]]-AD$114) /ABS(AD$114)</f>
        <v>-0.66599338441509315</v>
      </c>
      <c r="AJ89" s="11">
        <f>(Opti_Medias__30_INS_1[[#This Row],[All: Robustness Index]]-AE$114) /ABS(AE$114)</f>
        <v>-0.15473880821486743</v>
      </c>
      <c r="AK89" s="11">
        <f>SUM(Opti_Medias__30_INS_1[[#This Row],[VAR TS Index]:[VAR Robustness Index]])</f>
        <v>-2.3043068974143841</v>
      </c>
      <c r="AL89" s="11">
        <f>Opti_Medias__30_INS_1[[#This Row],[SUMA]]-Opti_Medias__30_INS_1[[#This Row],[VAR Robustness Index]]</f>
        <v>-2.1495680891995166</v>
      </c>
    </row>
    <row r="90" spans="1:38" x14ac:dyDescent="0.25">
      <c r="A90" s="11"/>
      <c r="B90" s="89">
        <v>22</v>
      </c>
      <c r="C90" s="89">
        <v>11</v>
      </c>
      <c r="D90" s="89">
        <v>472</v>
      </c>
      <c r="E90" s="10">
        <v>69390</v>
      </c>
      <c r="F90" s="10">
        <v>1622140</v>
      </c>
      <c r="G90" s="10">
        <v>-1552750</v>
      </c>
      <c r="H90" s="89">
        <v>3749</v>
      </c>
      <c r="I90" s="11">
        <v>40.250733528941048</v>
      </c>
      <c r="J90" s="89">
        <v>1509</v>
      </c>
      <c r="K90" s="89">
        <v>2218</v>
      </c>
      <c r="L90" s="12">
        <v>17900</v>
      </c>
      <c r="M90" s="12">
        <v>-7220</v>
      </c>
      <c r="N90" s="12">
        <v>1074.976806640625</v>
      </c>
      <c r="O90" s="12">
        <v>-700.067626953125</v>
      </c>
      <c r="P90" s="11">
        <v>1.5355328046223209</v>
      </c>
      <c r="Q90" s="13">
        <v>18.508935716190983</v>
      </c>
      <c r="R90" s="89">
        <v>9</v>
      </c>
      <c r="S90" s="89">
        <v>13</v>
      </c>
      <c r="T90" s="89">
        <v>58</v>
      </c>
      <c r="U90" s="89">
        <v>27</v>
      </c>
      <c r="V90" s="12">
        <v>-48955</v>
      </c>
      <c r="W90" s="11">
        <v>1.044688455965223</v>
      </c>
      <c r="X90" s="89">
        <v>1</v>
      </c>
      <c r="Y90" s="12">
        <v>48955</v>
      </c>
      <c r="Z90" s="11">
        <v>141.74241650495352</v>
      </c>
      <c r="AA90" s="14">
        <v>2138.8930650597486</v>
      </c>
      <c r="AB90" s="11">
        <v>0.21681508530062599</v>
      </c>
      <c r="AC90" s="11">
        <v>0.60601751265919301</v>
      </c>
      <c r="AD90" s="15">
        <v>53856.644436161041</v>
      </c>
      <c r="AE90" s="11">
        <v>382.9423610291488</v>
      </c>
      <c r="AF90" s="11">
        <f>(Opti_Medias__30_INS_1[[#This Row],[All: TS Index]]-AA$114) /ABS(AA$114)</f>
        <v>-0.63314875569021878</v>
      </c>
      <c r="AG90" s="11">
        <f>(Opti_Medias__30_INS_1[[#This Row],[All: Expectancy Score]]-AB$114) /ABS(AB$114)</f>
        <v>-0.90509080766959549</v>
      </c>
      <c r="AH90" s="11"/>
      <c r="AI90" s="11">
        <f>(Opti_Medias__30_INS_1[[#This Row],[All: Perfect Profit Correlation]]-AD$114) /ABS(AD$114)</f>
        <v>-0.63080541330518136</v>
      </c>
      <c r="AJ90" s="11">
        <f>(Opti_Medias__30_INS_1[[#This Row],[All: Robustness Index]]-AE$114) /ABS(AE$114)</f>
        <v>-0.54002681852572421</v>
      </c>
      <c r="AK90" s="11">
        <f>SUM(Opti_Medias__30_INS_1[[#This Row],[VAR TS Index]:[VAR Robustness Index]])</f>
        <v>-2.7090717951907197</v>
      </c>
      <c r="AL90" s="11">
        <f>Opti_Medias__30_INS_1[[#This Row],[SUMA]]-Opti_Medias__30_INS_1[[#This Row],[VAR Robustness Index]]</f>
        <v>-2.1690449766649955</v>
      </c>
    </row>
    <row r="91" spans="1:38" x14ac:dyDescent="0.25">
      <c r="A91" s="11"/>
      <c r="B91" s="89">
        <v>6</v>
      </c>
      <c r="C91" s="89">
        <v>3</v>
      </c>
      <c r="D91" s="89">
        <v>96</v>
      </c>
      <c r="E91" s="10">
        <v>74210</v>
      </c>
      <c r="F91" s="10">
        <v>1695760</v>
      </c>
      <c r="G91" s="10">
        <v>-1621550</v>
      </c>
      <c r="H91" s="89">
        <v>4083</v>
      </c>
      <c r="I91" s="11">
        <v>44.991427871662992</v>
      </c>
      <c r="J91" s="89">
        <v>1837</v>
      </c>
      <c r="K91" s="89">
        <v>2215</v>
      </c>
      <c r="L91" s="12">
        <v>17590</v>
      </c>
      <c r="M91" s="12">
        <v>-6640</v>
      </c>
      <c r="N91" s="12">
        <v>923.11376953125</v>
      </c>
      <c r="O91" s="12">
        <v>-732.07672119140625</v>
      </c>
      <c r="P91" s="11">
        <v>1.2609522237354349</v>
      </c>
      <c r="Q91" s="13">
        <v>18.175361253979915</v>
      </c>
      <c r="R91" s="89">
        <v>9</v>
      </c>
      <c r="S91" s="89">
        <v>15</v>
      </c>
      <c r="T91" s="89">
        <v>43</v>
      </c>
      <c r="U91" s="89">
        <v>31</v>
      </c>
      <c r="V91" s="12">
        <v>-95755</v>
      </c>
      <c r="W91" s="11">
        <v>1.045764854614412</v>
      </c>
      <c r="X91" s="89">
        <v>1</v>
      </c>
      <c r="Y91" s="12">
        <v>95755</v>
      </c>
      <c r="Z91" s="11">
        <v>77.499869458513913</v>
      </c>
      <c r="AA91" s="14">
        <v>1423.6726019529005</v>
      </c>
      <c r="AB91" s="11">
        <v>0.47234276811760201</v>
      </c>
      <c r="AC91" s="11">
        <v>0.69099427866003205</v>
      </c>
      <c r="AD91" s="15">
        <v>54691.70025479891</v>
      </c>
      <c r="AE91" s="11">
        <v>631.90477995444837</v>
      </c>
      <c r="AF91" s="11">
        <f>(Opti_Medias__30_INS_1[[#This Row],[All: TS Index]]-AA$114) /ABS(AA$114)</f>
        <v>-0.75581945911747761</v>
      </c>
      <c r="AG91" s="11">
        <f>(Opti_Medias__30_INS_1[[#This Row],[All: Expectancy Score]]-AB$114) /ABS(AB$114)</f>
        <v>-0.793235463468834</v>
      </c>
      <c r="AH91" s="11"/>
      <c r="AI91" s="11">
        <f>(Opti_Medias__30_INS_1[[#This Row],[All: Perfect Profit Correlation]]-AD$114) /ABS(AD$114)</f>
        <v>-0.62508099265000006</v>
      </c>
      <c r="AJ91" s="11">
        <f>(Opti_Medias__30_INS_1[[#This Row],[All: Robustness Index]]-AE$114) /ABS(AE$114)</f>
        <v>-0.24098433183701654</v>
      </c>
      <c r="AK91" s="11">
        <f>SUM(Opti_Medias__30_INS_1[[#This Row],[VAR TS Index]:[VAR Robustness Index]])</f>
        <v>-2.4151202470733284</v>
      </c>
      <c r="AL91" s="11">
        <f>Opti_Medias__30_INS_1[[#This Row],[SUMA]]-Opti_Medias__30_INS_1[[#This Row],[VAR Robustness Index]]</f>
        <v>-2.1741359152363118</v>
      </c>
    </row>
    <row r="92" spans="1:38" x14ac:dyDescent="0.25">
      <c r="A92" s="11"/>
      <c r="B92" s="89">
        <v>27</v>
      </c>
      <c r="C92" s="89">
        <v>1</v>
      </c>
      <c r="D92" s="89">
        <v>27</v>
      </c>
      <c r="E92" s="10">
        <v>89540</v>
      </c>
      <c r="F92" s="10">
        <v>1545260</v>
      </c>
      <c r="G92" s="10">
        <v>-1455720</v>
      </c>
      <c r="H92" s="89">
        <v>3529</v>
      </c>
      <c r="I92" s="11">
        <v>35.10909606120714</v>
      </c>
      <c r="J92" s="89">
        <v>1239</v>
      </c>
      <c r="K92" s="89">
        <v>2270</v>
      </c>
      <c r="L92" s="12">
        <v>17290</v>
      </c>
      <c r="M92" s="12">
        <v>-6500</v>
      </c>
      <c r="N92" s="12">
        <v>1247.1832275390625</v>
      </c>
      <c r="O92" s="12">
        <v>-641.28631591796875</v>
      </c>
      <c r="P92" s="11">
        <v>1.9448149704454289</v>
      </c>
      <c r="Q92" s="13">
        <v>25.372626806460755</v>
      </c>
      <c r="R92" s="89">
        <v>7</v>
      </c>
      <c r="S92" s="89">
        <v>15</v>
      </c>
      <c r="T92" s="89">
        <v>70</v>
      </c>
      <c r="U92" s="89">
        <v>26</v>
      </c>
      <c r="V92" s="12">
        <v>-63695</v>
      </c>
      <c r="W92" s="11">
        <v>1.061509081416756</v>
      </c>
      <c r="X92" s="89">
        <v>1</v>
      </c>
      <c r="Y92" s="12">
        <v>63695</v>
      </c>
      <c r="Z92" s="11">
        <v>140.57618337389121</v>
      </c>
      <c r="AA92" s="14">
        <v>1741.7389120025121</v>
      </c>
      <c r="AB92" s="11">
        <v>0.167867137601204</v>
      </c>
      <c r="AC92" s="11">
        <v>0.76193637659719005</v>
      </c>
      <c r="AD92" s="15">
        <v>62857.880645890138</v>
      </c>
      <c r="AE92" s="11">
        <v>252.85513686653655</v>
      </c>
      <c r="AF92" s="11">
        <f>(Opti_Medias__30_INS_1[[#This Row],[All: TS Index]]-AA$114) /ABS(AA$114)</f>
        <v>-0.7012664646172776</v>
      </c>
      <c r="AG92" s="11">
        <f>(Opti_Medias__30_INS_1[[#This Row],[All: Expectancy Score]]-AB$114) /ABS(AB$114)</f>
        <v>-0.92651740801865157</v>
      </c>
      <c r="AH92" s="11"/>
      <c r="AI92" s="11">
        <f>(Opti_Medias__30_INS_1[[#This Row],[All: Perfect Profit Correlation]]-AD$114) /ABS(AD$114)</f>
        <v>-0.56910072083900787</v>
      </c>
      <c r="AJ92" s="11">
        <f>(Opti_Medias__30_INS_1[[#This Row],[All: Robustness Index]]-AE$114) /ABS(AE$114)</f>
        <v>-0.69628175518622959</v>
      </c>
      <c r="AK92" s="11">
        <f>SUM(Opti_Medias__30_INS_1[[#This Row],[VAR TS Index]:[VAR Robustness Index]])</f>
        <v>-2.8931663486611665</v>
      </c>
      <c r="AL92" s="11">
        <f>Opti_Medias__30_INS_1[[#This Row],[SUMA]]-Opti_Medias__30_INS_1[[#This Row],[VAR Robustness Index]]</f>
        <v>-2.196884593474937</v>
      </c>
    </row>
    <row r="93" spans="1:38" x14ac:dyDescent="0.25">
      <c r="A93" s="11"/>
      <c r="B93" s="89">
        <v>18</v>
      </c>
      <c r="C93" s="89">
        <v>11</v>
      </c>
      <c r="D93" s="89">
        <v>468</v>
      </c>
      <c r="E93" s="10">
        <v>75830</v>
      </c>
      <c r="F93" s="10">
        <v>1609000</v>
      </c>
      <c r="G93" s="10">
        <v>-1533170</v>
      </c>
      <c r="H93" s="89">
        <v>3693</v>
      </c>
      <c r="I93" s="11">
        <v>41.808827511508262</v>
      </c>
      <c r="J93" s="89">
        <v>1544</v>
      </c>
      <c r="K93" s="89">
        <v>2134</v>
      </c>
      <c r="L93" s="12">
        <v>17700</v>
      </c>
      <c r="M93" s="12">
        <v>-4740</v>
      </c>
      <c r="N93" s="12">
        <v>1042.098388671875</v>
      </c>
      <c r="O93" s="12">
        <v>-718.44891357421875</v>
      </c>
      <c r="P93" s="11">
        <v>1.45048363075327</v>
      </c>
      <c r="Q93" s="13">
        <v>20.533441646357975</v>
      </c>
      <c r="R93" s="89">
        <v>9</v>
      </c>
      <c r="S93" s="89">
        <v>14</v>
      </c>
      <c r="T93" s="89">
        <v>57</v>
      </c>
      <c r="U93" s="89">
        <v>28</v>
      </c>
      <c r="V93" s="12">
        <v>-60385</v>
      </c>
      <c r="W93" s="11">
        <v>1.0494596163504371</v>
      </c>
      <c r="X93" s="89">
        <v>1</v>
      </c>
      <c r="Y93" s="12">
        <v>60385</v>
      </c>
      <c r="Z93" s="11">
        <v>125.57754409207584</v>
      </c>
      <c r="AA93" s="14">
        <v>1938.917280781651</v>
      </c>
      <c r="AB93" s="11">
        <v>0.14101405878185599</v>
      </c>
      <c r="AC93" s="11">
        <v>0.68070946990415204</v>
      </c>
      <c r="AD93" s="15">
        <v>58776.25001389606</v>
      </c>
      <c r="AE93" s="11">
        <v>333.8039412706425</v>
      </c>
      <c r="AF93" s="11">
        <f>(Opti_Medias__30_INS_1[[#This Row],[All: TS Index]]-AA$114) /ABS(AA$114)</f>
        <v>-0.66744750885962745</v>
      </c>
      <c r="AG93" s="11">
        <f>(Opti_Medias__30_INS_1[[#This Row],[All: Expectancy Score]]-AB$114) /ABS(AB$114)</f>
        <v>-0.93827214371333456</v>
      </c>
      <c r="AH93" s="11"/>
      <c r="AI93" s="11">
        <f>(Opti_Medias__30_INS_1[[#This Row],[All: Perfect Profit Correlation]]-AD$114) /ABS(AD$114)</f>
        <v>-0.59708085123881738</v>
      </c>
      <c r="AJ93" s="11">
        <f>(Opti_Medias__30_INS_1[[#This Row],[All: Robustness Index]]-AE$114) /ABS(AE$114)</f>
        <v>-0.59904968350257148</v>
      </c>
      <c r="AK93" s="11">
        <f>SUM(Opti_Medias__30_INS_1[[#This Row],[VAR TS Index]:[VAR Robustness Index]])</f>
        <v>-2.8018501873143506</v>
      </c>
      <c r="AL93" s="11">
        <f>Opti_Medias__30_INS_1[[#This Row],[SUMA]]-Opti_Medias__30_INS_1[[#This Row],[VAR Robustness Index]]</f>
        <v>-2.2028005038117793</v>
      </c>
    </row>
    <row r="94" spans="1:38" x14ac:dyDescent="0.25">
      <c r="A94" s="11"/>
      <c r="B94" s="89">
        <v>32</v>
      </c>
      <c r="C94" s="89">
        <v>1</v>
      </c>
      <c r="D94" s="89">
        <v>32</v>
      </c>
      <c r="E94" s="10">
        <v>81200</v>
      </c>
      <c r="F94" s="10">
        <v>1572750</v>
      </c>
      <c r="G94" s="10">
        <v>-1491550</v>
      </c>
      <c r="H94" s="89">
        <v>3717</v>
      </c>
      <c r="I94" s="11">
        <v>33.575464083938662</v>
      </c>
      <c r="J94" s="89">
        <v>1248</v>
      </c>
      <c r="K94" s="89">
        <v>2446</v>
      </c>
      <c r="L94" s="12">
        <v>17310</v>
      </c>
      <c r="M94" s="12">
        <v>-5700</v>
      </c>
      <c r="N94" s="12">
        <v>1260.21630859375</v>
      </c>
      <c r="O94" s="12">
        <v>-609.79150390625</v>
      </c>
      <c r="P94" s="11">
        <v>2.0666347440411319</v>
      </c>
      <c r="Q94" s="13">
        <v>21.84557438794727</v>
      </c>
      <c r="R94" s="89">
        <v>7</v>
      </c>
      <c r="S94" s="89">
        <v>15</v>
      </c>
      <c r="T94" s="89">
        <v>70</v>
      </c>
      <c r="U94" s="89">
        <v>24</v>
      </c>
      <c r="V94" s="12">
        <v>-61835</v>
      </c>
      <c r="W94" s="11">
        <v>1.0544400120679831</v>
      </c>
      <c r="X94" s="89">
        <v>1</v>
      </c>
      <c r="Y94" s="12">
        <v>61835</v>
      </c>
      <c r="Z94" s="11">
        <v>131.31721516940243</v>
      </c>
      <c r="AA94" s="14">
        <v>1638.8388453141424</v>
      </c>
      <c r="AB94" s="11">
        <v>0.36401428155355298</v>
      </c>
      <c r="AC94" s="11">
        <v>0.66838772152456205</v>
      </c>
      <c r="AD94" s="15">
        <v>48268.629812021143</v>
      </c>
      <c r="AE94" s="11">
        <v>227.56064357080166</v>
      </c>
      <c r="AF94" s="11">
        <f>(Opti_Medias__30_INS_1[[#This Row],[All: TS Index]]-AA$114) /ABS(AA$114)</f>
        <v>-0.7189153214586238</v>
      </c>
      <c r="AG94" s="11">
        <f>(Opti_Medias__30_INS_1[[#This Row],[All: Expectancy Score]]-AB$114) /ABS(AB$114)</f>
        <v>-0.8406554534197791</v>
      </c>
      <c r="AH94" s="11"/>
      <c r="AI94" s="11">
        <f>(Opti_Medias__30_INS_1[[#This Row],[All: Perfect Profit Correlation]]-AD$114) /ABS(AD$114)</f>
        <v>-0.66911200984870323</v>
      </c>
      <c r="AJ94" s="11">
        <f>(Opti_Medias__30_INS_1[[#This Row],[All: Robustness Index]]-AE$114) /ABS(AE$114)</f>
        <v>-0.72666436557112069</v>
      </c>
      <c r="AK94" s="11">
        <f>SUM(Opti_Medias__30_INS_1[[#This Row],[VAR TS Index]:[VAR Robustness Index]])</f>
        <v>-2.9553471502982269</v>
      </c>
      <c r="AL94" s="11">
        <f>Opti_Medias__30_INS_1[[#This Row],[SUMA]]-Opti_Medias__30_INS_1[[#This Row],[VAR Robustness Index]]</f>
        <v>-2.2286827847271065</v>
      </c>
    </row>
    <row r="95" spans="1:38" x14ac:dyDescent="0.25">
      <c r="A95" s="11"/>
      <c r="B95" s="89">
        <v>26</v>
      </c>
      <c r="C95" s="89">
        <v>1</v>
      </c>
      <c r="D95" s="89">
        <v>26</v>
      </c>
      <c r="E95" s="10">
        <v>78080</v>
      </c>
      <c r="F95" s="10">
        <v>1534870</v>
      </c>
      <c r="G95" s="10">
        <v>-1456790</v>
      </c>
      <c r="H95" s="89">
        <v>3495</v>
      </c>
      <c r="I95" s="11">
        <v>35.107296137339056</v>
      </c>
      <c r="J95" s="89">
        <v>1227</v>
      </c>
      <c r="K95" s="89">
        <v>2251</v>
      </c>
      <c r="L95" s="12">
        <v>17460</v>
      </c>
      <c r="M95" s="12">
        <v>-6500</v>
      </c>
      <c r="N95" s="12">
        <v>1250.912841796875</v>
      </c>
      <c r="O95" s="12">
        <v>-647.174560546875</v>
      </c>
      <c r="P95" s="11">
        <v>1.9328832096549491</v>
      </c>
      <c r="Q95" s="13">
        <v>22.340486409155936</v>
      </c>
      <c r="R95" s="89">
        <v>7</v>
      </c>
      <c r="S95" s="89">
        <v>17</v>
      </c>
      <c r="T95" s="89">
        <v>70</v>
      </c>
      <c r="U95" s="89">
        <v>27</v>
      </c>
      <c r="V95" s="12">
        <v>-54535</v>
      </c>
      <c r="W95" s="11">
        <v>1.0535972926777371</v>
      </c>
      <c r="X95" s="89">
        <v>1</v>
      </c>
      <c r="Y95" s="12">
        <v>54535</v>
      </c>
      <c r="Z95" s="11">
        <v>143.17410837077105</v>
      </c>
      <c r="AA95" s="14">
        <v>1756.746309709361</v>
      </c>
      <c r="AB95" s="11">
        <v>0.15947550730336199</v>
      </c>
      <c r="AC95" s="11">
        <v>0.64967333610245703</v>
      </c>
      <c r="AD95" s="15">
        <v>55301.63230746959</v>
      </c>
      <c r="AE95" s="11">
        <v>339.18676394815742</v>
      </c>
      <c r="AF95" s="11">
        <f>(Opti_Medias__30_INS_1[[#This Row],[All: TS Index]]-AA$114) /ABS(AA$114)</f>
        <v>-0.69869247781422272</v>
      </c>
      <c r="AG95" s="11">
        <f>(Opti_Medias__30_INS_1[[#This Row],[All: Expectancy Score]]-AB$114) /ABS(AB$114)</f>
        <v>-0.93019078181918413</v>
      </c>
      <c r="AH95" s="11"/>
      <c r="AI95" s="11">
        <f>(Opti_Medias__30_INS_1[[#This Row],[All: Perfect Profit Correlation]]-AD$114) /ABS(AD$114)</f>
        <v>-0.62089982587930403</v>
      </c>
      <c r="AJ95" s="11">
        <f>(Opti_Medias__30_INS_1[[#This Row],[All: Robustness Index]]-AE$114) /ABS(AE$114)</f>
        <v>-0.59258407842917515</v>
      </c>
      <c r="AK95" s="11">
        <f>SUM(Opti_Medias__30_INS_1[[#This Row],[VAR TS Index]:[VAR Robustness Index]])</f>
        <v>-2.8423671639418862</v>
      </c>
      <c r="AL95" s="11">
        <f>Opti_Medias__30_INS_1[[#This Row],[SUMA]]-Opti_Medias__30_INS_1[[#This Row],[VAR Robustness Index]]</f>
        <v>-2.249783085512711</v>
      </c>
    </row>
    <row r="96" spans="1:38" x14ac:dyDescent="0.25">
      <c r="A96" s="11"/>
      <c r="B96" s="89">
        <v>37</v>
      </c>
      <c r="C96" s="89">
        <v>12</v>
      </c>
      <c r="D96" s="89">
        <v>532</v>
      </c>
      <c r="E96" s="10">
        <v>75570</v>
      </c>
      <c r="F96" s="10">
        <v>1339180</v>
      </c>
      <c r="G96" s="10">
        <v>-1263610</v>
      </c>
      <c r="H96" s="89">
        <v>3007</v>
      </c>
      <c r="I96" s="11">
        <v>31.59294978383771</v>
      </c>
      <c r="J96" s="89">
        <v>950</v>
      </c>
      <c r="K96" s="89">
        <v>2046</v>
      </c>
      <c r="L96" s="12">
        <v>18320</v>
      </c>
      <c r="M96" s="12">
        <v>-4310</v>
      </c>
      <c r="N96" s="12">
        <v>1409.6632080078125</v>
      </c>
      <c r="O96" s="12">
        <v>-617.6002197265625</v>
      </c>
      <c r="P96" s="11">
        <v>2.2824849522105568</v>
      </c>
      <c r="Q96" s="13">
        <v>25.131360159627537</v>
      </c>
      <c r="R96" s="89">
        <v>8</v>
      </c>
      <c r="S96" s="89">
        <v>17</v>
      </c>
      <c r="T96" s="89">
        <v>95</v>
      </c>
      <c r="U96" s="89">
        <v>27</v>
      </c>
      <c r="V96" s="12">
        <v>-44275</v>
      </c>
      <c r="W96" s="11">
        <v>1.0598048448492809</v>
      </c>
      <c r="X96" s="89">
        <v>1</v>
      </c>
      <c r="Y96" s="12">
        <v>44275</v>
      </c>
      <c r="Z96" s="11">
        <v>170.68322981366461</v>
      </c>
      <c r="AA96" s="14">
        <v>1621.4906832298136</v>
      </c>
      <c r="AB96" s="11">
        <v>8.6855676355946002E-2</v>
      </c>
      <c r="AC96" s="11">
        <v>0.60057007274735497</v>
      </c>
      <c r="AD96" s="15">
        <v>55609.667259297596</v>
      </c>
      <c r="AE96" s="11">
        <v>182.57499456920766</v>
      </c>
      <c r="AF96" s="11">
        <f>(Opti_Medias__30_INS_1[[#This Row],[All: TS Index]]-AA$114) /ABS(AA$114)</f>
        <v>-0.72189078336978107</v>
      </c>
      <c r="AG96" s="11">
        <f>(Opti_Medias__30_INS_1[[#This Row],[All: Expectancy Score]]-AB$114) /ABS(AB$114)</f>
        <v>-0.96197957314259797</v>
      </c>
      <c r="AH96" s="11"/>
      <c r="AI96" s="11">
        <f>(Opti_Medias__30_INS_1[[#This Row],[All: Perfect Profit Correlation]]-AD$114) /ABS(AD$114)</f>
        <v>-0.61878820459434802</v>
      </c>
      <c r="AJ96" s="11">
        <f>(Opti_Medias__30_INS_1[[#This Row],[All: Robustness Index]]-AE$114) /ABS(AE$114)</f>
        <v>-0.78069910864926562</v>
      </c>
      <c r="AK96" s="11">
        <f>SUM(Opti_Medias__30_INS_1[[#This Row],[VAR TS Index]:[VAR Robustness Index]])</f>
        <v>-3.0833576697559923</v>
      </c>
      <c r="AL96" s="11">
        <f>Opti_Medias__30_INS_1[[#This Row],[SUMA]]-Opti_Medias__30_INS_1[[#This Row],[VAR Robustness Index]]</f>
        <v>-2.3026585611067265</v>
      </c>
    </row>
    <row r="97" spans="1:38" x14ac:dyDescent="0.25">
      <c r="A97" s="11"/>
      <c r="B97" s="89">
        <v>24</v>
      </c>
      <c r="C97" s="89">
        <v>11</v>
      </c>
      <c r="D97" s="89">
        <v>474</v>
      </c>
      <c r="E97" s="10">
        <v>70000</v>
      </c>
      <c r="F97" s="10">
        <v>1633080</v>
      </c>
      <c r="G97" s="10">
        <v>-1563080</v>
      </c>
      <c r="H97" s="89">
        <v>3751</v>
      </c>
      <c r="I97" s="11">
        <v>39.34950679818715</v>
      </c>
      <c r="J97" s="89">
        <v>1476</v>
      </c>
      <c r="K97" s="89">
        <v>2250</v>
      </c>
      <c r="L97" s="12">
        <v>17670</v>
      </c>
      <c r="M97" s="12">
        <v>-6480</v>
      </c>
      <c r="N97" s="12">
        <v>1106.4227294921875</v>
      </c>
      <c r="O97" s="12">
        <v>-694.70220947265625</v>
      </c>
      <c r="P97" s="11">
        <v>1.592657565220738</v>
      </c>
      <c r="Q97" s="13">
        <v>18.661690215942414</v>
      </c>
      <c r="R97" s="89">
        <v>8</v>
      </c>
      <c r="S97" s="89">
        <v>13</v>
      </c>
      <c r="T97" s="89">
        <v>59</v>
      </c>
      <c r="U97" s="89">
        <v>26</v>
      </c>
      <c r="V97" s="12">
        <v>-64845</v>
      </c>
      <c r="W97" s="11">
        <v>1.044783376410676</v>
      </c>
      <c r="X97" s="89">
        <v>1</v>
      </c>
      <c r="Y97" s="12">
        <v>64845</v>
      </c>
      <c r="Z97" s="11">
        <v>107.94972627033695</v>
      </c>
      <c r="AA97" s="14">
        <v>1593.3379597501735</v>
      </c>
      <c r="AB97" s="11">
        <v>0.11470840149985</v>
      </c>
      <c r="AC97" s="11">
        <v>0.60445245256198998</v>
      </c>
      <c r="AD97" s="15">
        <v>47030.276188953263</v>
      </c>
      <c r="AE97" s="11">
        <v>264.27035072433461</v>
      </c>
      <c r="AF97" s="11">
        <f>(Opti_Medias__30_INS_1[[#This Row],[All: TS Index]]-AA$114) /ABS(AA$114)</f>
        <v>-0.72671938457847529</v>
      </c>
      <c r="AG97" s="11">
        <f>(Opti_Medias__30_INS_1[[#This Row],[All: Expectancy Score]]-AB$114) /ABS(AB$114)</f>
        <v>-0.94978724969820583</v>
      </c>
      <c r="AH97" s="11"/>
      <c r="AI97" s="11">
        <f>(Opti_Medias__30_INS_1[[#This Row],[All: Perfect Profit Correlation]]-AD$114) /ABS(AD$114)</f>
        <v>-0.67760109153652559</v>
      </c>
      <c r="AJ97" s="11">
        <f>(Opti_Medias__30_INS_1[[#This Row],[All: Robustness Index]]-AE$114) /ABS(AE$114)</f>
        <v>-0.68257031250000011</v>
      </c>
      <c r="AK97" s="11">
        <f>SUM(Opti_Medias__30_INS_1[[#This Row],[VAR TS Index]:[VAR Robustness Index]])</f>
        <v>-3.036678038313207</v>
      </c>
      <c r="AL97" s="11">
        <f>Opti_Medias__30_INS_1[[#This Row],[SUMA]]-Opti_Medias__30_INS_1[[#This Row],[VAR Robustness Index]]</f>
        <v>-2.3541077258132068</v>
      </c>
    </row>
    <row r="98" spans="1:38" x14ac:dyDescent="0.25">
      <c r="A98" s="11"/>
      <c r="B98" s="89">
        <v>17</v>
      </c>
      <c r="C98" s="89">
        <v>11</v>
      </c>
      <c r="D98" s="89">
        <v>467</v>
      </c>
      <c r="E98" s="10">
        <v>62600</v>
      </c>
      <c r="F98" s="10">
        <v>1591250</v>
      </c>
      <c r="G98" s="10">
        <v>-1528650</v>
      </c>
      <c r="H98" s="89">
        <v>3656</v>
      </c>
      <c r="I98" s="11">
        <v>42.122538293216628</v>
      </c>
      <c r="J98" s="89">
        <v>1540</v>
      </c>
      <c r="K98" s="89">
        <v>2102</v>
      </c>
      <c r="L98" s="12">
        <v>17870</v>
      </c>
      <c r="M98" s="12">
        <v>-6540</v>
      </c>
      <c r="N98" s="12">
        <v>1033.2791748046875</v>
      </c>
      <c r="O98" s="12">
        <v>-727.2359619140625</v>
      </c>
      <c r="P98" s="11">
        <v>1.4208306917126721</v>
      </c>
      <c r="Q98" s="13">
        <v>17.122538293216632</v>
      </c>
      <c r="R98" s="89">
        <v>8</v>
      </c>
      <c r="S98" s="89">
        <v>12</v>
      </c>
      <c r="T98" s="89">
        <v>57</v>
      </c>
      <c r="U98" s="89">
        <v>28</v>
      </c>
      <c r="V98" s="12">
        <v>-60045</v>
      </c>
      <c r="W98" s="11">
        <v>1.040951166061558</v>
      </c>
      <c r="X98" s="89">
        <v>1</v>
      </c>
      <c r="Y98" s="12">
        <v>60045</v>
      </c>
      <c r="Z98" s="11">
        <v>104.25514197685069</v>
      </c>
      <c r="AA98" s="14">
        <v>1605.5291864435007</v>
      </c>
      <c r="AB98" s="11">
        <v>8.7064186767407001E-2</v>
      </c>
      <c r="AC98" s="11">
        <v>0.55393199755678402</v>
      </c>
      <c r="AD98" s="15">
        <v>46939.851797892647</v>
      </c>
      <c r="AE98" s="11">
        <v>383.58894699114904</v>
      </c>
      <c r="AF98" s="11">
        <f>(Opti_Medias__30_INS_1[[#This Row],[All: TS Index]]-AA$114) /ABS(AA$114)</f>
        <v>-0.72462841203049311</v>
      </c>
      <c r="AG98" s="11">
        <f>(Opti_Medias__30_INS_1[[#This Row],[All: Expectancy Score]]-AB$114) /ABS(AB$114)</f>
        <v>-0.96188829925952457</v>
      </c>
      <c r="AH98" s="11"/>
      <c r="AI98" s="11">
        <f>(Opti_Medias__30_INS_1[[#This Row],[All: Perfect Profit Correlation]]-AD$114) /ABS(AD$114)</f>
        <v>-0.67822096297549583</v>
      </c>
      <c r="AJ98" s="11">
        <f>(Opti_Medias__30_INS_1[[#This Row],[All: Robustness Index]]-AE$114) /ABS(AE$114)</f>
        <v>-0.53925016848043128</v>
      </c>
      <c r="AK98" s="11">
        <f>SUM(Opti_Medias__30_INS_1[[#This Row],[VAR TS Index]:[VAR Robustness Index]])</f>
        <v>-2.9039878427459449</v>
      </c>
      <c r="AL98" s="11">
        <f>Opti_Medias__30_INS_1[[#This Row],[SUMA]]-Opti_Medias__30_INS_1[[#This Row],[VAR Robustness Index]]</f>
        <v>-2.3647376742655135</v>
      </c>
    </row>
    <row r="99" spans="1:38" x14ac:dyDescent="0.25">
      <c r="A99" s="11"/>
      <c r="B99" s="89">
        <v>27</v>
      </c>
      <c r="C99" s="89">
        <v>2</v>
      </c>
      <c r="D99" s="89">
        <v>72</v>
      </c>
      <c r="E99" s="10">
        <v>62110</v>
      </c>
      <c r="F99" s="10">
        <v>1332650</v>
      </c>
      <c r="G99" s="10">
        <v>-1270540</v>
      </c>
      <c r="H99" s="89">
        <v>2885</v>
      </c>
      <c r="I99" s="11">
        <v>28.006932409012133</v>
      </c>
      <c r="J99" s="89">
        <v>808</v>
      </c>
      <c r="K99" s="89">
        <v>2072</v>
      </c>
      <c r="L99" s="12">
        <v>19460</v>
      </c>
      <c r="M99" s="12">
        <v>-4120</v>
      </c>
      <c r="N99" s="12">
        <v>1649.3193359375</v>
      </c>
      <c r="O99" s="12">
        <v>-613.19500732421875</v>
      </c>
      <c r="P99" s="11">
        <v>2.689714228324505</v>
      </c>
      <c r="Q99" s="13">
        <v>21.528596187175044</v>
      </c>
      <c r="R99" s="89">
        <v>5</v>
      </c>
      <c r="S99" s="89">
        <v>19</v>
      </c>
      <c r="T99" s="89">
        <v>113</v>
      </c>
      <c r="U99" s="89">
        <v>26</v>
      </c>
      <c r="V99" s="12">
        <v>-48325</v>
      </c>
      <c r="W99" s="11">
        <v>1.0488847261794201</v>
      </c>
      <c r="X99" s="89">
        <v>1</v>
      </c>
      <c r="Y99" s="12">
        <v>48325</v>
      </c>
      <c r="Z99" s="11">
        <v>128.52560786342474</v>
      </c>
      <c r="AA99" s="14">
        <v>1038.4869115364718</v>
      </c>
      <c r="AB99" s="11">
        <v>0.247500423303601</v>
      </c>
      <c r="AC99" s="11">
        <v>0.43139697942586203</v>
      </c>
      <c r="AD99" s="15">
        <v>42115.30420464214</v>
      </c>
      <c r="AE99" s="11">
        <v>274.69926227600376</v>
      </c>
      <c r="AF99" s="11">
        <f>(Opti_Medias__30_INS_1[[#This Row],[All: TS Index]]-AA$114) /ABS(AA$114)</f>
        <v>-0.8218844027688994</v>
      </c>
      <c r="AG99" s="11">
        <f>(Opti_Medias__30_INS_1[[#This Row],[All: Expectancy Score]]-AB$114) /ABS(AB$114)</f>
        <v>-0.89165852899668974</v>
      </c>
      <c r="AH99" s="11"/>
      <c r="AI99" s="11">
        <f>(Opti_Medias__30_INS_1[[#This Row],[All: Perfect Profit Correlation]]-AD$114) /ABS(AD$114)</f>
        <v>-0.71129388969284735</v>
      </c>
      <c r="AJ99" s="11">
        <f>(Opti_Medias__30_INS_1[[#This Row],[All: Robustness Index]]-AE$114) /ABS(AE$114)</f>
        <v>-0.67004357188858477</v>
      </c>
      <c r="AK99" s="11">
        <f>SUM(Opti_Medias__30_INS_1[[#This Row],[VAR TS Index]:[VAR Robustness Index]])</f>
        <v>-3.094880393347021</v>
      </c>
      <c r="AL99" s="11">
        <f>Opti_Medias__30_INS_1[[#This Row],[SUMA]]-Opti_Medias__30_INS_1[[#This Row],[VAR Robustness Index]]</f>
        <v>-2.4248368214584364</v>
      </c>
    </row>
    <row r="100" spans="1:38" x14ac:dyDescent="0.25">
      <c r="A100" s="11"/>
      <c r="B100" s="89">
        <v>19</v>
      </c>
      <c r="C100" s="89">
        <v>3</v>
      </c>
      <c r="D100" s="89">
        <v>109</v>
      </c>
      <c r="E100" s="10">
        <v>56160</v>
      </c>
      <c r="F100" s="10">
        <v>1525530</v>
      </c>
      <c r="G100" s="10">
        <v>-1469370</v>
      </c>
      <c r="H100" s="89">
        <v>2881</v>
      </c>
      <c r="I100" s="11">
        <v>39.673724401249565</v>
      </c>
      <c r="J100" s="89">
        <v>1143</v>
      </c>
      <c r="K100" s="89">
        <v>1727</v>
      </c>
      <c r="L100" s="12">
        <v>16030</v>
      </c>
      <c r="M100" s="12">
        <v>-6640</v>
      </c>
      <c r="N100" s="12">
        <v>1334.671875</v>
      </c>
      <c r="O100" s="12">
        <v>-850.82220458984375</v>
      </c>
      <c r="P100" s="11">
        <v>1.568684817815029</v>
      </c>
      <c r="Q100" s="13">
        <v>19.493231516834431</v>
      </c>
      <c r="R100" s="89">
        <v>8</v>
      </c>
      <c r="S100" s="89">
        <v>12</v>
      </c>
      <c r="T100" s="89">
        <v>69</v>
      </c>
      <c r="U100" s="89">
        <v>39</v>
      </c>
      <c r="V100" s="12">
        <v>-74875</v>
      </c>
      <c r="W100" s="11">
        <v>1.0382204618305799</v>
      </c>
      <c r="X100" s="89">
        <v>1</v>
      </c>
      <c r="Y100" s="12">
        <v>74875</v>
      </c>
      <c r="Z100" s="11">
        <v>75.005008347245408</v>
      </c>
      <c r="AA100" s="14">
        <v>857.30724540901508</v>
      </c>
      <c r="AB100" s="11">
        <v>0.221773901023819</v>
      </c>
      <c r="AC100" s="11">
        <v>0.46394815002934298</v>
      </c>
      <c r="AD100" s="15">
        <v>43301.652723008185</v>
      </c>
      <c r="AE100" s="11">
        <v>613.92118894029932</v>
      </c>
      <c r="AF100" s="11">
        <f>(Opti_Medias__30_INS_1[[#This Row],[All: TS Index]]-AA$114) /ABS(AA$114)</f>
        <v>-0.85295934851922917</v>
      </c>
      <c r="AG100" s="11">
        <f>(Opti_Medias__30_INS_1[[#This Row],[All: Expectancy Score]]-AB$114) /ABS(AB$114)</f>
        <v>-0.9029201229381757</v>
      </c>
      <c r="AH100" s="11"/>
      <c r="AI100" s="11">
        <f>(Opti_Medias__30_INS_1[[#This Row],[All: Perfect Profit Correlation]]-AD$114) /ABS(AD$114)</f>
        <v>-0.70316131003624915</v>
      </c>
      <c r="AJ100" s="11">
        <f>(Opti_Medias__30_INS_1[[#This Row],[All: Robustness Index]]-AE$114) /ABS(AE$114)</f>
        <v>-0.26258541444088312</v>
      </c>
      <c r="AK100" s="11">
        <f>SUM(Opti_Medias__30_INS_1[[#This Row],[VAR TS Index]:[VAR Robustness Index]])</f>
        <v>-2.7216261959345371</v>
      </c>
      <c r="AL100" s="11">
        <f>Opti_Medias__30_INS_1[[#This Row],[SUMA]]-Opti_Medias__30_INS_1[[#This Row],[VAR Robustness Index]]</f>
        <v>-2.4590407814936541</v>
      </c>
    </row>
    <row r="101" spans="1:38" x14ac:dyDescent="0.25">
      <c r="A101" s="11"/>
      <c r="B101" s="89">
        <v>10</v>
      </c>
      <c r="C101" s="89">
        <v>3</v>
      </c>
      <c r="D101" s="89">
        <v>100</v>
      </c>
      <c r="E101" s="10">
        <v>60270</v>
      </c>
      <c r="F101" s="10">
        <v>1591170</v>
      </c>
      <c r="G101" s="10">
        <v>-1530900</v>
      </c>
      <c r="H101" s="89">
        <v>3433</v>
      </c>
      <c r="I101" s="11">
        <v>43.227497815321875</v>
      </c>
      <c r="J101" s="89">
        <v>1484</v>
      </c>
      <c r="K101" s="89">
        <v>1926</v>
      </c>
      <c r="L101" s="12">
        <v>13810</v>
      </c>
      <c r="M101" s="12">
        <v>-5310</v>
      </c>
      <c r="N101" s="12">
        <v>1072.217041015625</v>
      </c>
      <c r="O101" s="12">
        <v>-794.85980224609375</v>
      </c>
      <c r="P101" s="11">
        <v>1.348938564996975</v>
      </c>
      <c r="Q101" s="13">
        <v>17.556073405184968</v>
      </c>
      <c r="R101" s="89">
        <v>10</v>
      </c>
      <c r="S101" s="89">
        <v>12</v>
      </c>
      <c r="T101" s="89">
        <v>54</v>
      </c>
      <c r="U101" s="89">
        <v>35</v>
      </c>
      <c r="V101" s="12">
        <v>-83035</v>
      </c>
      <c r="W101" s="11">
        <v>1.0393689986282579</v>
      </c>
      <c r="X101" s="89">
        <v>1</v>
      </c>
      <c r="Y101" s="12">
        <v>83035</v>
      </c>
      <c r="Z101" s="11">
        <v>72.583850183657489</v>
      </c>
      <c r="AA101" s="14">
        <v>1077.1443367254772</v>
      </c>
      <c r="AB101" s="11">
        <v>5.9522152693503999E-2</v>
      </c>
      <c r="AC101" s="11">
        <v>0.53848674703099297</v>
      </c>
      <c r="AD101" s="15">
        <v>46084.773349922601</v>
      </c>
      <c r="AE101" s="11">
        <v>832.53193110469419</v>
      </c>
      <c r="AF101" s="11">
        <f>(Opti_Medias__30_INS_1[[#This Row],[All: TS Index]]-AA$114) /ABS(AA$114)</f>
        <v>-0.81525409255654535</v>
      </c>
      <c r="AG101" s="11">
        <f>(Opti_Medias__30_INS_1[[#This Row],[All: Expectancy Score]]-AB$114) /ABS(AB$114)</f>
        <v>-0.9739446199969225</v>
      </c>
      <c r="AH101" s="11"/>
      <c r="AI101" s="11">
        <f>(Opti_Medias__30_INS_1[[#This Row],[All: Perfect Profit Correlation]]-AD$114) /ABS(AD$114)</f>
        <v>-0.68408264146465891</v>
      </c>
      <c r="AJ101" s="11">
        <f>(Opti_Medias__30_INS_1[[#This Row],[All: Robustness Index]]-AE$114) /ABS(AE$114)</f>
        <v>0</v>
      </c>
      <c r="AK101" s="11">
        <f>SUM(Opti_Medias__30_INS_1[[#This Row],[VAR TS Index]:[VAR Robustness Index]])</f>
        <v>-2.4732813540181269</v>
      </c>
      <c r="AL101" s="11">
        <f>Opti_Medias__30_INS_1[[#This Row],[SUMA]]-Opti_Medias__30_INS_1[[#This Row],[VAR Robustness Index]]</f>
        <v>-2.4732813540181269</v>
      </c>
    </row>
    <row r="104" spans="1:38" ht="30" customHeight="1" x14ac:dyDescent="0.25">
      <c r="A104" s="42" t="s">
        <v>38</v>
      </c>
      <c r="B104" s="43">
        <v>26.27</v>
      </c>
      <c r="C104" s="43">
        <v>6.86</v>
      </c>
      <c r="D104" s="50"/>
      <c r="E104" s="51">
        <v>110097</v>
      </c>
      <c r="F104" s="51">
        <v>1605541.5</v>
      </c>
      <c r="G104" s="51">
        <v>-1495444.5</v>
      </c>
      <c r="H104" s="43">
        <v>3774.81</v>
      </c>
      <c r="I104" s="43">
        <v>34.178534980157444</v>
      </c>
      <c r="J104" s="43">
        <v>1289.33</v>
      </c>
      <c r="K104" s="43">
        <v>2468.85</v>
      </c>
      <c r="L104" s="52">
        <v>17562.3</v>
      </c>
      <c r="M104" s="52">
        <v>-5405.8</v>
      </c>
      <c r="N104" s="52">
        <v>1265.850912475586</v>
      </c>
      <c r="O104" s="52">
        <v>-612.9652920532227</v>
      </c>
      <c r="P104" s="53">
        <v>2.1080543688467328</v>
      </c>
      <c r="Q104" s="52">
        <v>29.294580550946431</v>
      </c>
      <c r="R104" s="43">
        <v>7.3</v>
      </c>
      <c r="S104" s="43">
        <v>16.309999999999999</v>
      </c>
      <c r="T104" s="43">
        <v>70.61</v>
      </c>
      <c r="U104" s="43">
        <v>23.93</v>
      </c>
      <c r="V104" s="52">
        <v>-51532.9</v>
      </c>
      <c r="W104" s="53">
        <v>1.0736724736718615</v>
      </c>
      <c r="X104" s="50"/>
      <c r="Y104" s="50"/>
      <c r="Z104" s="43">
        <v>231.46751205491412</v>
      </c>
      <c r="AA104" s="50">
        <v>2977.4918400837551</v>
      </c>
      <c r="AB104" s="53">
        <v>0.96067778612215848</v>
      </c>
      <c r="AC104" s="53">
        <v>0.95383591658813172</v>
      </c>
      <c r="AD104" s="53">
        <v>85807.610590475262</v>
      </c>
      <c r="AE104" s="53">
        <v>216.87475398420935</v>
      </c>
    </row>
    <row r="105" spans="1:38" ht="30" customHeight="1" x14ac:dyDescent="0.25">
      <c r="A105" s="44" t="s">
        <v>39</v>
      </c>
      <c r="B105" s="45">
        <v>1.077956821533641</v>
      </c>
      <c r="C105" s="45">
        <v>0.3714617589790884</v>
      </c>
      <c r="D105" s="54"/>
      <c r="E105" s="55">
        <v>2638.5606288124577</v>
      </c>
      <c r="F105" s="55">
        <v>9120.9060503489964</v>
      </c>
      <c r="G105" s="55">
        <v>8298.1173334861342</v>
      </c>
      <c r="H105" s="45">
        <v>33.75544458889469</v>
      </c>
      <c r="I105" s="45">
        <v>0.44758591022556027</v>
      </c>
      <c r="J105" s="45">
        <v>19.37909451033266</v>
      </c>
      <c r="K105" s="45">
        <v>29.572258276904716</v>
      </c>
      <c r="L105" s="56">
        <v>83.20752381967641</v>
      </c>
      <c r="M105" s="56">
        <v>88.501461495665069</v>
      </c>
      <c r="N105" s="56">
        <v>14.257695319849708</v>
      </c>
      <c r="O105" s="56">
        <v>7.0877160963022998</v>
      </c>
      <c r="P105" s="57">
        <v>4.2148470091330353E-2</v>
      </c>
      <c r="Q105" s="56">
        <v>0.70319967900718905</v>
      </c>
      <c r="R105" s="45">
        <v>0.12102257907706582</v>
      </c>
      <c r="S105" s="45">
        <v>0.31065099453251449</v>
      </c>
      <c r="T105" s="45">
        <v>1.3635881809669388</v>
      </c>
      <c r="U105" s="45">
        <v>0.35455335396535315</v>
      </c>
      <c r="V105" s="56">
        <v>1255.2236172060816</v>
      </c>
      <c r="W105" s="57">
        <v>1.7195628376019221E-3</v>
      </c>
      <c r="X105" s="54"/>
      <c r="Y105" s="54"/>
      <c r="Z105" s="45">
        <v>8.9360719862159588</v>
      </c>
      <c r="AA105" s="54">
        <v>123.06520263939157</v>
      </c>
      <c r="AB105" s="57">
        <v>5.3522543171920255E-2</v>
      </c>
      <c r="AC105" s="57">
        <v>2.6460891584303693E-2</v>
      </c>
      <c r="AD105" s="58">
        <v>2755.1335818931893</v>
      </c>
      <c r="AE105" s="57">
        <v>13.11049597301737</v>
      </c>
    </row>
    <row r="106" spans="1:38" ht="30" customHeight="1" x14ac:dyDescent="0.25">
      <c r="A106" s="46" t="s">
        <v>40</v>
      </c>
      <c r="B106" s="47">
        <v>29</v>
      </c>
      <c r="C106" s="47">
        <v>8</v>
      </c>
      <c r="D106" s="59"/>
      <c r="E106" s="60">
        <v>109285</v>
      </c>
      <c r="F106" s="60">
        <v>1621000</v>
      </c>
      <c r="G106" s="60">
        <v>-1495935</v>
      </c>
      <c r="H106" s="47">
        <v>3745</v>
      </c>
      <c r="I106" s="47">
        <v>34.106206607710043</v>
      </c>
      <c r="J106" s="47">
        <v>1275.5</v>
      </c>
      <c r="K106" s="47">
        <v>2400</v>
      </c>
      <c r="L106" s="61">
        <v>17460</v>
      </c>
      <c r="M106" s="61">
        <v>-5240</v>
      </c>
      <c r="N106" s="61">
        <v>1253.8439331054688</v>
      </c>
      <c r="O106" s="61">
        <v>-626.163818359375</v>
      </c>
      <c r="P106" s="62">
        <v>2.0789204161387262</v>
      </c>
      <c r="Q106" s="61">
        <v>29.82331559061825</v>
      </c>
      <c r="R106" s="47">
        <v>7</v>
      </c>
      <c r="S106" s="47">
        <v>16</v>
      </c>
      <c r="T106" s="47">
        <v>69.5</v>
      </c>
      <c r="U106" s="47">
        <v>25</v>
      </c>
      <c r="V106" s="61">
        <v>-50340</v>
      </c>
      <c r="W106" s="62">
        <v>1.0742520966484326</v>
      </c>
      <c r="X106" s="59"/>
      <c r="Y106" s="59"/>
      <c r="Z106" s="47">
        <v>213.58111661139793</v>
      </c>
      <c r="AA106" s="63">
        <v>2800.3879216928681</v>
      </c>
      <c r="AB106" s="64">
        <v>0.95501874091502548</v>
      </c>
      <c r="AC106" s="62">
        <v>0.94279401493205106</v>
      </c>
      <c r="AD106" s="65">
        <v>85235.584984735586</v>
      </c>
      <c r="AE106" s="66">
        <v>190.28256554567344</v>
      </c>
    </row>
    <row r="107" spans="1:38" ht="30" customHeight="1" x14ac:dyDescent="0.25">
      <c r="A107" s="44" t="s">
        <v>41</v>
      </c>
      <c r="B107" s="45">
        <v>37</v>
      </c>
      <c r="C107" s="45">
        <v>8</v>
      </c>
      <c r="D107" s="54"/>
      <c r="E107" s="55" t="e">
        <v>#N/A</v>
      </c>
      <c r="F107" s="55" t="e">
        <v>#N/A</v>
      </c>
      <c r="G107" s="55" t="e">
        <v>#N/A</v>
      </c>
      <c r="H107" s="45">
        <v>3683</v>
      </c>
      <c r="I107" s="45" t="e">
        <v>#N/A</v>
      </c>
      <c r="J107" s="45">
        <v>1218</v>
      </c>
      <c r="K107" s="45">
        <v>2400</v>
      </c>
      <c r="L107" s="56">
        <v>17090</v>
      </c>
      <c r="M107" s="56">
        <v>-5240</v>
      </c>
      <c r="N107" s="56" t="e">
        <v>#N/A</v>
      </c>
      <c r="O107" s="56" t="e">
        <v>#N/A</v>
      </c>
      <c r="P107" s="57" t="e">
        <v>#N/A</v>
      </c>
      <c r="Q107" s="56" t="e">
        <v>#N/A</v>
      </c>
      <c r="R107" s="45">
        <v>7</v>
      </c>
      <c r="S107" s="45">
        <v>15</v>
      </c>
      <c r="T107" s="45">
        <v>70</v>
      </c>
      <c r="U107" s="45">
        <v>25</v>
      </c>
      <c r="V107" s="56">
        <v>-41945</v>
      </c>
      <c r="W107" s="57" t="e">
        <v>#N/A</v>
      </c>
      <c r="X107" s="54"/>
      <c r="Y107" s="54"/>
      <c r="Z107" s="45" t="e">
        <v>#N/A</v>
      </c>
      <c r="AA107" s="54" t="e">
        <v>#N/A</v>
      </c>
      <c r="AB107" s="57" t="e">
        <v>#N/A</v>
      </c>
      <c r="AC107" s="57" t="e">
        <v>#N/A</v>
      </c>
      <c r="AD107" s="58" t="e">
        <v>#N/A</v>
      </c>
      <c r="AE107" s="57" t="e">
        <v>#N/A</v>
      </c>
    </row>
    <row r="108" spans="1:38" ht="30" customHeight="1" x14ac:dyDescent="0.25">
      <c r="A108" s="46" t="s">
        <v>42</v>
      </c>
      <c r="B108" s="47">
        <v>10.779568215336409</v>
      </c>
      <c r="C108" s="47">
        <v>3.7146175897908842</v>
      </c>
      <c r="D108" s="62"/>
      <c r="E108" s="60">
        <v>26385.606288124578</v>
      </c>
      <c r="F108" s="60">
        <v>91209.060503489964</v>
      </c>
      <c r="G108" s="60">
        <v>82981.173334861349</v>
      </c>
      <c r="H108" s="47">
        <v>337.55444588894687</v>
      </c>
      <c r="I108" s="47">
        <v>4.4758591022556029</v>
      </c>
      <c r="J108" s="47">
        <v>193.79094510332661</v>
      </c>
      <c r="K108" s="47">
        <v>295.72258276904716</v>
      </c>
      <c r="L108" s="61">
        <v>832.07523819676408</v>
      </c>
      <c r="M108" s="61">
        <v>885.01461495665069</v>
      </c>
      <c r="N108" s="61">
        <v>142.57695319849708</v>
      </c>
      <c r="O108" s="61">
        <v>70.877160963023002</v>
      </c>
      <c r="P108" s="62">
        <v>0.42148470091330353</v>
      </c>
      <c r="Q108" s="61">
        <v>7.0319967900718909</v>
      </c>
      <c r="R108" s="47">
        <v>1.2102257907706582</v>
      </c>
      <c r="S108" s="47">
        <v>3.1065099453251448</v>
      </c>
      <c r="T108" s="47">
        <v>13.635881809669389</v>
      </c>
      <c r="U108" s="47">
        <v>3.5455335396535315</v>
      </c>
      <c r="V108" s="61">
        <v>12552.236172060815</v>
      </c>
      <c r="W108" s="62">
        <v>1.719562837601922E-2</v>
      </c>
      <c r="X108" s="62"/>
      <c r="Y108" s="62"/>
      <c r="Z108" s="47">
        <v>89.360719862159584</v>
      </c>
      <c r="AA108" s="62">
        <v>1230.6520263939158</v>
      </c>
      <c r="AB108" s="62">
        <v>0.53522543171920256</v>
      </c>
      <c r="AC108" s="62">
        <v>0.26460891584303692</v>
      </c>
      <c r="AD108" s="53">
        <v>27551.335818931893</v>
      </c>
      <c r="AE108" s="62">
        <v>131.1049597301737</v>
      </c>
    </row>
    <row r="109" spans="1:38" ht="30" customHeight="1" x14ac:dyDescent="0.25">
      <c r="A109" s="44" t="s">
        <v>43</v>
      </c>
      <c r="B109" s="45">
        <v>116.19909090909097</v>
      </c>
      <c r="C109" s="45">
        <v>13.798383838383838</v>
      </c>
      <c r="D109" s="57"/>
      <c r="E109" s="55">
        <v>696200219.19191921</v>
      </c>
      <c r="F109" s="55">
        <v>8319092717.9292927</v>
      </c>
      <c r="G109" s="55">
        <v>6885875128.030303</v>
      </c>
      <c r="H109" s="45">
        <v>113943.00393939395</v>
      </c>
      <c r="I109" s="45">
        <v>20.033314703244333</v>
      </c>
      <c r="J109" s="45">
        <v>37554.930404040548</v>
      </c>
      <c r="K109" s="45">
        <v>87451.845959595958</v>
      </c>
      <c r="L109" s="55">
        <v>692349.20202020172</v>
      </c>
      <c r="M109" s="55">
        <v>783250.86868686869</v>
      </c>
      <c r="N109" s="55">
        <v>20328.187583366427</v>
      </c>
      <c r="O109" s="55">
        <v>5023.571946178271</v>
      </c>
      <c r="P109" s="57">
        <v>0.17764935310397692</v>
      </c>
      <c r="Q109" s="55">
        <v>49.44897885558138</v>
      </c>
      <c r="R109" s="45">
        <v>1.4646464646464648</v>
      </c>
      <c r="S109" s="45">
        <v>9.6504040404040339</v>
      </c>
      <c r="T109" s="45">
        <v>185.93727272727253</v>
      </c>
      <c r="U109" s="45">
        <v>12.570808080808101</v>
      </c>
      <c r="V109" s="55">
        <v>157558632.91919193</v>
      </c>
      <c r="W109" s="57">
        <v>2.956896352461574E-4</v>
      </c>
      <c r="X109" s="54"/>
      <c r="Y109" s="54"/>
      <c r="Z109" s="45">
        <v>7985.3382542833615</v>
      </c>
      <c r="AA109" s="54">
        <v>1514504.4100674512</v>
      </c>
      <c r="AB109" s="57">
        <v>0.28646626275900672</v>
      </c>
      <c r="AC109" s="57">
        <v>7.0017878343627382E-2</v>
      </c>
      <c r="AD109" s="67">
        <v>759076105.40755951</v>
      </c>
      <c r="AE109" s="57">
        <v>17188.510465850472</v>
      </c>
    </row>
    <row r="110" spans="1:38" ht="30" customHeight="1" x14ac:dyDescent="0.25">
      <c r="A110" s="46" t="s">
        <v>44</v>
      </c>
      <c r="B110" s="47">
        <v>-0.48690903673130004</v>
      </c>
      <c r="C110" s="47">
        <v>-1.2620010086143723</v>
      </c>
      <c r="D110" s="62"/>
      <c r="E110" s="60">
        <v>-0.35489115588242637</v>
      </c>
      <c r="F110" s="60">
        <v>1.6283552813511606</v>
      </c>
      <c r="G110" s="60">
        <v>1.1400155504477696</v>
      </c>
      <c r="H110" s="47">
        <v>1.5014461716909033</v>
      </c>
      <c r="I110" s="47">
        <v>-0.48134451804388112</v>
      </c>
      <c r="J110" s="47">
        <v>0.56059961972946803</v>
      </c>
      <c r="K110" s="47">
        <v>1.6067320256537019</v>
      </c>
      <c r="L110" s="61">
        <v>3.1130241780814019</v>
      </c>
      <c r="M110" s="61">
        <v>-1.0964311227449661</v>
      </c>
      <c r="N110" s="61">
        <v>1.0178317373565258</v>
      </c>
      <c r="O110" s="61">
        <v>0.87491334546449284</v>
      </c>
      <c r="P110" s="62">
        <v>-0.46267631966468814</v>
      </c>
      <c r="Q110" s="61">
        <v>-0.69522924396317975</v>
      </c>
      <c r="R110" s="47">
        <v>0.42259636507188381</v>
      </c>
      <c r="S110" s="47">
        <v>1.0039188707699505</v>
      </c>
      <c r="T110" s="47">
        <v>1.7743907280172579</v>
      </c>
      <c r="U110" s="47">
        <v>3.3327155506158825</v>
      </c>
      <c r="V110" s="61">
        <v>1.600665116247534</v>
      </c>
      <c r="W110" s="62">
        <v>-0.41279712227944154</v>
      </c>
      <c r="X110" s="62"/>
      <c r="Y110" s="62"/>
      <c r="Z110" s="47">
        <v>-1.0404762768654812</v>
      </c>
      <c r="AA110" s="62">
        <v>-0.96790027412769453</v>
      </c>
      <c r="AB110" s="62">
        <v>-0.50962839654550018</v>
      </c>
      <c r="AC110" s="62">
        <v>-0.34014316204384398</v>
      </c>
      <c r="AD110" s="53">
        <v>-0.79222713920497378</v>
      </c>
      <c r="AE110" s="62">
        <v>6.7829203728363243</v>
      </c>
    </row>
    <row r="111" spans="1:38" ht="30" customHeight="1" x14ac:dyDescent="0.25">
      <c r="A111" s="44" t="s">
        <v>45</v>
      </c>
      <c r="B111" s="45">
        <v>-0.68222196081678699</v>
      </c>
      <c r="C111" s="45">
        <v>-0.40741164399043867</v>
      </c>
      <c r="D111" s="57"/>
      <c r="E111" s="55">
        <v>0.1823286860460957</v>
      </c>
      <c r="F111" s="55">
        <v>-0.82987608327688245</v>
      </c>
      <c r="G111" s="55">
        <v>0.81914212235449235</v>
      </c>
      <c r="H111" s="45">
        <v>-1.6357954831348109E-2</v>
      </c>
      <c r="I111" s="45">
        <v>0.15214252741958903</v>
      </c>
      <c r="J111" s="45">
        <v>-0.23566442588993827</v>
      </c>
      <c r="K111" s="45">
        <v>1.0127187837659701</v>
      </c>
      <c r="L111" s="56">
        <v>-0.55115711605584849</v>
      </c>
      <c r="M111" s="56">
        <v>-0.28323369191841724</v>
      </c>
      <c r="N111" s="56">
        <v>0.62508028570355301</v>
      </c>
      <c r="O111" s="56">
        <v>-0.10503328038495285</v>
      </c>
      <c r="P111" s="57">
        <v>0.30107067037701069</v>
      </c>
      <c r="Q111" s="56">
        <v>7.2244737771915424E-2</v>
      </c>
      <c r="R111" s="45">
        <v>0.27213560793994623</v>
      </c>
      <c r="S111" s="45">
        <v>0.88411426581480856</v>
      </c>
      <c r="T111" s="45">
        <v>1.1871881590363123</v>
      </c>
      <c r="U111" s="45">
        <v>0.58470461600784096</v>
      </c>
      <c r="V111" s="56">
        <v>-1.0504205981174508</v>
      </c>
      <c r="W111" s="57">
        <v>2.5706605032627321E-2</v>
      </c>
      <c r="X111" s="57"/>
      <c r="Y111" s="57"/>
      <c r="Z111" s="45">
        <v>0.19805598481879133</v>
      </c>
      <c r="AA111" s="57">
        <v>0.30752436182949044</v>
      </c>
      <c r="AB111" s="57">
        <v>0.19512945902195719</v>
      </c>
      <c r="AC111" s="57">
        <v>0.34039305901097267</v>
      </c>
      <c r="AD111" s="58">
        <v>0.24054857524687684</v>
      </c>
      <c r="AE111" s="57">
        <v>2.1576443312322651</v>
      </c>
    </row>
    <row r="112" spans="1:38" ht="30" customHeight="1" x14ac:dyDescent="0.25">
      <c r="A112" s="46" t="s">
        <v>46</v>
      </c>
      <c r="B112" s="47">
        <v>42</v>
      </c>
      <c r="C112" s="47">
        <v>11</v>
      </c>
      <c r="D112" s="59"/>
      <c r="E112" s="60">
        <v>117670</v>
      </c>
      <c r="F112" s="60">
        <v>476790</v>
      </c>
      <c r="G112" s="60">
        <v>378270</v>
      </c>
      <c r="H112" s="47">
        <v>1946</v>
      </c>
      <c r="I112" s="47">
        <v>19.163326551030821</v>
      </c>
      <c r="J112" s="47">
        <v>1029</v>
      </c>
      <c r="K112" s="47">
        <v>1710</v>
      </c>
      <c r="L112" s="61">
        <v>5650</v>
      </c>
      <c r="M112" s="61">
        <v>3100</v>
      </c>
      <c r="N112" s="61">
        <v>726.20556640625</v>
      </c>
      <c r="O112" s="61">
        <v>403.46072387695313</v>
      </c>
      <c r="P112" s="62">
        <v>1.7386415450945389</v>
      </c>
      <c r="Q112" s="61">
        <v>28.421378319266708</v>
      </c>
      <c r="R112" s="47">
        <v>6</v>
      </c>
      <c r="S112" s="47">
        <v>16</v>
      </c>
      <c r="T112" s="47">
        <v>70</v>
      </c>
      <c r="U112" s="47">
        <v>23</v>
      </c>
      <c r="V112" s="61">
        <v>62320</v>
      </c>
      <c r="W112" s="62">
        <v>7.5911055139462169E-2</v>
      </c>
      <c r="X112" s="59"/>
      <c r="Y112" s="59"/>
      <c r="Z112" s="47">
        <v>331.6090373147635</v>
      </c>
      <c r="AA112" s="59">
        <v>4973.1024866991766</v>
      </c>
      <c r="AB112" s="62">
        <v>2.2257762295395431</v>
      </c>
      <c r="AC112" s="62">
        <v>1.188834005814194</v>
      </c>
      <c r="AD112" s="53">
        <v>103760.73617370633</v>
      </c>
      <c r="AE112" s="62">
        <v>823.34984014821475</v>
      </c>
    </row>
    <row r="113" spans="1:31" ht="30" customHeight="1" x14ac:dyDescent="0.25">
      <c r="A113" s="44" t="s">
        <v>47</v>
      </c>
      <c r="B113" s="45">
        <v>1</v>
      </c>
      <c r="C113" s="45">
        <v>1</v>
      </c>
      <c r="D113" s="54"/>
      <c r="E113" s="55">
        <v>56160</v>
      </c>
      <c r="F113" s="55">
        <v>1332650</v>
      </c>
      <c r="G113" s="55">
        <v>-1641880</v>
      </c>
      <c r="H113" s="45">
        <v>2881</v>
      </c>
      <c r="I113" s="45">
        <v>25.828101320632172</v>
      </c>
      <c r="J113" s="45">
        <v>808</v>
      </c>
      <c r="K113" s="45">
        <v>1727</v>
      </c>
      <c r="L113" s="56">
        <v>13810</v>
      </c>
      <c r="M113" s="56">
        <v>-7220</v>
      </c>
      <c r="N113" s="56">
        <v>923.11376953125</v>
      </c>
      <c r="O113" s="56">
        <v>-850.82220458984375</v>
      </c>
      <c r="P113" s="57">
        <v>1.2609522237354349</v>
      </c>
      <c r="Q113" s="56">
        <v>16.224290972071877</v>
      </c>
      <c r="R113" s="45">
        <v>5</v>
      </c>
      <c r="S113" s="45">
        <v>11</v>
      </c>
      <c r="T113" s="45">
        <v>43</v>
      </c>
      <c r="U113" s="45">
        <v>16</v>
      </c>
      <c r="V113" s="56">
        <v>-95755</v>
      </c>
      <c r="W113" s="57">
        <v>1.0382204618305799</v>
      </c>
      <c r="X113" s="54"/>
      <c r="Y113" s="54"/>
      <c r="Z113" s="54">
        <v>71.600487727296823</v>
      </c>
      <c r="AA113" s="63">
        <v>857.30724540901508</v>
      </c>
      <c r="AB113" s="64">
        <v>5.8671461742395001E-2</v>
      </c>
      <c r="AC113" s="57">
        <v>0.43139697942586203</v>
      </c>
      <c r="AD113" s="65">
        <v>42115.30420464214</v>
      </c>
      <c r="AE113" s="66">
        <v>9.1820909564794668</v>
      </c>
    </row>
    <row r="114" spans="1:31" ht="30" customHeight="1" x14ac:dyDescent="0.25">
      <c r="A114" s="46" t="s">
        <v>48</v>
      </c>
      <c r="B114" s="47">
        <v>43</v>
      </c>
      <c r="C114" s="47">
        <v>12</v>
      </c>
      <c r="D114" s="59"/>
      <c r="E114" s="60">
        <v>173830</v>
      </c>
      <c r="F114" s="60">
        <v>1809440</v>
      </c>
      <c r="G114" s="60">
        <v>-1263610</v>
      </c>
      <c r="H114" s="47">
        <v>4827</v>
      </c>
      <c r="I114" s="47">
        <v>44.991427871662992</v>
      </c>
      <c r="J114" s="47">
        <v>1837</v>
      </c>
      <c r="K114" s="47">
        <v>3437</v>
      </c>
      <c r="L114" s="61">
        <v>19460</v>
      </c>
      <c r="M114" s="61">
        <v>-4120</v>
      </c>
      <c r="N114" s="61">
        <v>1649.3193359375</v>
      </c>
      <c r="O114" s="61">
        <v>-447.36148071289063</v>
      </c>
      <c r="P114" s="62">
        <v>2.9995937688299739</v>
      </c>
      <c r="Q114" s="61">
        <v>44.645669291338585</v>
      </c>
      <c r="R114" s="47">
        <v>11</v>
      </c>
      <c r="S114" s="47">
        <v>27</v>
      </c>
      <c r="T114" s="47">
        <v>113</v>
      </c>
      <c r="U114" s="47">
        <v>39</v>
      </c>
      <c r="V114" s="61">
        <v>-33435</v>
      </c>
      <c r="W114" s="62">
        <v>1.1141315169700421</v>
      </c>
      <c r="X114" s="59"/>
      <c r="Y114" s="59"/>
      <c r="Z114" s="47">
        <v>403.20952504206031</v>
      </c>
      <c r="AA114" s="63">
        <v>5830.4097321081917</v>
      </c>
      <c r="AB114" s="64">
        <v>2.284447691281938</v>
      </c>
      <c r="AC114" s="62">
        <v>1.620230985240056</v>
      </c>
      <c r="AD114" s="65">
        <v>145876.04037834847</v>
      </c>
      <c r="AE114" s="68">
        <v>832.53193110469419</v>
      </c>
    </row>
    <row r="115" spans="1:31" ht="30" customHeight="1" x14ac:dyDescent="0.25">
      <c r="A115" s="48" t="s">
        <v>49</v>
      </c>
      <c r="B115" s="49">
        <v>2.1389001983652642</v>
      </c>
      <c r="C115" s="49">
        <v>0.73706071903241499</v>
      </c>
      <c r="D115" s="69"/>
      <c r="E115" s="70">
        <v>5235.4767274781934</v>
      </c>
      <c r="F115" s="70">
        <v>18097.856398929587</v>
      </c>
      <c r="G115" s="70">
        <v>16465.265079356261</v>
      </c>
      <c r="H115" s="49">
        <v>66.978125361620826</v>
      </c>
      <c r="I115" s="49">
        <v>0.8881075503607927</v>
      </c>
      <c r="J115" s="49">
        <v>38.452327833797327</v>
      </c>
      <c r="K115" s="49">
        <v>58.677776169726052</v>
      </c>
      <c r="L115" s="71">
        <v>165.10177926253246</v>
      </c>
      <c r="M115" s="71">
        <v>175.60610013987116</v>
      </c>
      <c r="N115" s="71">
        <v>28.290360744200104</v>
      </c>
      <c r="O115" s="71">
        <v>14.063566426314926</v>
      </c>
      <c r="P115" s="69">
        <v>8.3631708838650759E-2</v>
      </c>
      <c r="Q115" s="71">
        <v>1.3953007234361914</v>
      </c>
      <c r="R115" s="49">
        <v>0.24013505292942158</v>
      </c>
      <c r="S115" s="49">
        <v>0.6163989693785944</v>
      </c>
      <c r="T115" s="49">
        <v>2.705654783657486</v>
      </c>
      <c r="U115" s="49">
        <v>0.7035107751798727</v>
      </c>
      <c r="V115" s="71">
        <v>2490.6359792919261</v>
      </c>
      <c r="W115" s="69">
        <v>3.4119857316877739E-3</v>
      </c>
      <c r="X115" s="69"/>
      <c r="Y115" s="69"/>
      <c r="Z115" s="49">
        <v>17.731105515646203</v>
      </c>
      <c r="AA115" s="69">
        <v>244.18806122749817</v>
      </c>
      <c r="AB115" s="69">
        <v>0.10620033745373998</v>
      </c>
      <c r="AC115" s="69">
        <v>5.2504149635665735E-2</v>
      </c>
      <c r="AD115" s="72">
        <v>5466.7827570774689</v>
      </c>
      <c r="AE115" s="69">
        <v>26.014068353366515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B29A-84B8-4AF1-AD67-9B97E408CBFD}">
  <dimension ref="A1:AL115"/>
  <sheetViews>
    <sheetView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A6" sqref="A6:AE11"/>
    </sheetView>
  </sheetViews>
  <sheetFormatPr baseColWidth="10" defaultColWidth="1.375" defaultRowHeight="15" x14ac:dyDescent="0.25"/>
  <cols>
    <col min="1" max="1" width="11.125" customWidth="1"/>
    <col min="2" max="2" width="12.75" bestFit="1" customWidth="1"/>
    <col min="3" max="3" width="11.75" bestFit="1" customWidth="1"/>
    <col min="4" max="4" width="4.875" bestFit="1" customWidth="1"/>
    <col min="5" max="5" width="8.75" bestFit="1" customWidth="1"/>
    <col min="6" max="6" width="10.125" bestFit="1" customWidth="1"/>
    <col min="7" max="7" width="10.625" bestFit="1" customWidth="1"/>
    <col min="8" max="8" width="7.625" bestFit="1" customWidth="1"/>
    <col min="9" max="9" width="7.5" bestFit="1" customWidth="1"/>
    <col min="10" max="10" width="8.375" bestFit="1" customWidth="1"/>
    <col min="11" max="11" width="7.625" bestFit="1" customWidth="1"/>
    <col min="12" max="15" width="9.25" bestFit="1" customWidth="1"/>
    <col min="16" max="16" width="8.625" bestFit="1" customWidth="1"/>
    <col min="17" max="17" width="7.375" bestFit="1" customWidth="1"/>
    <col min="18" max="18" width="11" bestFit="1" customWidth="1"/>
    <col min="19" max="19" width="9.875" bestFit="1" customWidth="1"/>
    <col min="20" max="20" width="10" bestFit="1" customWidth="1"/>
    <col min="21" max="21" width="9.125" bestFit="1" customWidth="1"/>
    <col min="22" max="22" width="11" bestFit="1" customWidth="1"/>
    <col min="23" max="23" width="7.5" bestFit="1" customWidth="1"/>
    <col min="24" max="24" width="8.625" bestFit="1" customWidth="1"/>
    <col min="25" max="25" width="10.125" bestFit="1" customWidth="1"/>
    <col min="26" max="26" width="8.875" bestFit="1" customWidth="1"/>
    <col min="27" max="27" width="7.375" bestFit="1" customWidth="1"/>
    <col min="28" max="28" width="9.25" bestFit="1" customWidth="1"/>
    <col min="29" max="29" width="12.375" bestFit="1" customWidth="1"/>
    <col min="30" max="30" width="10.125" bestFit="1" customWidth="1"/>
    <col min="31" max="31" width="9.25" bestFit="1" customWidth="1"/>
    <col min="32" max="32" width="10.125" bestFit="1" customWidth="1"/>
    <col min="33" max="33" width="13.875" bestFit="1" customWidth="1"/>
    <col min="34" max="34" width="13" bestFit="1" customWidth="1"/>
    <col min="35" max="35" width="14" bestFit="1" customWidth="1"/>
    <col min="36" max="36" width="13.125" bestFit="1" customWidth="1"/>
    <col min="37" max="37" width="9.625" bestFit="1" customWidth="1"/>
    <col min="38" max="38" width="12.625" bestFit="1" customWidth="1"/>
  </cols>
  <sheetData>
    <row r="1" spans="1:38" ht="83.25" customHeight="1" x14ac:dyDescent="0.25">
      <c r="A1" s="1" t="s">
        <v>30</v>
      </c>
      <c r="B1" s="88" t="s">
        <v>0</v>
      </c>
      <c r="C1" s="88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88" t="s">
        <v>7</v>
      </c>
      <c r="J1" s="88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88" t="s">
        <v>15</v>
      </c>
      <c r="R1" s="88" t="s">
        <v>16</v>
      </c>
      <c r="S1" s="88" t="s">
        <v>17</v>
      </c>
      <c r="T1" s="88" t="s">
        <v>18</v>
      </c>
      <c r="U1" s="2" t="s">
        <v>19</v>
      </c>
      <c r="V1" s="2" t="s">
        <v>20</v>
      </c>
      <c r="W1" s="88" t="s">
        <v>21</v>
      </c>
      <c r="X1" s="2" t="s">
        <v>22</v>
      </c>
      <c r="Y1" s="2" t="s">
        <v>23</v>
      </c>
      <c r="Z1" s="1" t="s">
        <v>24</v>
      </c>
      <c r="AA1" s="16" t="s">
        <v>25</v>
      </c>
      <c r="AB1" s="17" t="s">
        <v>26</v>
      </c>
      <c r="AC1" s="18" t="s">
        <v>27</v>
      </c>
      <c r="AD1" s="19" t="s">
        <v>28</v>
      </c>
      <c r="AE1" s="20" t="s">
        <v>29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73" t="s">
        <v>51</v>
      </c>
      <c r="B2" s="35">
        <v>6</v>
      </c>
      <c r="C2" s="35">
        <v>3</v>
      </c>
      <c r="D2" s="35">
        <v>96</v>
      </c>
      <c r="E2" s="36">
        <v>200970</v>
      </c>
      <c r="F2" s="36">
        <v>790740</v>
      </c>
      <c r="G2" s="36">
        <v>-589770</v>
      </c>
      <c r="H2" s="35">
        <v>1605</v>
      </c>
      <c r="I2" s="37">
        <v>47.53894080996885</v>
      </c>
      <c r="J2" s="35">
        <v>763</v>
      </c>
      <c r="K2" s="35">
        <v>834</v>
      </c>
      <c r="L2" s="38">
        <v>11870</v>
      </c>
      <c r="M2" s="38">
        <v>-6620</v>
      </c>
      <c r="N2" s="38">
        <v>1036.3564453125</v>
      </c>
      <c r="O2" s="38">
        <v>-707.15826416015625</v>
      </c>
      <c r="P2" s="37">
        <v>1.4655226387593869</v>
      </c>
      <c r="Q2" s="39">
        <v>125.21495327102804</v>
      </c>
      <c r="R2" s="35">
        <v>8</v>
      </c>
      <c r="S2" s="35">
        <v>9</v>
      </c>
      <c r="T2" s="35">
        <v>46</v>
      </c>
      <c r="U2" s="35">
        <v>33</v>
      </c>
      <c r="V2" s="38">
        <v>-23845</v>
      </c>
      <c r="W2" s="37">
        <v>1.340759957271479</v>
      </c>
      <c r="X2" s="35">
        <v>1</v>
      </c>
      <c r="Y2" s="38">
        <v>23845</v>
      </c>
      <c r="Z2" s="37">
        <v>842.81820088068775</v>
      </c>
      <c r="AA2" s="40">
        <v>6430.7028727196475</v>
      </c>
      <c r="AB2" s="37">
        <v>0.50595651056810698</v>
      </c>
      <c r="AC2" s="37">
        <v>1.9276535484090951</v>
      </c>
      <c r="AD2" s="41">
        <v>194385.68225561758</v>
      </c>
      <c r="AE2" s="37">
        <v>631.90477995444837</v>
      </c>
      <c r="AF2" s="11">
        <f>(Opti_Medias__30_OOS_1[[#This Row],[All: TS Index]]-AA$114) /ABS(AA$114)</f>
        <v>-0.23844059868074197</v>
      </c>
      <c r="AG2" s="11">
        <f>(Opti_Medias__30_OOS_1[[#This Row],[All: Expectancy Score]]-AB$114) /ABS(AB$114)</f>
        <v>0</v>
      </c>
      <c r="AH2" s="11"/>
      <c r="AI2" s="11">
        <f>(Opti_Medias__30_OOS_1[[#This Row],[All: Perfect Profit Correlation]]-AD$114) /ABS(AD$114)</f>
        <v>-6.5235693768149139E-2</v>
      </c>
      <c r="AJ2" s="11">
        <f>(Opti_Medias__30_OOS_1[[#This Row],[All: Robustness Index]]-AE$114) /ABS(AE$114)</f>
        <v>-0.24098433183701654</v>
      </c>
      <c r="AK2" s="11">
        <f>SUM(Opti_Medias__30_OOS_1[[#This Row],[VAR TS Index]:[VAR Robustness Index]])</f>
        <v>-0.54466062428590767</v>
      </c>
      <c r="AL2" s="11">
        <f>Opti_Medias__30_OOS_1[[#This Row],[SUMA]]-Opti_Medias__30_OOS_1[[#This Row],[VAR Robustness Index]]</f>
        <v>-0.30367629244889116</v>
      </c>
    </row>
    <row r="3" spans="1:38" x14ac:dyDescent="0.25">
      <c r="A3" s="73" t="s">
        <v>61</v>
      </c>
      <c r="B3" s="75">
        <v>7</v>
      </c>
      <c r="C3" s="75">
        <v>3</v>
      </c>
      <c r="D3" s="75">
        <v>97</v>
      </c>
      <c r="E3" s="76">
        <v>203660</v>
      </c>
      <c r="F3" s="76">
        <v>783780</v>
      </c>
      <c r="G3" s="76">
        <v>-580120</v>
      </c>
      <c r="H3" s="75">
        <v>1519</v>
      </c>
      <c r="I3" s="74">
        <v>48.057932850559581</v>
      </c>
      <c r="J3" s="75">
        <v>730</v>
      </c>
      <c r="K3" s="75">
        <v>774</v>
      </c>
      <c r="L3" s="77">
        <v>11950</v>
      </c>
      <c r="M3" s="77">
        <v>-6560</v>
      </c>
      <c r="N3" s="77">
        <v>1073.6712646484375</v>
      </c>
      <c r="O3" s="77">
        <v>-749.509033203125</v>
      </c>
      <c r="P3" s="74">
        <v>1.4324994324083899</v>
      </c>
      <c r="Q3" s="78">
        <v>134.07504937458856</v>
      </c>
      <c r="R3" s="75">
        <v>8</v>
      </c>
      <c r="S3" s="75">
        <v>7</v>
      </c>
      <c r="T3" s="75">
        <v>49</v>
      </c>
      <c r="U3" s="75">
        <v>35</v>
      </c>
      <c r="V3" s="77">
        <v>-24985</v>
      </c>
      <c r="W3" s="74">
        <v>1.351065296835138</v>
      </c>
      <c r="X3" s="75">
        <v>1</v>
      </c>
      <c r="Y3" s="77">
        <v>24985</v>
      </c>
      <c r="Z3" s="74">
        <v>815.12907744646793</v>
      </c>
      <c r="AA3" s="79">
        <v>5950.4422653592155</v>
      </c>
      <c r="AB3" s="74">
        <v>0.48198683799268</v>
      </c>
      <c r="AC3" s="74">
        <v>1.955029835224922</v>
      </c>
      <c r="AD3" s="80">
        <v>195473.82820763526</v>
      </c>
      <c r="AE3" s="74">
        <v>703.70693228473169</v>
      </c>
      <c r="AF3" s="11">
        <f>(Opti_Medias__30_OOS_1[[#This Row],[All: TS Index]]-AA$114) /ABS(AA$114)</f>
        <v>-0.29531571604469403</v>
      </c>
      <c r="AG3" s="11">
        <f>(Opti_Medias__30_OOS_1[[#This Row],[All: Expectancy Score]]-AB$114) /ABS(AB$114)</f>
        <v>-4.7374966177454528E-2</v>
      </c>
      <c r="AH3" s="11"/>
      <c r="AI3" s="11">
        <f>(Opti_Medias__30_OOS_1[[#This Row],[All: Perfect Profit Correlation]]-AD$114) /ABS(AD$114)</f>
        <v>-6.0003003869830172E-2</v>
      </c>
      <c r="AJ3" s="11">
        <f>(Opti_Medias__30_OOS_1[[#This Row],[All: Robustness Index]]-AE$114) /ABS(AE$114)</f>
        <v>-0.15473880821486743</v>
      </c>
      <c r="AK3" s="11">
        <f>SUM(Opti_Medias__30_OOS_1[[#This Row],[VAR TS Index]:[VAR Robustness Index]])</f>
        <v>-0.55743249430684616</v>
      </c>
      <c r="AL3" s="11">
        <f>Opti_Medias__30_OOS_1[[#This Row],[SUMA]]-Opti_Medias__30_OOS_1[[#This Row],[VAR Robustness Index]]</f>
        <v>-0.40269368609197875</v>
      </c>
    </row>
    <row r="4" spans="1:38" x14ac:dyDescent="0.25">
      <c r="A4" s="73" t="s">
        <v>62</v>
      </c>
      <c r="B4" s="28">
        <v>6</v>
      </c>
      <c r="C4" s="28">
        <v>8</v>
      </c>
      <c r="D4" s="28">
        <v>321</v>
      </c>
      <c r="E4" s="29">
        <v>187790</v>
      </c>
      <c r="F4" s="29">
        <v>814410</v>
      </c>
      <c r="G4" s="29">
        <v>-626620</v>
      </c>
      <c r="H4" s="28">
        <v>1652</v>
      </c>
      <c r="I4" s="30">
        <v>41.767554479418884</v>
      </c>
      <c r="J4" s="28">
        <v>690</v>
      </c>
      <c r="K4" s="28">
        <v>959</v>
      </c>
      <c r="L4" s="31">
        <v>9770</v>
      </c>
      <c r="M4" s="31">
        <v>-6950</v>
      </c>
      <c r="N4" s="31">
        <v>1180.3043212890625</v>
      </c>
      <c r="O4" s="31">
        <v>-653.4097900390625</v>
      </c>
      <c r="P4" s="30">
        <v>1.8063768545899821</v>
      </c>
      <c r="Q4" s="32">
        <v>113.67433414043583</v>
      </c>
      <c r="R4" s="28">
        <v>8</v>
      </c>
      <c r="S4" s="28">
        <v>10</v>
      </c>
      <c r="T4" s="28">
        <v>57</v>
      </c>
      <c r="U4" s="28">
        <v>25</v>
      </c>
      <c r="V4" s="31">
        <v>-15345</v>
      </c>
      <c r="W4" s="30">
        <v>1.299687210749737</v>
      </c>
      <c r="X4" s="28">
        <v>1</v>
      </c>
      <c r="Y4" s="31">
        <v>15345</v>
      </c>
      <c r="Z4" s="30">
        <v>1223.7862495927011</v>
      </c>
      <c r="AA4" s="33">
        <v>8444.1251221896382</v>
      </c>
      <c r="AB4" s="30">
        <v>0.115973792181847</v>
      </c>
      <c r="AC4" s="30">
        <v>1.7702055631499061</v>
      </c>
      <c r="AD4" s="34">
        <v>185991.59718130363</v>
      </c>
      <c r="AE4" s="30">
        <v>457.25010450632391</v>
      </c>
      <c r="AF4" s="11">
        <f>(Opti_Medias__30_OOS_1[[#This Row],[All: TS Index]]-AA$114) /ABS(AA$114)</f>
        <v>0</v>
      </c>
      <c r="AG4" s="11">
        <f>(Opti_Medias__30_OOS_1[[#This Row],[All: Expectancy Score]]-AB$114) /ABS(AB$114)</f>
        <v>-0.77078308162963005</v>
      </c>
      <c r="AH4" s="11"/>
      <c r="AI4" s="11">
        <f>(Opti_Medias__30_OOS_1[[#This Row],[All: Perfect Profit Correlation]]-AD$114) /ABS(AD$114)</f>
        <v>-0.10560127532689818</v>
      </c>
      <c r="AJ4" s="11">
        <f>(Opti_Medias__30_OOS_1[[#This Row],[All: Robustness Index]]-AE$114) /ABS(AE$114)</f>
        <v>-0.45077169124360844</v>
      </c>
      <c r="AK4" s="11">
        <f>SUM(Opti_Medias__30_OOS_1[[#This Row],[VAR TS Index]:[VAR Robustness Index]])</f>
        <v>-1.3271560482001368</v>
      </c>
      <c r="AL4" s="11">
        <f>Opti_Medias__30_OOS_1[[#This Row],[SUMA]]-Opti_Medias__30_OOS_1[[#This Row],[VAR Robustness Index]]</f>
        <v>-0.87638435695652839</v>
      </c>
    </row>
    <row r="5" spans="1:38" x14ac:dyDescent="0.25">
      <c r="A5" s="73" t="s">
        <v>63</v>
      </c>
      <c r="B5" s="75">
        <v>10</v>
      </c>
      <c r="C5" s="75">
        <v>8</v>
      </c>
      <c r="D5" s="75">
        <v>325</v>
      </c>
      <c r="E5" s="76">
        <v>157590</v>
      </c>
      <c r="F5" s="76">
        <v>778450</v>
      </c>
      <c r="G5" s="76">
        <v>-620860</v>
      </c>
      <c r="H5" s="75">
        <v>1636</v>
      </c>
      <c r="I5" s="74">
        <v>39.180929095354522</v>
      </c>
      <c r="J5" s="75">
        <v>641</v>
      </c>
      <c r="K5" s="75">
        <v>988</v>
      </c>
      <c r="L5" s="77">
        <v>9290</v>
      </c>
      <c r="M5" s="77">
        <v>-4630</v>
      </c>
      <c r="N5" s="77">
        <v>1214.4305419921875</v>
      </c>
      <c r="O5" s="77">
        <v>-628.40081787109375</v>
      </c>
      <c r="P5" s="74">
        <v>1.9325731403508579</v>
      </c>
      <c r="Q5" s="78">
        <v>96.326405867970664</v>
      </c>
      <c r="R5" s="75">
        <v>7</v>
      </c>
      <c r="S5" s="75">
        <v>9</v>
      </c>
      <c r="T5" s="75">
        <v>62</v>
      </c>
      <c r="U5" s="75">
        <v>23</v>
      </c>
      <c r="V5" s="77">
        <v>-15835</v>
      </c>
      <c r="W5" s="74">
        <v>1.25382533904584</v>
      </c>
      <c r="X5" s="75">
        <v>1</v>
      </c>
      <c r="Y5" s="77">
        <v>15835</v>
      </c>
      <c r="Z5" s="74">
        <v>995.2005052099779</v>
      </c>
      <c r="AA5" s="79">
        <v>6379.2352383959587</v>
      </c>
      <c r="AB5" s="74">
        <v>0.25042792115927198</v>
      </c>
      <c r="AC5" s="74">
        <v>1.465952615004346</v>
      </c>
      <c r="AD5" s="80">
        <v>153754.73566359005</v>
      </c>
      <c r="AE5" s="74">
        <v>299.17429511701573</v>
      </c>
      <c r="AF5" s="11">
        <f>(Opti_Medias__30_OOS_1[[#This Row],[All: TS Index]]-AA$114) /ABS(AA$114)</f>
        <v>-0.24453568059614858</v>
      </c>
      <c r="AG5" s="11">
        <f>(Opti_Medias__30_OOS_1[[#This Row],[All: Expectancy Score]]-AB$114) /ABS(AB$114)</f>
        <v>-0.50504061924594645</v>
      </c>
      <c r="AH5" s="11"/>
      <c r="AI5" s="11">
        <f>(Opti_Medias__30_OOS_1[[#This Row],[All: Perfect Profit Correlation]]-AD$114) /ABS(AD$114)</f>
        <v>-0.26062229921111457</v>
      </c>
      <c r="AJ5" s="11">
        <f>(Opti_Medias__30_OOS_1[[#This Row],[All: Robustness Index]]-AE$114) /ABS(AE$114)</f>
        <v>-0.64064526063278004</v>
      </c>
      <c r="AK5" s="11">
        <f>SUM(Opti_Medias__30_OOS_1[[#This Row],[VAR TS Index]:[VAR Robustness Index]])</f>
        <v>-1.6508438596859896</v>
      </c>
      <c r="AL5" s="11">
        <f>Opti_Medias__30_OOS_1[[#This Row],[SUMA]]-Opti_Medias__30_OOS_1[[#This Row],[VAR Robustness Index]]</f>
        <v>-1.0101985990532096</v>
      </c>
    </row>
    <row r="6" spans="1:38" x14ac:dyDescent="0.25">
      <c r="A6" s="73" t="s">
        <v>65</v>
      </c>
      <c r="B6" s="75">
        <v>5</v>
      </c>
      <c r="C6" s="75">
        <v>8</v>
      </c>
      <c r="D6" s="75">
        <v>320</v>
      </c>
      <c r="E6" s="76">
        <v>189070</v>
      </c>
      <c r="F6" s="76">
        <v>822260</v>
      </c>
      <c r="G6" s="76">
        <v>-633190</v>
      </c>
      <c r="H6" s="75">
        <v>1668</v>
      </c>
      <c r="I6" s="74">
        <v>42.026378896882491</v>
      </c>
      <c r="J6" s="75">
        <v>701</v>
      </c>
      <c r="K6" s="75">
        <v>960</v>
      </c>
      <c r="L6" s="77">
        <v>9900</v>
      </c>
      <c r="M6" s="77">
        <v>-6230</v>
      </c>
      <c r="N6" s="77">
        <v>1172.9814453125</v>
      </c>
      <c r="O6" s="77">
        <v>-659.57293701171875</v>
      </c>
      <c r="P6" s="74">
        <v>1.7783953517359969</v>
      </c>
      <c r="Q6" s="78">
        <v>113.35131894484412</v>
      </c>
      <c r="R6" s="75">
        <v>7</v>
      </c>
      <c r="S6" s="75">
        <v>9</v>
      </c>
      <c r="T6" s="75">
        <v>56</v>
      </c>
      <c r="U6" s="75">
        <v>25</v>
      </c>
      <c r="V6" s="77">
        <v>-15805</v>
      </c>
      <c r="W6" s="74">
        <v>1.298599156651242</v>
      </c>
      <c r="X6" s="75">
        <v>1</v>
      </c>
      <c r="Y6" s="77">
        <v>15805</v>
      </c>
      <c r="Z6" s="74">
        <v>1196.2670041126225</v>
      </c>
      <c r="AA6" s="79">
        <v>8385.8316988294846</v>
      </c>
      <c r="AB6" s="74">
        <v>1.4529864550649E-2</v>
      </c>
      <c r="AC6" s="74">
        <v>1.784497877943255</v>
      </c>
      <c r="AD6" s="80">
        <v>186981.38950656366</v>
      </c>
      <c r="AE6" s="74">
        <v>367.39630533914743</v>
      </c>
      <c r="AF6" s="11">
        <f>(Opti_Medias__30_OOS_1[[#This Row],[All: TS Index]]-AA$114) /ABS(AA$114)</f>
        <v>-6.9034296053914462E-3</v>
      </c>
      <c r="AG6" s="11">
        <f>(Opti_Medias__30_OOS_1[[#This Row],[All: Expectancy Score]]-AB$114) /ABS(AB$114)</f>
        <v>-0.97128238445961634</v>
      </c>
      <c r="AH6" s="11"/>
      <c r="AI6" s="11">
        <f>(Opti_Medias__30_OOS_1[[#This Row],[All: Perfect Profit Correlation]]-AD$114) /ABS(AD$114)</f>
        <v>-0.10084154958218705</v>
      </c>
      <c r="AJ6" s="11">
        <f>(Opti_Medias__30_OOS_1[[#This Row],[All: Robustness Index]]-AE$114) /ABS(AE$114)</f>
        <v>-0.5587000430702449</v>
      </c>
      <c r="AK6" s="11">
        <f>SUM(Opti_Medias__30_OOS_1[[#This Row],[VAR TS Index]:[VAR Robustness Index]])</f>
        <v>-1.6377274067174399</v>
      </c>
      <c r="AL6" s="11">
        <f>Opti_Medias__30_OOS_1[[#This Row],[SUMA]]-Opti_Medias__30_OOS_1[[#This Row],[VAR Robustness Index]]</f>
        <v>-1.079027363647195</v>
      </c>
    </row>
    <row r="7" spans="1:38" x14ac:dyDescent="0.25">
      <c r="A7" s="73" t="s">
        <v>66</v>
      </c>
      <c r="B7" s="75">
        <v>7</v>
      </c>
      <c r="C7" s="75">
        <v>8</v>
      </c>
      <c r="D7" s="75">
        <v>322</v>
      </c>
      <c r="E7" s="76">
        <v>177070</v>
      </c>
      <c r="F7" s="76">
        <v>800890</v>
      </c>
      <c r="G7" s="76">
        <v>-623820</v>
      </c>
      <c r="H7" s="75">
        <v>1650</v>
      </c>
      <c r="I7" s="74">
        <v>41.878787878787875</v>
      </c>
      <c r="J7" s="75">
        <v>691</v>
      </c>
      <c r="K7" s="75">
        <v>954</v>
      </c>
      <c r="L7" s="77">
        <v>9770</v>
      </c>
      <c r="M7" s="77">
        <v>-6580</v>
      </c>
      <c r="N7" s="77">
        <v>1159.0303955078125</v>
      </c>
      <c r="O7" s="77">
        <v>-653.89935302734375</v>
      </c>
      <c r="P7" s="74">
        <v>1.772490506592298</v>
      </c>
      <c r="Q7" s="78">
        <v>107.31515151515151</v>
      </c>
      <c r="R7" s="75">
        <v>8</v>
      </c>
      <c r="S7" s="75">
        <v>10</v>
      </c>
      <c r="T7" s="75">
        <v>57</v>
      </c>
      <c r="U7" s="75">
        <v>25</v>
      </c>
      <c r="V7" s="77">
        <v>-18995</v>
      </c>
      <c r="W7" s="74">
        <v>1.2838479048443461</v>
      </c>
      <c r="X7" s="75">
        <v>1</v>
      </c>
      <c r="Y7" s="77">
        <v>18995</v>
      </c>
      <c r="Z7" s="74">
        <v>932.19268228481178</v>
      </c>
      <c r="AA7" s="79">
        <v>6441.4514345880498</v>
      </c>
      <c r="AB7" s="74">
        <v>0.109479166583469</v>
      </c>
      <c r="AC7" s="74">
        <v>1.667996267498832</v>
      </c>
      <c r="AD7" s="80">
        <v>175091.27989328009</v>
      </c>
      <c r="AE7" s="74">
        <v>433.04589991839561</v>
      </c>
      <c r="AF7" s="11">
        <f>(Opti_Medias__30_OOS_1[[#This Row],[All: TS Index]]-AA$114) /ABS(AA$114)</f>
        <v>-0.23716769453580491</v>
      </c>
      <c r="AG7" s="11">
        <f>(Opti_Medias__30_OOS_1[[#This Row],[All: Expectancy Score]]-AB$114) /ABS(AB$114)</f>
        <v>-0.78361941333546303</v>
      </c>
      <c r="AH7" s="11"/>
      <c r="AI7" s="11">
        <f>(Opti_Medias__30_OOS_1[[#This Row],[All: Perfect Profit Correlation]]-AD$114) /ABS(AD$114)</f>
        <v>-0.15801885778056632</v>
      </c>
      <c r="AJ7" s="11">
        <f>(Opti_Medias__30_OOS_1[[#This Row],[All: Robustness Index]]-AE$114) /ABS(AE$114)</f>
        <v>-0.47984469575385169</v>
      </c>
      <c r="AK7" s="11">
        <f>SUM(Opti_Medias__30_OOS_1[[#This Row],[VAR TS Index]:[VAR Robustness Index]])</f>
        <v>-1.658650661405686</v>
      </c>
      <c r="AL7" s="11">
        <f>Opti_Medias__30_OOS_1[[#This Row],[SUMA]]-Opti_Medias__30_OOS_1[[#This Row],[VAR Robustness Index]]</f>
        <v>-1.1788059656518342</v>
      </c>
    </row>
    <row r="8" spans="1:38" x14ac:dyDescent="0.25">
      <c r="A8" s="73" t="s">
        <v>67</v>
      </c>
      <c r="B8" s="75">
        <v>4</v>
      </c>
      <c r="C8" s="75">
        <v>8</v>
      </c>
      <c r="D8" s="75">
        <v>319</v>
      </c>
      <c r="E8" s="76">
        <v>164270</v>
      </c>
      <c r="F8" s="76">
        <v>820620</v>
      </c>
      <c r="G8" s="76">
        <v>-656350</v>
      </c>
      <c r="H8" s="75">
        <v>1682</v>
      </c>
      <c r="I8" s="74">
        <v>42.15219976218787</v>
      </c>
      <c r="J8" s="75">
        <v>709</v>
      </c>
      <c r="K8" s="75">
        <v>970</v>
      </c>
      <c r="L8" s="77">
        <v>9820</v>
      </c>
      <c r="M8" s="77">
        <v>-6230</v>
      </c>
      <c r="N8" s="77">
        <v>1157.4329833984375</v>
      </c>
      <c r="O8" s="77">
        <v>-676.64947509765625</v>
      </c>
      <c r="P8" s="74">
        <v>1.710535552002598</v>
      </c>
      <c r="Q8" s="78">
        <v>97.663495838287758</v>
      </c>
      <c r="R8" s="75">
        <v>7</v>
      </c>
      <c r="S8" s="75">
        <v>10</v>
      </c>
      <c r="T8" s="75">
        <v>55</v>
      </c>
      <c r="U8" s="75">
        <v>25</v>
      </c>
      <c r="V8" s="77">
        <v>-22395</v>
      </c>
      <c r="W8" s="74">
        <v>1.2502780528681341</v>
      </c>
      <c r="X8" s="75">
        <v>1</v>
      </c>
      <c r="Y8" s="77">
        <v>22395</v>
      </c>
      <c r="Z8" s="74">
        <v>733.51194463049785</v>
      </c>
      <c r="AA8" s="79">
        <v>5200.59968743023</v>
      </c>
      <c r="AB8" s="74">
        <v>0.13171129665548001</v>
      </c>
      <c r="AC8" s="74">
        <v>1.545250974296744</v>
      </c>
      <c r="AD8" s="80">
        <v>162217.95597259462</v>
      </c>
      <c r="AE8" s="74">
        <v>230.79359952056859</v>
      </c>
      <c r="AF8" s="11">
        <f>(Opti_Medias__30_OOS_1[[#This Row],[All: TS Index]]-AA$114) /ABS(AA$114)</f>
        <v>-0.38411622137573592</v>
      </c>
      <c r="AG8" s="11">
        <f>(Opti_Medias__30_OOS_1[[#This Row],[All: Expectancy Score]]-AB$114) /ABS(AB$114)</f>
        <v>-0.73967862078187396</v>
      </c>
      <c r="AH8" s="11"/>
      <c r="AI8" s="11">
        <f>(Opti_Medias__30_OOS_1[[#This Row],[All: Perfect Profit Correlation]]-AD$114) /ABS(AD$114)</f>
        <v>-0.21992425926889891</v>
      </c>
      <c r="AJ8" s="11">
        <f>(Opti_Medias__30_OOS_1[[#This Row],[All: Robustness Index]]-AE$114) /ABS(AE$114)</f>
        <v>-0.72278108394674245</v>
      </c>
      <c r="AK8" s="11">
        <f>SUM(Opti_Medias__30_OOS_1[[#This Row],[VAR TS Index]:[VAR Robustness Index]])</f>
        <v>-2.066500185373251</v>
      </c>
      <c r="AL8" s="11">
        <f>Opti_Medias__30_OOS_1[[#This Row],[SUMA]]-Opti_Medias__30_OOS_1[[#This Row],[VAR Robustness Index]]</f>
        <v>-1.3437191014265086</v>
      </c>
    </row>
    <row r="9" spans="1:38" x14ac:dyDescent="0.25">
      <c r="A9" s="73" t="s">
        <v>68</v>
      </c>
      <c r="B9" s="21">
        <v>10</v>
      </c>
      <c r="C9" s="21">
        <v>3</v>
      </c>
      <c r="D9" s="21">
        <v>100</v>
      </c>
      <c r="E9" s="22">
        <v>215040</v>
      </c>
      <c r="F9" s="22">
        <v>772650</v>
      </c>
      <c r="G9" s="22">
        <v>-557610</v>
      </c>
      <c r="H9" s="21">
        <v>1403</v>
      </c>
      <c r="I9" s="23">
        <v>47.540983606557376</v>
      </c>
      <c r="J9" s="21">
        <v>667</v>
      </c>
      <c r="K9" s="21">
        <v>719</v>
      </c>
      <c r="L9" s="24">
        <v>13560</v>
      </c>
      <c r="M9" s="24">
        <v>-6530</v>
      </c>
      <c r="N9" s="24">
        <v>1158.395751953125</v>
      </c>
      <c r="O9" s="24">
        <v>-775.53546142578125</v>
      </c>
      <c r="P9" s="23">
        <v>1.493672191112287</v>
      </c>
      <c r="Q9" s="25">
        <v>153.27156094084106</v>
      </c>
      <c r="R9" s="21">
        <v>9</v>
      </c>
      <c r="S9" s="21">
        <v>10</v>
      </c>
      <c r="T9" s="21">
        <v>55</v>
      </c>
      <c r="U9" s="21">
        <v>36</v>
      </c>
      <c r="V9" s="24">
        <v>-32505</v>
      </c>
      <c r="W9" s="23">
        <v>1.385645881530102</v>
      </c>
      <c r="X9" s="21">
        <v>1</v>
      </c>
      <c r="Y9" s="24">
        <v>32505</v>
      </c>
      <c r="Z9" s="23">
        <v>661.5597600369174</v>
      </c>
      <c r="AA9" s="26">
        <v>4412.6035994462391</v>
      </c>
      <c r="AB9" s="23">
        <v>5.6538951339354E-2</v>
      </c>
      <c r="AC9" s="23">
        <v>2.059182165005057</v>
      </c>
      <c r="AD9" s="27">
        <v>207951.54560320132</v>
      </c>
      <c r="AE9" s="23">
        <v>832.53193110469419</v>
      </c>
      <c r="AF9" s="11">
        <f>(Opti_Medias__30_OOS_1[[#This Row],[All: TS Index]]-AA$114) /ABS(AA$114)</f>
        <v>-0.47743507638811361</v>
      </c>
      <c r="AG9" s="11">
        <f>(Opti_Medias__30_OOS_1[[#This Row],[All: Expectancy Score]]-AB$114) /ABS(AB$114)</f>
        <v>-0.8882533376715126</v>
      </c>
      <c r="AH9" s="11"/>
      <c r="AI9" s="11">
        <f>(Opti_Medias__30_OOS_1[[#This Row],[All: Perfect Profit Correlation]]-AD$114) /ABS(AD$114)</f>
        <v>0</v>
      </c>
      <c r="AJ9" s="11">
        <f>(Opti_Medias__30_OOS_1[[#This Row],[All: Robustness Index]]-AE$114) /ABS(AE$114)</f>
        <v>0</v>
      </c>
      <c r="AK9" s="11">
        <f>SUM(Opti_Medias__30_OOS_1[[#This Row],[VAR TS Index]:[VAR Robustness Index]])</f>
        <v>-1.3656884140596262</v>
      </c>
      <c r="AL9" s="11">
        <f>Opti_Medias__30_OOS_1[[#This Row],[SUMA]]-Opti_Medias__30_OOS_1[[#This Row],[VAR Robustness Index]]</f>
        <v>-1.3656884140596262</v>
      </c>
    </row>
    <row r="10" spans="1:38" x14ac:dyDescent="0.25">
      <c r="A10" s="73" t="s">
        <v>60</v>
      </c>
      <c r="B10" s="75">
        <v>9</v>
      </c>
      <c r="C10" s="75">
        <v>8</v>
      </c>
      <c r="D10" s="75">
        <v>324</v>
      </c>
      <c r="E10" s="76">
        <v>150830</v>
      </c>
      <c r="F10" s="76">
        <v>777040</v>
      </c>
      <c r="G10" s="76">
        <v>-626210</v>
      </c>
      <c r="H10" s="75">
        <v>1654</v>
      </c>
      <c r="I10" s="74">
        <v>39.419588875453449</v>
      </c>
      <c r="J10" s="75">
        <v>652</v>
      </c>
      <c r="K10" s="75">
        <v>995</v>
      </c>
      <c r="L10" s="77">
        <v>8970</v>
      </c>
      <c r="M10" s="77">
        <v>-6980</v>
      </c>
      <c r="N10" s="77">
        <v>1191.7791748046875</v>
      </c>
      <c r="O10" s="77">
        <v>-629.3568115234375</v>
      </c>
      <c r="P10" s="74">
        <v>1.8936462639052649</v>
      </c>
      <c r="Q10" s="78">
        <v>91.191051995163235</v>
      </c>
      <c r="R10" s="75">
        <v>7</v>
      </c>
      <c r="S10" s="75">
        <v>8</v>
      </c>
      <c r="T10" s="75">
        <v>60</v>
      </c>
      <c r="U10" s="75">
        <v>24</v>
      </c>
      <c r="V10" s="77">
        <v>-14355</v>
      </c>
      <c r="W10" s="74">
        <v>1.240861691764743</v>
      </c>
      <c r="X10" s="75">
        <v>1</v>
      </c>
      <c r="Y10" s="77">
        <v>14355</v>
      </c>
      <c r="Z10" s="74">
        <v>1050.7140369209335</v>
      </c>
      <c r="AA10" s="79">
        <v>6850.6555207244865</v>
      </c>
      <c r="AB10" s="74">
        <v>3.5448578464816999E-2</v>
      </c>
      <c r="AC10" s="74">
        <v>1.402509566055097</v>
      </c>
      <c r="AD10" s="80">
        <v>147368.94371133522</v>
      </c>
      <c r="AE10" s="74">
        <v>298.02826056733022</v>
      </c>
      <c r="AF10" s="11">
        <f>(Opti_Medias__30_OOS_1[[#This Row],[All: TS Index]]-AA$114) /ABS(AA$114)</f>
        <v>-0.1887074834168197</v>
      </c>
      <c r="AG10" s="11">
        <f>(Opti_Medias__30_OOS_1[[#This Row],[All: Expectancy Score]]-AB$114) /ABS(AB$114)</f>
        <v>-0.92993749912415602</v>
      </c>
      <c r="AH10" s="11"/>
      <c r="AI10" s="11">
        <f>(Opti_Medias__30_OOS_1[[#This Row],[All: Perfect Profit Correlation]]-AD$114) /ABS(AD$114)</f>
        <v>-0.29133037562252895</v>
      </c>
      <c r="AJ10" s="11">
        <f>(Opti_Medias__30_OOS_1[[#This Row],[All: Robustness Index]]-AE$114) /ABS(AE$114)</f>
        <v>-0.64202182591138124</v>
      </c>
      <c r="AK10" s="11">
        <f>SUM(Opti_Medias__30_OOS_1[[#This Row],[VAR TS Index]:[VAR Robustness Index]])</f>
        <v>-2.0519971840748861</v>
      </c>
      <c r="AL10" s="11">
        <f>Opti_Medias__30_OOS_1[[#This Row],[SUMA]]-Opti_Medias__30_OOS_1[[#This Row],[VAR Robustness Index]]</f>
        <v>-1.4099753581635048</v>
      </c>
    </row>
    <row r="11" spans="1:38" x14ac:dyDescent="0.25">
      <c r="A11" s="73" t="s">
        <v>69</v>
      </c>
      <c r="B11" s="75">
        <v>8</v>
      </c>
      <c r="C11" s="75">
        <v>8</v>
      </c>
      <c r="D11" s="75">
        <v>323</v>
      </c>
      <c r="E11" s="76">
        <v>166670</v>
      </c>
      <c r="F11" s="76">
        <v>792490</v>
      </c>
      <c r="G11" s="76">
        <v>-625820</v>
      </c>
      <c r="H11" s="75">
        <v>1646</v>
      </c>
      <c r="I11" s="74">
        <v>40.704738760631834</v>
      </c>
      <c r="J11" s="75">
        <v>670</v>
      </c>
      <c r="K11" s="75">
        <v>972</v>
      </c>
      <c r="L11" s="77">
        <v>8970</v>
      </c>
      <c r="M11" s="77">
        <v>-6980</v>
      </c>
      <c r="N11" s="77">
        <v>1182.8209228515625</v>
      </c>
      <c r="O11" s="77">
        <v>-643.84771728515625</v>
      </c>
      <c r="P11" s="74">
        <v>1.8371128624001909</v>
      </c>
      <c r="Q11" s="78">
        <v>101.25759416767922</v>
      </c>
      <c r="R11" s="75">
        <v>7</v>
      </c>
      <c r="S11" s="75">
        <v>8</v>
      </c>
      <c r="T11" s="75">
        <v>59</v>
      </c>
      <c r="U11" s="75">
        <v>24</v>
      </c>
      <c r="V11" s="77">
        <v>-18195</v>
      </c>
      <c r="W11" s="74">
        <v>1.2663225847687829</v>
      </c>
      <c r="X11" s="75">
        <v>1</v>
      </c>
      <c r="Y11" s="77">
        <v>18195</v>
      </c>
      <c r="Z11" s="74">
        <v>916.02088485847764</v>
      </c>
      <c r="AA11" s="79">
        <v>6137.3399285517999</v>
      </c>
      <c r="AB11" s="74">
        <v>1.9102756475185001E-2</v>
      </c>
      <c r="AC11" s="74">
        <v>1.561266260998619</v>
      </c>
      <c r="AD11" s="80">
        <v>163867.40373471251</v>
      </c>
      <c r="AE11" s="74">
        <v>370.63002778193237</v>
      </c>
      <c r="AF11" s="11">
        <f>(Opti_Medias__30_OOS_1[[#This Row],[All: TS Index]]-AA$114) /ABS(AA$114)</f>
        <v>-0.27318226107000981</v>
      </c>
      <c r="AG11" s="11">
        <f>(Opti_Medias__30_OOS_1[[#This Row],[All: Expectancy Score]]-AB$114) /ABS(AB$114)</f>
        <v>-0.96224427183724603</v>
      </c>
      <c r="AH11" s="11"/>
      <c r="AI11" s="11">
        <f>(Opti_Medias__30_OOS_1[[#This Row],[All: Perfect Profit Correlation]]-AD$114) /ABS(AD$114)</f>
        <v>-0.21199237418800965</v>
      </c>
      <c r="AJ11" s="11">
        <f>(Opti_Medias__30_OOS_1[[#This Row],[All: Robustness Index]]-AE$114) /ABS(AE$114)</f>
        <v>-0.55481584076884594</v>
      </c>
      <c r="AK11" s="11">
        <f>SUM(Opti_Medias__30_OOS_1[[#This Row],[VAR TS Index]:[VAR Robustness Index]])</f>
        <v>-2.0022347478641116</v>
      </c>
      <c r="AL11" s="11">
        <f>Opti_Medias__30_OOS_1[[#This Row],[SUMA]]-Opti_Medias__30_OOS_1[[#This Row],[VAR Robustness Index]]</f>
        <v>-1.4474189070952657</v>
      </c>
    </row>
    <row r="12" spans="1:38" x14ac:dyDescent="0.25">
      <c r="A12" s="11"/>
      <c r="B12" s="89">
        <v>1</v>
      </c>
      <c r="C12" s="89">
        <v>8</v>
      </c>
      <c r="D12" s="89">
        <v>316</v>
      </c>
      <c r="E12" s="10">
        <v>165970</v>
      </c>
      <c r="F12" s="10">
        <v>822190</v>
      </c>
      <c r="G12" s="10">
        <v>-656220</v>
      </c>
      <c r="H12" s="89">
        <v>1678</v>
      </c>
      <c r="I12" s="11">
        <v>43.921334922526817</v>
      </c>
      <c r="J12" s="89">
        <v>737</v>
      </c>
      <c r="K12" s="89">
        <v>935</v>
      </c>
      <c r="L12" s="12">
        <v>9850</v>
      </c>
      <c r="M12" s="12">
        <v>-6630</v>
      </c>
      <c r="N12" s="12">
        <v>1115.5902099609375</v>
      </c>
      <c r="O12" s="12">
        <v>-701.839599609375</v>
      </c>
      <c r="P12" s="11">
        <v>1.5895230342970741</v>
      </c>
      <c r="Q12" s="13">
        <v>98.909415971394523</v>
      </c>
      <c r="R12" s="89">
        <v>7</v>
      </c>
      <c r="S12" s="89">
        <v>10</v>
      </c>
      <c r="T12" s="89">
        <v>52</v>
      </c>
      <c r="U12" s="89">
        <v>26</v>
      </c>
      <c r="V12" s="12">
        <v>-38305</v>
      </c>
      <c r="W12" s="11">
        <v>1.2529182286428331</v>
      </c>
      <c r="X12" s="89">
        <v>1</v>
      </c>
      <c r="Y12" s="12">
        <v>38305</v>
      </c>
      <c r="Z12" s="11">
        <v>433.28547187051299</v>
      </c>
      <c r="AA12" s="14">
        <v>3193.3139276856809</v>
      </c>
      <c r="AB12" s="11">
        <v>0.115226539404374</v>
      </c>
      <c r="AC12" s="11">
        <v>1.5714493090398829</v>
      </c>
      <c r="AD12" s="15">
        <v>158603.56778931702</v>
      </c>
      <c r="AE12" s="11">
        <v>239.98805976852395</v>
      </c>
      <c r="AF12" s="11">
        <f>(Opti_Medias__30_OOS_1[[#This Row],[All: TS Index]]-AA$114) /ABS(AA$114)</f>
        <v>-0.62183010300330255</v>
      </c>
      <c r="AG12" s="11">
        <f>(Opti_Medias__30_OOS_1[[#This Row],[All: Expectancy Score]]-AB$114) /ABS(AB$114)</f>
        <v>-0.77225999271163981</v>
      </c>
      <c r="AH12" s="11"/>
      <c r="AI12" s="11">
        <f>(Opti_Medias__30_OOS_1[[#This Row],[All: Perfect Profit Correlation]]-AD$114) /ABS(AD$114)</f>
        <v>-0.23730517448543842</v>
      </c>
      <c r="AJ12" s="11">
        <f>(Opti_Medias__30_OOS_1[[#This Row],[All: Robustness Index]]-AE$114) /ABS(AE$114)</f>
        <v>-0.71173711085161429</v>
      </c>
      <c r="AK12" s="11">
        <f>SUM(Opti_Medias__30_OOS_1[[#This Row],[VAR TS Index]:[VAR Robustness Index]])</f>
        <v>-2.3431323810519951</v>
      </c>
      <c r="AL12" s="11">
        <f>Opti_Medias__30_OOS_1[[#This Row],[SUMA]]-Opti_Medias__30_OOS_1[[#This Row],[VAR Robustness Index]]</f>
        <v>-1.6313952702003807</v>
      </c>
    </row>
    <row r="13" spans="1:38" x14ac:dyDescent="0.25">
      <c r="A13" s="11"/>
      <c r="B13" s="89">
        <v>3</v>
      </c>
      <c r="C13" s="89">
        <v>8</v>
      </c>
      <c r="D13" s="89">
        <v>318</v>
      </c>
      <c r="E13" s="10">
        <v>145770</v>
      </c>
      <c r="F13" s="10">
        <v>813310</v>
      </c>
      <c r="G13" s="10">
        <v>-667540</v>
      </c>
      <c r="H13" s="89">
        <v>1684</v>
      </c>
      <c r="I13" s="11">
        <v>42.339667458432302</v>
      </c>
      <c r="J13" s="89">
        <v>713</v>
      </c>
      <c r="K13" s="89">
        <v>969</v>
      </c>
      <c r="L13" s="12">
        <v>10420</v>
      </c>
      <c r="M13" s="12">
        <v>-7100</v>
      </c>
      <c r="N13" s="12">
        <v>1140.687255859375</v>
      </c>
      <c r="O13" s="12">
        <v>-688.895751953125</v>
      </c>
      <c r="P13" s="11">
        <v>1.6558198430246549</v>
      </c>
      <c r="Q13" s="13">
        <v>86.561757719714961</v>
      </c>
      <c r="R13" s="89">
        <v>7</v>
      </c>
      <c r="S13" s="89">
        <v>10</v>
      </c>
      <c r="T13" s="89">
        <v>54</v>
      </c>
      <c r="U13" s="89">
        <v>25</v>
      </c>
      <c r="V13" s="12">
        <v>-32645</v>
      </c>
      <c r="W13" s="11">
        <v>1.218368936692932</v>
      </c>
      <c r="X13" s="89">
        <v>1</v>
      </c>
      <c r="Y13" s="12">
        <v>32645</v>
      </c>
      <c r="Z13" s="11">
        <v>446.53086230663195</v>
      </c>
      <c r="AA13" s="14">
        <v>3183.7650482462859</v>
      </c>
      <c r="AB13" s="11">
        <v>0.15609400035575199</v>
      </c>
      <c r="AC13" s="11">
        <v>1.3675577551392519</v>
      </c>
      <c r="AD13" s="15">
        <v>140598.01380186257</v>
      </c>
      <c r="AE13" s="11">
        <v>223.53755365687661</v>
      </c>
      <c r="AF13" s="11">
        <f>(Opti_Medias__30_OOS_1[[#This Row],[All: TS Index]]-AA$114) /ABS(AA$114)</f>
        <v>-0.62296093411975562</v>
      </c>
      <c r="AG13" s="11">
        <f>(Opti_Medias__30_OOS_1[[#This Row],[All: Expectancy Score]]-AB$114) /ABS(AB$114)</f>
        <v>-0.69148731739713398</v>
      </c>
      <c r="AH13" s="11"/>
      <c r="AI13" s="11">
        <f>(Opti_Medias__30_OOS_1[[#This Row],[All: Perfect Profit Correlation]]-AD$114) /ABS(AD$114)</f>
        <v>-0.32389050827185517</v>
      </c>
      <c r="AJ13" s="11">
        <f>(Opti_Medias__30_OOS_1[[#This Row],[All: Robustness Index]]-AE$114) /ABS(AE$114)</f>
        <v>-0.73149672065999605</v>
      </c>
      <c r="AK13" s="11">
        <f>SUM(Opti_Medias__30_OOS_1[[#This Row],[VAR TS Index]:[VAR Robustness Index]])</f>
        <v>-2.3698354804487409</v>
      </c>
      <c r="AL13" s="11">
        <f>Opti_Medias__30_OOS_1[[#This Row],[SUMA]]-Opti_Medias__30_OOS_1[[#This Row],[VAR Robustness Index]]</f>
        <v>-1.6383387597887449</v>
      </c>
    </row>
    <row r="14" spans="1:38" x14ac:dyDescent="0.25">
      <c r="A14" s="11"/>
      <c r="B14" s="89">
        <v>19</v>
      </c>
      <c r="C14" s="89">
        <v>8</v>
      </c>
      <c r="D14" s="89">
        <v>334</v>
      </c>
      <c r="E14" s="10">
        <v>133290</v>
      </c>
      <c r="F14" s="10">
        <v>709180</v>
      </c>
      <c r="G14" s="10">
        <v>-575890</v>
      </c>
      <c r="H14" s="89">
        <v>1516</v>
      </c>
      <c r="I14" s="11">
        <v>36.477572559366756</v>
      </c>
      <c r="J14" s="89">
        <v>553</v>
      </c>
      <c r="K14" s="89">
        <v>959</v>
      </c>
      <c r="L14" s="12">
        <v>13750</v>
      </c>
      <c r="M14" s="12">
        <v>-4080</v>
      </c>
      <c r="N14" s="12">
        <v>1282.423095703125</v>
      </c>
      <c r="O14" s="12">
        <v>-600.51092529296875</v>
      </c>
      <c r="P14" s="11">
        <v>2.1355533125021409</v>
      </c>
      <c r="Q14" s="13">
        <v>87.922163588390504</v>
      </c>
      <c r="R14" s="89">
        <v>6</v>
      </c>
      <c r="S14" s="89">
        <v>10</v>
      </c>
      <c r="T14" s="89">
        <v>72</v>
      </c>
      <c r="U14" s="89">
        <v>24</v>
      </c>
      <c r="V14" s="12">
        <v>-29155</v>
      </c>
      <c r="W14" s="11">
        <v>1.2314504506068871</v>
      </c>
      <c r="X14" s="89">
        <v>1</v>
      </c>
      <c r="Y14" s="12">
        <v>29155</v>
      </c>
      <c r="Z14" s="11">
        <v>457.1771565769165</v>
      </c>
      <c r="AA14" s="14">
        <v>2528.1896758703483</v>
      </c>
      <c r="AB14" s="11">
        <v>0.20925558953276399</v>
      </c>
      <c r="AC14" s="11">
        <v>1.217290568079078</v>
      </c>
      <c r="AD14" s="15">
        <v>124313.04280766062</v>
      </c>
      <c r="AE14" s="11">
        <v>254.70013569046932</v>
      </c>
      <c r="AF14" s="11">
        <f>(Opti_Medias__30_OOS_1[[#This Row],[All: TS Index]]-AA$114) /ABS(AA$114)</f>
        <v>-0.70059779559320823</v>
      </c>
      <c r="AG14" s="11">
        <f>(Opti_Medias__30_OOS_1[[#This Row],[All: Expectancy Score]]-AB$114) /ABS(AB$114)</f>
        <v>-0.58641585756490422</v>
      </c>
      <c r="AH14" s="11"/>
      <c r="AI14" s="11">
        <f>(Opti_Medias__30_OOS_1[[#This Row],[All: Perfect Profit Correlation]]-AD$114) /ABS(AD$114)</f>
        <v>-0.40220188098593829</v>
      </c>
      <c r="AJ14" s="11">
        <f>(Opti_Medias__30_OOS_1[[#This Row],[All: Robustness Index]]-AE$114) /ABS(AE$114)</f>
        <v>-0.69406562538387517</v>
      </c>
      <c r="AK14" s="11">
        <f>SUM(Opti_Medias__30_OOS_1[[#This Row],[VAR TS Index]:[VAR Robustness Index]])</f>
        <v>-2.3832811595279257</v>
      </c>
      <c r="AL14" s="11">
        <f>Opti_Medias__30_OOS_1[[#This Row],[SUMA]]-Opti_Medias__30_OOS_1[[#This Row],[VAR Robustness Index]]</f>
        <v>-1.6892155341440507</v>
      </c>
    </row>
    <row r="15" spans="1:38" x14ac:dyDescent="0.25">
      <c r="A15" s="11"/>
      <c r="B15" s="89">
        <v>17</v>
      </c>
      <c r="C15" s="89">
        <v>8</v>
      </c>
      <c r="D15" s="89">
        <v>332</v>
      </c>
      <c r="E15" s="10">
        <v>136780</v>
      </c>
      <c r="F15" s="10">
        <v>717960</v>
      </c>
      <c r="G15" s="10">
        <v>-581180</v>
      </c>
      <c r="H15" s="89">
        <v>1532</v>
      </c>
      <c r="I15" s="11">
        <v>36.879895561357699</v>
      </c>
      <c r="J15" s="89">
        <v>565</v>
      </c>
      <c r="K15" s="89">
        <v>965</v>
      </c>
      <c r="L15" s="12">
        <v>11750</v>
      </c>
      <c r="M15" s="12">
        <v>-4640</v>
      </c>
      <c r="N15" s="12">
        <v>1270.7257080078125</v>
      </c>
      <c r="O15" s="12">
        <v>-602.25909423828125</v>
      </c>
      <c r="P15" s="11">
        <v>2.109931954809229</v>
      </c>
      <c r="Q15" s="13">
        <v>89.281984334203656</v>
      </c>
      <c r="R15" s="89">
        <v>8</v>
      </c>
      <c r="S15" s="89">
        <v>10</v>
      </c>
      <c r="T15" s="89">
        <v>70</v>
      </c>
      <c r="U15" s="89">
        <v>24</v>
      </c>
      <c r="V15" s="12">
        <v>-30985</v>
      </c>
      <c r="W15" s="11">
        <v>1.2353487731855879</v>
      </c>
      <c r="X15" s="89">
        <v>1</v>
      </c>
      <c r="Y15" s="12">
        <v>30985</v>
      </c>
      <c r="Z15" s="11">
        <v>441.43940616427301</v>
      </c>
      <c r="AA15" s="14">
        <v>2494.1326448281425</v>
      </c>
      <c r="AB15" s="11">
        <v>0.202286528341896</v>
      </c>
      <c r="AC15" s="11">
        <v>1.252840419508183</v>
      </c>
      <c r="AD15" s="15">
        <v>127914.25973565075</v>
      </c>
      <c r="AE15" s="11">
        <v>272.31892708923982</v>
      </c>
      <c r="AF15" s="11">
        <f>(Opti_Medias__30_OOS_1[[#This Row],[All: TS Index]]-AA$114) /ABS(AA$114)</f>
        <v>-0.70463101757291446</v>
      </c>
      <c r="AG15" s="11">
        <f>(Opti_Medias__30_OOS_1[[#This Row],[All: Expectancy Score]]-AB$114) /ABS(AB$114)</f>
        <v>-0.60018988961173547</v>
      </c>
      <c r="AH15" s="11"/>
      <c r="AI15" s="11">
        <f>(Opti_Medias__30_OOS_1[[#This Row],[All: Perfect Profit Correlation]]-AD$114) /ABS(AD$114)</f>
        <v>-0.38488430386697947</v>
      </c>
      <c r="AJ15" s="11">
        <f>(Opti_Medias__30_OOS_1[[#This Row],[All: Robustness Index]]-AE$114) /ABS(AE$114)</f>
        <v>-0.67290272370947091</v>
      </c>
      <c r="AK15" s="11">
        <f>SUM(Opti_Medias__30_OOS_1[[#This Row],[VAR TS Index]:[VAR Robustness Index]])</f>
        <v>-2.3626079347611002</v>
      </c>
      <c r="AL15" s="11">
        <f>Opti_Medias__30_OOS_1[[#This Row],[SUMA]]-Opti_Medias__30_OOS_1[[#This Row],[VAR Robustness Index]]</f>
        <v>-1.6897052110516293</v>
      </c>
    </row>
    <row r="16" spans="1:38" x14ac:dyDescent="0.25">
      <c r="A16" s="11"/>
      <c r="B16" s="89">
        <v>21</v>
      </c>
      <c r="C16" s="89">
        <v>11</v>
      </c>
      <c r="D16" s="89">
        <v>471</v>
      </c>
      <c r="E16" s="10">
        <v>139510</v>
      </c>
      <c r="F16" s="10">
        <v>736750</v>
      </c>
      <c r="G16" s="10">
        <v>-597240</v>
      </c>
      <c r="H16" s="89">
        <v>1524</v>
      </c>
      <c r="I16" s="11">
        <v>45.341207349081365</v>
      </c>
      <c r="J16" s="89">
        <v>691</v>
      </c>
      <c r="K16" s="89">
        <v>827</v>
      </c>
      <c r="L16" s="12">
        <v>11420</v>
      </c>
      <c r="M16" s="12">
        <v>-4790</v>
      </c>
      <c r="N16" s="12">
        <v>1066.2083740234375</v>
      </c>
      <c r="O16" s="12">
        <v>-722.176513671875</v>
      </c>
      <c r="P16" s="11">
        <v>1.476381956264885</v>
      </c>
      <c r="Q16" s="13">
        <v>91.541994750656173</v>
      </c>
      <c r="R16" s="89">
        <v>9</v>
      </c>
      <c r="S16" s="89">
        <v>12</v>
      </c>
      <c r="T16" s="89">
        <v>58</v>
      </c>
      <c r="U16" s="89">
        <v>27</v>
      </c>
      <c r="V16" s="12">
        <v>-22735</v>
      </c>
      <c r="W16" s="11">
        <v>1.2335911861228319</v>
      </c>
      <c r="X16" s="89">
        <v>1</v>
      </c>
      <c r="Y16" s="12">
        <v>22735</v>
      </c>
      <c r="Z16" s="11">
        <v>613.63536397624807</v>
      </c>
      <c r="AA16" s="14">
        <v>4240.2203650758738</v>
      </c>
      <c r="AB16" s="11">
        <v>3.7763551380828E-2</v>
      </c>
      <c r="AC16" s="11">
        <v>1.322507787900995</v>
      </c>
      <c r="AD16" s="15">
        <v>134072.69549361264</v>
      </c>
      <c r="AE16" s="11">
        <v>336.25438627283955</v>
      </c>
      <c r="AF16" s="11">
        <f>(Opti_Medias__30_OOS_1[[#This Row],[All: TS Index]]-AA$114) /ABS(AA$114)</f>
        <v>-0.49784965242481555</v>
      </c>
      <c r="AG16" s="11">
        <f>(Opti_Medias__30_OOS_1[[#This Row],[All: Expectancy Score]]-AB$114) /ABS(AB$114)</f>
        <v>-0.9253620605881212</v>
      </c>
      <c r="AH16" s="11"/>
      <c r="AI16" s="11">
        <f>(Opti_Medias__30_OOS_1[[#This Row],[All: Perfect Profit Correlation]]-AD$114) /ABS(AD$114)</f>
        <v>-0.35526954077349904</v>
      </c>
      <c r="AJ16" s="11">
        <f>(Opti_Medias__30_OOS_1[[#This Row],[All: Robustness Index]]-AE$114) /ABS(AE$114)</f>
        <v>-0.59610631891720889</v>
      </c>
      <c r="AK16" s="11">
        <f>SUM(Opti_Medias__30_OOS_1[[#This Row],[VAR TS Index]:[VAR Robustness Index]])</f>
        <v>-2.3745875727036445</v>
      </c>
      <c r="AL16" s="11">
        <f>Opti_Medias__30_OOS_1[[#This Row],[SUMA]]-Opti_Medias__30_OOS_1[[#This Row],[VAR Robustness Index]]</f>
        <v>-1.7784812537864356</v>
      </c>
    </row>
    <row r="17" spans="1:38" x14ac:dyDescent="0.25">
      <c r="A17" s="11"/>
      <c r="B17" s="89">
        <v>34</v>
      </c>
      <c r="C17" s="89">
        <v>11</v>
      </c>
      <c r="D17" s="89">
        <v>484</v>
      </c>
      <c r="E17" s="10">
        <v>115430</v>
      </c>
      <c r="F17" s="10">
        <v>700890</v>
      </c>
      <c r="G17" s="10">
        <v>-585460</v>
      </c>
      <c r="H17" s="89">
        <v>1506</v>
      </c>
      <c r="I17" s="11">
        <v>38.37981407702523</v>
      </c>
      <c r="J17" s="89">
        <v>578</v>
      </c>
      <c r="K17" s="89">
        <v>922</v>
      </c>
      <c r="L17" s="12">
        <v>17240</v>
      </c>
      <c r="M17" s="12">
        <v>-3420</v>
      </c>
      <c r="N17" s="12">
        <v>1212.6124267578125</v>
      </c>
      <c r="O17" s="12">
        <v>-634.9891357421875</v>
      </c>
      <c r="P17" s="11">
        <v>1.9096585413866769</v>
      </c>
      <c r="Q17" s="13">
        <v>76.646746347941573</v>
      </c>
      <c r="R17" s="89">
        <v>9</v>
      </c>
      <c r="S17" s="89">
        <v>15</v>
      </c>
      <c r="T17" s="89">
        <v>69</v>
      </c>
      <c r="U17" s="89">
        <v>25</v>
      </c>
      <c r="V17" s="12">
        <v>-31305</v>
      </c>
      <c r="W17" s="11">
        <v>1.19716120657261</v>
      </c>
      <c r="X17" s="89">
        <v>1</v>
      </c>
      <c r="Y17" s="12">
        <v>31305</v>
      </c>
      <c r="Z17" s="11">
        <v>368.72704040888038</v>
      </c>
      <c r="AA17" s="14">
        <v>2131.2422935633285</v>
      </c>
      <c r="AB17" s="11">
        <v>0.22483920186965001</v>
      </c>
      <c r="AC17" s="11">
        <v>1.055579175619235</v>
      </c>
      <c r="AD17" s="15">
        <v>106845.88913631896</v>
      </c>
      <c r="AE17" s="11">
        <v>163.8024821526451</v>
      </c>
      <c r="AF17" s="11">
        <f>(Opti_Medias__30_OOS_1[[#This Row],[All: TS Index]]-AA$114) /ABS(AA$114)</f>
        <v>-0.74760650005495444</v>
      </c>
      <c r="AG17" s="11">
        <f>(Opti_Medias__30_OOS_1[[#This Row],[All: Expectancy Score]]-AB$114) /ABS(AB$114)</f>
        <v>-0.55561555751660929</v>
      </c>
      <c r="AH17" s="11"/>
      <c r="AI17" s="11">
        <f>(Opti_Medias__30_OOS_1[[#This Row],[All: Perfect Profit Correlation]]-AD$114) /ABS(AD$114)</f>
        <v>-0.48619814858123317</v>
      </c>
      <c r="AJ17" s="11">
        <f>(Opti_Medias__30_OOS_1[[#This Row],[All: Robustness Index]]-AE$114) /ABS(AE$114)</f>
        <v>-0.80324780824286934</v>
      </c>
      <c r="AK17" s="11">
        <f>SUM(Opti_Medias__30_OOS_1[[#This Row],[VAR TS Index]:[VAR Robustness Index]])</f>
        <v>-2.5926680143956666</v>
      </c>
      <c r="AL17" s="11">
        <f>Opti_Medias__30_OOS_1[[#This Row],[SUMA]]-Opti_Medias__30_OOS_1[[#This Row],[VAR Robustness Index]]</f>
        <v>-1.7894202061527973</v>
      </c>
    </row>
    <row r="18" spans="1:38" x14ac:dyDescent="0.25">
      <c r="A18" s="11"/>
      <c r="B18" s="89">
        <v>11</v>
      </c>
      <c r="C18" s="89">
        <v>8</v>
      </c>
      <c r="D18" s="89">
        <v>326</v>
      </c>
      <c r="E18" s="10">
        <v>140930</v>
      </c>
      <c r="F18" s="10">
        <v>757460</v>
      </c>
      <c r="G18" s="10">
        <v>-616530</v>
      </c>
      <c r="H18" s="89">
        <v>1612</v>
      </c>
      <c r="I18" s="11">
        <v>38.33746898263027</v>
      </c>
      <c r="J18" s="89">
        <v>618</v>
      </c>
      <c r="K18" s="89">
        <v>986</v>
      </c>
      <c r="L18" s="12">
        <v>9290</v>
      </c>
      <c r="M18" s="12">
        <v>-4570</v>
      </c>
      <c r="N18" s="12">
        <v>1225.6634521484375</v>
      </c>
      <c r="O18" s="12">
        <v>-625.28399658203125</v>
      </c>
      <c r="P18" s="11">
        <v>1.960170832530882</v>
      </c>
      <c r="Q18" s="13">
        <v>87.425558312655085</v>
      </c>
      <c r="R18" s="89">
        <v>7</v>
      </c>
      <c r="S18" s="89">
        <v>9</v>
      </c>
      <c r="T18" s="89">
        <v>63</v>
      </c>
      <c r="U18" s="89">
        <v>24</v>
      </c>
      <c r="V18" s="12">
        <v>-20845</v>
      </c>
      <c r="W18" s="11">
        <v>1.2285857946896339</v>
      </c>
      <c r="X18" s="89">
        <v>1</v>
      </c>
      <c r="Y18" s="12">
        <v>20845</v>
      </c>
      <c r="Z18" s="11">
        <v>676.08539218037902</v>
      </c>
      <c r="AA18" s="14">
        <v>4178.2077236747418</v>
      </c>
      <c r="AB18" s="11">
        <v>1.9318381391892001E-2</v>
      </c>
      <c r="AC18" s="11">
        <v>1.3009480539107381</v>
      </c>
      <c r="AD18" s="15">
        <v>136392.62968598359</v>
      </c>
      <c r="AE18" s="11">
        <v>276.36040917236488</v>
      </c>
      <c r="AF18" s="11">
        <f>(Opti_Medias__30_OOS_1[[#This Row],[All: TS Index]]-AA$114) /ABS(AA$114)</f>
        <v>-0.50519353240098663</v>
      </c>
      <c r="AG18" s="11">
        <f>(Opti_Medias__30_OOS_1[[#This Row],[All: Expectancy Score]]-AB$114) /ABS(AB$114)</f>
        <v>-0.96181809900973381</v>
      </c>
      <c r="AH18" s="11"/>
      <c r="AI18" s="11">
        <f>(Opti_Medias__30_OOS_1[[#This Row],[All: Perfect Profit Correlation]]-AD$114) /ABS(AD$114)</f>
        <v>-0.34411341213958313</v>
      </c>
      <c r="AJ18" s="11">
        <f>(Opti_Medias__30_OOS_1[[#This Row],[All: Robustness Index]]-AE$114) /ABS(AE$114)</f>
        <v>-0.66804827677220779</v>
      </c>
      <c r="AK18" s="11">
        <f>SUM(Opti_Medias__30_OOS_1[[#This Row],[VAR TS Index]:[VAR Robustness Index]])</f>
        <v>-2.479173320322511</v>
      </c>
      <c r="AL18" s="11">
        <f>Opti_Medias__30_OOS_1[[#This Row],[SUMA]]-Opti_Medias__30_OOS_1[[#This Row],[VAR Robustness Index]]</f>
        <v>-1.8111250435503032</v>
      </c>
    </row>
    <row r="19" spans="1:38" x14ac:dyDescent="0.25">
      <c r="A19" s="11"/>
      <c r="B19" s="89">
        <v>20</v>
      </c>
      <c r="C19" s="89">
        <v>11</v>
      </c>
      <c r="D19" s="89">
        <v>470</v>
      </c>
      <c r="E19" s="10">
        <v>116970</v>
      </c>
      <c r="F19" s="10">
        <v>728650</v>
      </c>
      <c r="G19" s="10">
        <v>-611680</v>
      </c>
      <c r="H19" s="89">
        <v>1508</v>
      </c>
      <c r="I19" s="11">
        <v>46.352785145888596</v>
      </c>
      <c r="J19" s="89">
        <v>699</v>
      </c>
      <c r="K19" s="89">
        <v>802</v>
      </c>
      <c r="L19" s="12">
        <v>12240</v>
      </c>
      <c r="M19" s="12">
        <v>-4790</v>
      </c>
      <c r="N19" s="12">
        <v>1042.417724609375</v>
      </c>
      <c r="O19" s="12">
        <v>-762.6932373046875</v>
      </c>
      <c r="P19" s="11">
        <v>1.366758840412978</v>
      </c>
      <c r="Q19" s="13">
        <v>77.566312997347481</v>
      </c>
      <c r="R19" s="89">
        <v>7</v>
      </c>
      <c r="S19" s="89">
        <v>8</v>
      </c>
      <c r="T19" s="89">
        <v>59</v>
      </c>
      <c r="U19" s="89">
        <v>27</v>
      </c>
      <c r="V19" s="12">
        <v>-27415</v>
      </c>
      <c r="W19" s="11">
        <v>1.1912274391838871</v>
      </c>
      <c r="X19" s="89">
        <v>1</v>
      </c>
      <c r="Y19" s="12">
        <v>27415</v>
      </c>
      <c r="Z19" s="11">
        <v>426.66423490789714</v>
      </c>
      <c r="AA19" s="14">
        <v>2982.383002006201</v>
      </c>
      <c r="AB19" s="11">
        <v>0.145473429603553</v>
      </c>
      <c r="AC19" s="11">
        <v>1.1100909755578681</v>
      </c>
      <c r="AD19" s="15">
        <v>109494.82643924738</v>
      </c>
      <c r="AE19" s="11">
        <v>231.65320389615215</v>
      </c>
      <c r="AF19" s="11">
        <f>(Opti_Medias__30_OOS_1[[#This Row],[All: TS Index]]-AA$114) /ABS(AA$114)</f>
        <v>-0.64680970984560182</v>
      </c>
      <c r="AG19" s="11">
        <f>(Opti_Medias__30_OOS_1[[#This Row],[All: Expectancy Score]]-AB$114) /ABS(AB$114)</f>
        <v>-0.71247839178863415</v>
      </c>
      <c r="AH19" s="11"/>
      <c r="AI19" s="11">
        <f>(Opti_Medias__30_OOS_1[[#This Row],[All: Perfect Profit Correlation]]-AD$114) /ABS(AD$114)</f>
        <v>-0.47345990566390023</v>
      </c>
      <c r="AJ19" s="11">
        <f>(Opti_Medias__30_OOS_1[[#This Row],[All: Robustness Index]]-AE$114) /ABS(AE$114)</f>
        <v>-0.72174856574117296</v>
      </c>
      <c r="AK19" s="11">
        <f>SUM(Opti_Medias__30_OOS_1[[#This Row],[VAR TS Index]:[VAR Robustness Index]])</f>
        <v>-2.5544965730393092</v>
      </c>
      <c r="AL19" s="11">
        <f>Opti_Medias__30_OOS_1[[#This Row],[SUMA]]-Opti_Medias__30_OOS_1[[#This Row],[VAR Robustness Index]]</f>
        <v>-1.8327480072981364</v>
      </c>
    </row>
    <row r="20" spans="1:38" x14ac:dyDescent="0.25">
      <c r="A20" s="11"/>
      <c r="B20" s="89">
        <v>29</v>
      </c>
      <c r="C20" s="89">
        <v>8</v>
      </c>
      <c r="D20" s="89">
        <v>344</v>
      </c>
      <c r="E20" s="10">
        <v>114890</v>
      </c>
      <c r="F20" s="10">
        <v>700350</v>
      </c>
      <c r="G20" s="10">
        <v>-585460</v>
      </c>
      <c r="H20" s="89">
        <v>1522</v>
      </c>
      <c r="I20" s="11">
        <v>34.165571616294351</v>
      </c>
      <c r="J20" s="89">
        <v>520</v>
      </c>
      <c r="K20" s="89">
        <v>999</v>
      </c>
      <c r="L20" s="12">
        <v>16430</v>
      </c>
      <c r="M20" s="12">
        <v>-4100</v>
      </c>
      <c r="N20" s="12">
        <v>1346.826904296875</v>
      </c>
      <c r="O20" s="12">
        <v>-586.0460205078125</v>
      </c>
      <c r="P20" s="11">
        <v>2.2981589451453681</v>
      </c>
      <c r="Q20" s="13">
        <v>75.486202365308799</v>
      </c>
      <c r="R20" s="89">
        <v>11</v>
      </c>
      <c r="S20" s="89">
        <v>11</v>
      </c>
      <c r="T20" s="89">
        <v>77</v>
      </c>
      <c r="U20" s="89">
        <v>23</v>
      </c>
      <c r="V20" s="12">
        <v>-25925</v>
      </c>
      <c r="W20" s="11">
        <v>1.1962388549175009</v>
      </c>
      <c r="X20" s="89">
        <v>1</v>
      </c>
      <c r="Y20" s="12">
        <v>25925</v>
      </c>
      <c r="Z20" s="11">
        <v>443.16297010607519</v>
      </c>
      <c r="AA20" s="14">
        <v>2304.4474445515912</v>
      </c>
      <c r="AB20" s="11">
        <v>0.187454490730667</v>
      </c>
      <c r="AC20" s="11">
        <v>1.027007554820246</v>
      </c>
      <c r="AD20" s="15">
        <v>98734.094923368859</v>
      </c>
      <c r="AE20" s="11">
        <v>222.38108987004108</v>
      </c>
      <c r="AF20" s="11">
        <f>(Opti_Medias__30_OOS_1[[#This Row],[All: TS Index]]-AA$114) /ABS(AA$114)</f>
        <v>-0.72709458810647898</v>
      </c>
      <c r="AG20" s="11">
        <f>(Opti_Medias__30_OOS_1[[#This Row],[All: Expectancy Score]]-AB$114) /ABS(AB$114)</f>
        <v>-0.62950473644427252</v>
      </c>
      <c r="AH20" s="11"/>
      <c r="AI20" s="11">
        <f>(Opti_Medias__30_OOS_1[[#This Row],[All: Perfect Profit Correlation]]-AD$114) /ABS(AD$114)</f>
        <v>-0.52520624630621215</v>
      </c>
      <c r="AJ20" s="11">
        <f>(Opti_Medias__30_OOS_1[[#This Row],[All: Robustness Index]]-AE$114) /ABS(AE$114)</f>
        <v>-0.73288581307030287</v>
      </c>
      <c r="AK20" s="11">
        <f>SUM(Opti_Medias__30_OOS_1[[#This Row],[VAR TS Index]:[VAR Robustness Index]])</f>
        <v>-2.6146913839272665</v>
      </c>
      <c r="AL20" s="11">
        <f>Opti_Medias__30_OOS_1[[#This Row],[SUMA]]-Opti_Medias__30_OOS_1[[#This Row],[VAR Robustness Index]]</f>
        <v>-1.8818055708569636</v>
      </c>
    </row>
    <row r="21" spans="1:38" x14ac:dyDescent="0.25">
      <c r="A21" s="11"/>
      <c r="B21" s="89">
        <v>2</v>
      </c>
      <c r="C21" s="89">
        <v>8</v>
      </c>
      <c r="D21" s="89">
        <v>317</v>
      </c>
      <c r="E21" s="10">
        <v>154130</v>
      </c>
      <c r="F21" s="10">
        <v>823720</v>
      </c>
      <c r="G21" s="10">
        <v>-669590</v>
      </c>
      <c r="H21" s="89">
        <v>1704</v>
      </c>
      <c r="I21" s="11">
        <v>43.368544600938968</v>
      </c>
      <c r="J21" s="89">
        <v>739</v>
      </c>
      <c r="K21" s="89">
        <v>959</v>
      </c>
      <c r="L21" s="12">
        <v>9850</v>
      </c>
      <c r="M21" s="12">
        <v>-6410</v>
      </c>
      <c r="N21" s="12">
        <v>1114.641357421875</v>
      </c>
      <c r="O21" s="12">
        <v>-698.2169189453125</v>
      </c>
      <c r="P21" s="11">
        <v>1.59641126872948</v>
      </c>
      <c r="Q21" s="13">
        <v>90.451877934272304</v>
      </c>
      <c r="R21" s="89">
        <v>7</v>
      </c>
      <c r="S21" s="89">
        <v>13</v>
      </c>
      <c r="T21" s="89">
        <v>53</v>
      </c>
      <c r="U21" s="89">
        <v>25</v>
      </c>
      <c r="V21" s="12">
        <v>-38095</v>
      </c>
      <c r="W21" s="11">
        <v>1.2301856359862</v>
      </c>
      <c r="X21" s="89">
        <v>1</v>
      </c>
      <c r="Y21" s="12">
        <v>38095</v>
      </c>
      <c r="Z21" s="11">
        <v>404.59377871111695</v>
      </c>
      <c r="AA21" s="14">
        <v>2989.9480246751541</v>
      </c>
      <c r="AB21" s="11">
        <v>2.4235616416460999E-2</v>
      </c>
      <c r="AC21" s="11">
        <v>1.45451158798182</v>
      </c>
      <c r="AD21" s="15">
        <v>145936.07949521058</v>
      </c>
      <c r="AE21" s="11">
        <v>206.89275743382316</v>
      </c>
      <c r="AF21" s="11">
        <f>(Opti_Medias__30_OOS_1[[#This Row],[All: TS Index]]-AA$114) /ABS(AA$114)</f>
        <v>-0.64591381802028147</v>
      </c>
      <c r="AG21" s="11">
        <f>(Opti_Medias__30_OOS_1[[#This Row],[All: Expectancy Score]]-AB$114) /ABS(AB$114)</f>
        <v>-0.95209940793281156</v>
      </c>
      <c r="AH21" s="11"/>
      <c r="AI21" s="11">
        <f>(Opti_Medias__30_OOS_1[[#This Row],[All: Perfect Profit Correlation]]-AD$114) /ABS(AD$114)</f>
        <v>-0.29822075103170592</v>
      </c>
      <c r="AJ21" s="11">
        <f>(Opti_Medias__30_OOS_1[[#This Row],[All: Robustness Index]]-AE$114) /ABS(AE$114)</f>
        <v>-0.75148970303241669</v>
      </c>
      <c r="AK21" s="11">
        <f>SUM(Opti_Medias__30_OOS_1[[#This Row],[VAR TS Index]:[VAR Robustness Index]])</f>
        <v>-2.6477236800172155</v>
      </c>
      <c r="AL21" s="11">
        <f>Opti_Medias__30_OOS_1[[#This Row],[SUMA]]-Opti_Medias__30_OOS_1[[#This Row],[VAR Robustness Index]]</f>
        <v>-1.8962339769847989</v>
      </c>
    </row>
    <row r="22" spans="1:38" x14ac:dyDescent="0.25">
      <c r="A22" s="11"/>
      <c r="B22" s="89">
        <v>28</v>
      </c>
      <c r="C22" s="89">
        <v>8</v>
      </c>
      <c r="D22" s="89">
        <v>343</v>
      </c>
      <c r="E22" s="10">
        <v>118050</v>
      </c>
      <c r="F22" s="10">
        <v>698800</v>
      </c>
      <c r="G22" s="10">
        <v>-580750</v>
      </c>
      <c r="H22" s="89">
        <v>1502</v>
      </c>
      <c r="I22" s="11">
        <v>34.087882822902799</v>
      </c>
      <c r="J22" s="89">
        <v>512</v>
      </c>
      <c r="K22" s="89">
        <v>986</v>
      </c>
      <c r="L22" s="12">
        <v>16430</v>
      </c>
      <c r="M22" s="12">
        <v>-4100</v>
      </c>
      <c r="N22" s="12">
        <v>1364.84375</v>
      </c>
      <c r="O22" s="12">
        <v>-588.9959716796875</v>
      </c>
      <c r="P22" s="11">
        <v>2.3172378345946321</v>
      </c>
      <c r="Q22" s="13">
        <v>78.59520639147803</v>
      </c>
      <c r="R22" s="89">
        <v>11</v>
      </c>
      <c r="S22" s="89">
        <v>11</v>
      </c>
      <c r="T22" s="89">
        <v>77</v>
      </c>
      <c r="U22" s="89">
        <v>24</v>
      </c>
      <c r="V22" s="12">
        <v>-28375</v>
      </c>
      <c r="W22" s="11">
        <v>1.203271631510977</v>
      </c>
      <c r="X22" s="89">
        <v>1</v>
      </c>
      <c r="Y22" s="12">
        <v>28375</v>
      </c>
      <c r="Z22" s="11">
        <v>416.0352422907489</v>
      </c>
      <c r="AA22" s="14">
        <v>2130.1004405286344</v>
      </c>
      <c r="AB22" s="11">
        <v>0.17243162637643</v>
      </c>
      <c r="AC22" s="11">
        <v>1.056619591011573</v>
      </c>
      <c r="AD22" s="15">
        <v>103133.0984677394</v>
      </c>
      <c r="AE22" s="11">
        <v>229.98567250644243</v>
      </c>
      <c r="AF22" s="11">
        <f>(Opti_Medias__30_OOS_1[[#This Row],[All: TS Index]]-AA$114) /ABS(AA$114)</f>
        <v>-0.74774172460671917</v>
      </c>
      <c r="AG22" s="11">
        <f>(Opti_Medias__30_OOS_1[[#This Row],[All: Expectancy Score]]-AB$114) /ABS(AB$114)</f>
        <v>-0.65919674364340664</v>
      </c>
      <c r="AH22" s="11"/>
      <c r="AI22" s="11">
        <f>(Opti_Medias__30_OOS_1[[#This Row],[All: Perfect Profit Correlation]]-AD$114) /ABS(AD$114)</f>
        <v>-0.50405226290296101</v>
      </c>
      <c r="AJ22" s="11">
        <f>(Opti_Medias__30_OOS_1[[#This Row],[All: Robustness Index]]-AE$114) /ABS(AE$114)</f>
        <v>-0.72375152962448863</v>
      </c>
      <c r="AK22" s="11">
        <f>SUM(Opti_Medias__30_OOS_1[[#This Row],[VAR TS Index]:[VAR Robustness Index]])</f>
        <v>-2.6347422607775757</v>
      </c>
      <c r="AL22" s="11">
        <f>Opti_Medias__30_OOS_1[[#This Row],[SUMA]]-Opti_Medias__30_OOS_1[[#This Row],[VAR Robustness Index]]</f>
        <v>-1.9109907311530869</v>
      </c>
    </row>
    <row r="23" spans="1:38" x14ac:dyDescent="0.25">
      <c r="A23" s="11"/>
      <c r="B23" s="89">
        <v>19</v>
      </c>
      <c r="C23" s="89">
        <v>3</v>
      </c>
      <c r="D23" s="89">
        <v>109</v>
      </c>
      <c r="E23" s="4">
        <v>147760</v>
      </c>
      <c r="F23" s="4">
        <v>693250</v>
      </c>
      <c r="G23" s="4">
        <v>-545490</v>
      </c>
      <c r="H23" s="89">
        <v>1187</v>
      </c>
      <c r="I23" s="5">
        <v>43.049705139005894</v>
      </c>
      <c r="J23" s="89">
        <v>511</v>
      </c>
      <c r="K23" s="89">
        <v>671</v>
      </c>
      <c r="L23" s="6">
        <v>26020</v>
      </c>
      <c r="M23" s="6">
        <v>-4640</v>
      </c>
      <c r="N23" s="6">
        <v>1356.653564453125</v>
      </c>
      <c r="O23" s="6">
        <v>-812.9508056640625</v>
      </c>
      <c r="P23" s="5">
        <v>1.6688015498612321</v>
      </c>
      <c r="Q23" s="7">
        <v>124.48188711036225</v>
      </c>
      <c r="R23" s="89">
        <v>7</v>
      </c>
      <c r="S23" s="89">
        <v>10</v>
      </c>
      <c r="T23" s="89">
        <v>69</v>
      </c>
      <c r="U23" s="89">
        <v>40</v>
      </c>
      <c r="V23" s="6">
        <v>-27075</v>
      </c>
      <c r="W23" s="5">
        <v>1.270875726411117</v>
      </c>
      <c r="X23" s="89">
        <v>1</v>
      </c>
      <c r="Y23" s="6">
        <v>27075</v>
      </c>
      <c r="Z23" s="5">
        <v>545.74330563250226</v>
      </c>
      <c r="AA23" s="8">
        <v>2788.7482917820867</v>
      </c>
      <c r="AB23" s="5">
        <v>3.5498201552815002E-2</v>
      </c>
      <c r="AC23" s="5">
        <v>1.381508334398293</v>
      </c>
      <c r="AD23" s="9">
        <v>140882.8589030444</v>
      </c>
      <c r="AE23" s="5">
        <v>613.92118894029932</v>
      </c>
      <c r="AF23" s="11">
        <f>(Opti_Medias__30_OOS_1[[#This Row],[All: TS Index]]-AA$114) /ABS(AA$114)</f>
        <v>-0.66974100319122942</v>
      </c>
      <c r="AG23" s="11">
        <f>(Opti_Medias__30_OOS_1[[#This Row],[All: Expectancy Score]]-AB$114) /ABS(AB$114)</f>
        <v>-0.92983942135074749</v>
      </c>
      <c r="AH23" s="11"/>
      <c r="AI23" s="11">
        <f>(Opti_Medias__30_OOS_1[[#This Row],[All: Perfect Profit Correlation]]-AD$114) /ABS(AD$114)</f>
        <v>-0.32252074157762078</v>
      </c>
      <c r="AJ23" s="11">
        <f>(Opti_Medias__30_OOS_1[[#This Row],[All: Robustness Index]]-AE$114) /ABS(AE$114)</f>
        <v>-0.26258541444088312</v>
      </c>
      <c r="AK23" s="11">
        <f>SUM(Opti_Medias__30_OOS_1[[#This Row],[VAR TS Index]:[VAR Robustness Index]])</f>
        <v>-2.1846865805604807</v>
      </c>
      <c r="AL23" s="11">
        <f>Opti_Medias__30_OOS_1[[#This Row],[SUMA]]-Opti_Medias__30_OOS_1[[#This Row],[VAR Robustness Index]]</f>
        <v>-1.9221011661195977</v>
      </c>
    </row>
    <row r="24" spans="1:38" x14ac:dyDescent="0.25">
      <c r="A24" s="11"/>
      <c r="B24" s="89">
        <v>18</v>
      </c>
      <c r="C24" s="89">
        <v>8</v>
      </c>
      <c r="D24" s="89">
        <v>333</v>
      </c>
      <c r="E24" s="10">
        <v>132750</v>
      </c>
      <c r="F24" s="10">
        <v>719050</v>
      </c>
      <c r="G24" s="10">
        <v>-586300</v>
      </c>
      <c r="H24" s="89">
        <v>1518</v>
      </c>
      <c r="I24" s="11">
        <v>36.890645586297758</v>
      </c>
      <c r="J24" s="89">
        <v>560</v>
      </c>
      <c r="K24" s="89">
        <v>955</v>
      </c>
      <c r="L24" s="12">
        <v>13580</v>
      </c>
      <c r="M24" s="12">
        <v>-4640</v>
      </c>
      <c r="N24" s="12">
        <v>1284.017822265625</v>
      </c>
      <c r="O24" s="12">
        <v>-613.92669677734375</v>
      </c>
      <c r="P24" s="11">
        <v>2.091483932863254</v>
      </c>
      <c r="Q24" s="13">
        <v>87.450592885375499</v>
      </c>
      <c r="R24" s="89">
        <v>8</v>
      </c>
      <c r="S24" s="89">
        <v>10</v>
      </c>
      <c r="T24" s="89">
        <v>71</v>
      </c>
      <c r="U24" s="89">
        <v>24</v>
      </c>
      <c r="V24" s="12">
        <v>-29525</v>
      </c>
      <c r="W24" s="11">
        <v>1.226419921541873</v>
      </c>
      <c r="X24" s="89">
        <v>1</v>
      </c>
      <c r="Y24" s="12">
        <v>29525</v>
      </c>
      <c r="Z24" s="11">
        <v>449.61896697713803</v>
      </c>
      <c r="AA24" s="14">
        <v>2517.8662150719729</v>
      </c>
      <c r="AB24" s="11">
        <v>8.2092563869125001E-2</v>
      </c>
      <c r="AC24" s="11">
        <v>1.213368141184322</v>
      </c>
      <c r="AD24" s="15">
        <v>123937.50136482999</v>
      </c>
      <c r="AE24" s="11">
        <v>229.90745797251711</v>
      </c>
      <c r="AF24" s="11">
        <f>(Opti_Medias__30_OOS_1[[#This Row],[All: TS Index]]-AA$114) /ABS(AA$114)</f>
        <v>-0.70182035691827038</v>
      </c>
      <c r="AG24" s="11">
        <f>(Opti_Medias__30_OOS_1[[#This Row],[All: Expectancy Score]]-AB$114) /ABS(AB$114)</f>
        <v>-0.83774778631280311</v>
      </c>
      <c r="AH24" s="11"/>
      <c r="AI24" s="11">
        <f>(Opti_Medias__30_OOS_1[[#This Row],[All: Perfect Profit Correlation]]-AD$114) /ABS(AD$114)</f>
        <v>-0.40400778938513437</v>
      </c>
      <c r="AJ24" s="11">
        <f>(Opti_Medias__30_OOS_1[[#This Row],[All: Robustness Index]]-AE$114) /ABS(AE$114)</f>
        <v>-0.72384547741315963</v>
      </c>
      <c r="AK24" s="11">
        <f>SUM(Opti_Medias__30_OOS_1[[#This Row],[VAR TS Index]:[VAR Robustness Index]])</f>
        <v>-2.6674214100293674</v>
      </c>
      <c r="AL24" s="11">
        <f>Opti_Medias__30_OOS_1[[#This Row],[SUMA]]-Opti_Medias__30_OOS_1[[#This Row],[VAR Robustness Index]]</f>
        <v>-1.9435759326162079</v>
      </c>
    </row>
    <row r="25" spans="1:38" x14ac:dyDescent="0.25">
      <c r="A25" s="11"/>
      <c r="B25" s="89">
        <v>25</v>
      </c>
      <c r="C25" s="89">
        <v>8</v>
      </c>
      <c r="D25" s="89">
        <v>340</v>
      </c>
      <c r="E25" s="10">
        <v>123450</v>
      </c>
      <c r="F25" s="10">
        <v>696840</v>
      </c>
      <c r="G25" s="10">
        <v>-573390</v>
      </c>
      <c r="H25" s="89">
        <v>1486</v>
      </c>
      <c r="I25" s="11">
        <v>35.329744279946162</v>
      </c>
      <c r="J25" s="89">
        <v>525</v>
      </c>
      <c r="K25" s="89">
        <v>957</v>
      </c>
      <c r="L25" s="12">
        <v>16430</v>
      </c>
      <c r="M25" s="12">
        <v>-4100</v>
      </c>
      <c r="N25" s="12">
        <v>1327.3143310546875</v>
      </c>
      <c r="O25" s="12">
        <v>-599.15362548828125</v>
      </c>
      <c r="P25" s="11">
        <v>2.2153155294236768</v>
      </c>
      <c r="Q25" s="13">
        <v>83.075370121130547</v>
      </c>
      <c r="R25" s="89">
        <v>11</v>
      </c>
      <c r="S25" s="89">
        <v>10</v>
      </c>
      <c r="T25" s="89">
        <v>76</v>
      </c>
      <c r="U25" s="89">
        <v>24</v>
      </c>
      <c r="V25" s="12">
        <v>-24485</v>
      </c>
      <c r="W25" s="11">
        <v>1.2152984879401449</v>
      </c>
      <c r="X25" s="89">
        <v>1</v>
      </c>
      <c r="Y25" s="12">
        <v>24485</v>
      </c>
      <c r="Z25" s="11">
        <v>504.18623647130897</v>
      </c>
      <c r="AA25" s="14">
        <v>2646.9777414743721</v>
      </c>
      <c r="AB25" s="11">
        <v>7.6316383532141999E-2</v>
      </c>
      <c r="AC25" s="11">
        <v>1.1157247545005451</v>
      </c>
      <c r="AD25" s="15">
        <v>115196.74862275038</v>
      </c>
      <c r="AE25" s="11">
        <v>262.55948921116061</v>
      </c>
      <c r="AF25" s="11">
        <f>(Opti_Medias__30_OOS_1[[#This Row],[All: TS Index]]-AA$114) /ABS(AA$114)</f>
        <v>-0.6865302558676456</v>
      </c>
      <c r="AG25" s="11">
        <f>(Opti_Medias__30_OOS_1[[#This Row],[All: Expectancy Score]]-AB$114) /ABS(AB$114)</f>
        <v>-0.84916414368015325</v>
      </c>
      <c r="AH25" s="11"/>
      <c r="AI25" s="11">
        <f>(Opti_Medias__30_OOS_1[[#This Row],[All: Perfect Profit Correlation]]-AD$114) /ABS(AD$114)</f>
        <v>-0.44604043077149902</v>
      </c>
      <c r="AJ25" s="11">
        <f>(Opti_Medias__30_OOS_1[[#This Row],[All: Robustness Index]]-AE$114) /ABS(AE$114)</f>
        <v>-0.6846253225834017</v>
      </c>
      <c r="AK25" s="11">
        <f>SUM(Opti_Medias__30_OOS_1[[#This Row],[VAR TS Index]:[VAR Robustness Index]])</f>
        <v>-2.6663601529026995</v>
      </c>
      <c r="AL25" s="11">
        <f>Opti_Medias__30_OOS_1[[#This Row],[SUMA]]-Opti_Medias__30_OOS_1[[#This Row],[VAR Robustness Index]]</f>
        <v>-1.9817348303192976</v>
      </c>
    </row>
    <row r="26" spans="1:38" x14ac:dyDescent="0.25">
      <c r="A26" s="11"/>
      <c r="B26" s="89">
        <v>12</v>
      </c>
      <c r="C26" s="89">
        <v>8</v>
      </c>
      <c r="D26" s="89">
        <v>327</v>
      </c>
      <c r="E26" s="10">
        <v>124610</v>
      </c>
      <c r="F26" s="10">
        <v>745890</v>
      </c>
      <c r="G26" s="10">
        <v>-621280</v>
      </c>
      <c r="H26" s="89">
        <v>1602</v>
      </c>
      <c r="I26" s="11">
        <v>37.640449438202246</v>
      </c>
      <c r="J26" s="89">
        <v>603</v>
      </c>
      <c r="K26" s="89">
        <v>987</v>
      </c>
      <c r="L26" s="12">
        <v>9050</v>
      </c>
      <c r="M26" s="12">
        <v>-4570</v>
      </c>
      <c r="N26" s="12">
        <v>1236.9652099609375</v>
      </c>
      <c r="O26" s="12">
        <v>-629.4630126953125</v>
      </c>
      <c r="P26" s="11">
        <v>1.965111825497653</v>
      </c>
      <c r="Q26" s="13">
        <v>77.784019975031214</v>
      </c>
      <c r="R26" s="89">
        <v>6</v>
      </c>
      <c r="S26" s="89">
        <v>9</v>
      </c>
      <c r="T26" s="89">
        <v>65</v>
      </c>
      <c r="U26" s="89">
        <v>24</v>
      </c>
      <c r="V26" s="12">
        <v>-28635</v>
      </c>
      <c r="W26" s="11">
        <v>1.200569791398403</v>
      </c>
      <c r="X26" s="89">
        <v>1</v>
      </c>
      <c r="Y26" s="12">
        <v>28635</v>
      </c>
      <c r="Z26" s="11">
        <v>435.16675397241136</v>
      </c>
      <c r="AA26" s="14">
        <v>2624.0555264536406</v>
      </c>
      <c r="AB26" s="11">
        <v>6.6393440966728001E-2</v>
      </c>
      <c r="AC26" s="11">
        <v>1.140105713350491</v>
      </c>
      <c r="AD26" s="15">
        <v>117274.15020438292</v>
      </c>
      <c r="AE26" s="11">
        <v>273.14299672429433</v>
      </c>
      <c r="AF26" s="11">
        <f>(Opti_Medias__30_OOS_1[[#This Row],[All: TS Index]]-AA$114) /ABS(AA$114)</f>
        <v>-0.68924483134930159</v>
      </c>
      <c r="AG26" s="11">
        <f>(Opti_Medias__30_OOS_1[[#This Row],[All: Expectancy Score]]-AB$114) /ABS(AB$114)</f>
        <v>-0.86877638773305055</v>
      </c>
      <c r="AH26" s="11"/>
      <c r="AI26" s="11">
        <f>(Opti_Medias__30_OOS_1[[#This Row],[All: Perfect Profit Correlation]]-AD$114) /ABS(AD$114)</f>
        <v>-0.43605059599721702</v>
      </c>
      <c r="AJ26" s="11">
        <f>(Opti_Medias__30_OOS_1[[#This Row],[All: Robustness Index]]-AE$114) /ABS(AE$114)</f>
        <v>-0.6719128882397839</v>
      </c>
      <c r="AK26" s="11">
        <f>SUM(Opti_Medias__30_OOS_1[[#This Row],[VAR TS Index]:[VAR Robustness Index]])</f>
        <v>-2.6659847033193529</v>
      </c>
      <c r="AL26" s="11">
        <f>Opti_Medias__30_OOS_1[[#This Row],[SUMA]]-Opti_Medias__30_OOS_1[[#This Row],[VAR Robustness Index]]</f>
        <v>-1.9940718150795691</v>
      </c>
    </row>
    <row r="27" spans="1:38" x14ac:dyDescent="0.25">
      <c r="A27" s="11"/>
      <c r="B27" s="89">
        <v>31</v>
      </c>
      <c r="C27" s="89">
        <v>11</v>
      </c>
      <c r="D27" s="89">
        <v>481</v>
      </c>
      <c r="E27" s="10">
        <v>106230</v>
      </c>
      <c r="F27" s="10">
        <v>705550</v>
      </c>
      <c r="G27" s="10">
        <v>-599320</v>
      </c>
      <c r="H27" s="89">
        <v>1498</v>
      </c>
      <c r="I27" s="11">
        <v>39.919893190921229</v>
      </c>
      <c r="J27" s="89">
        <v>598</v>
      </c>
      <c r="K27" s="89">
        <v>893</v>
      </c>
      <c r="L27" s="12">
        <v>15920</v>
      </c>
      <c r="M27" s="12">
        <v>-4570</v>
      </c>
      <c r="N27" s="12">
        <v>1179.8494873046875</v>
      </c>
      <c r="O27" s="12">
        <v>-671.13104248046875</v>
      </c>
      <c r="P27" s="11">
        <v>1.758001660814287</v>
      </c>
      <c r="Q27" s="13">
        <v>70.914552736982643</v>
      </c>
      <c r="R27" s="89">
        <v>6</v>
      </c>
      <c r="S27" s="89">
        <v>10</v>
      </c>
      <c r="T27" s="89">
        <v>67</v>
      </c>
      <c r="U27" s="89">
        <v>25</v>
      </c>
      <c r="V27" s="12">
        <v>-27405</v>
      </c>
      <c r="W27" s="11">
        <v>1.17725088433558</v>
      </c>
      <c r="X27" s="89">
        <v>1</v>
      </c>
      <c r="Y27" s="12">
        <v>27405</v>
      </c>
      <c r="Z27" s="11">
        <v>387.62999452654623</v>
      </c>
      <c r="AA27" s="14">
        <v>2318.0273672687467</v>
      </c>
      <c r="AB27" s="11">
        <v>0.12301607158479801</v>
      </c>
      <c r="AC27" s="11">
        <v>0.97433394028525799</v>
      </c>
      <c r="AD27" s="15">
        <v>100067.5211231126</v>
      </c>
      <c r="AE27" s="11">
        <v>160.97769546496014</v>
      </c>
      <c r="AF27" s="11">
        <f>(Opti_Medias__30_OOS_1[[#This Row],[All: TS Index]]-AA$114) /ABS(AA$114)</f>
        <v>-0.72548637855005382</v>
      </c>
      <c r="AG27" s="11">
        <f>(Opti_Medias__30_OOS_1[[#This Row],[All: Expectancy Score]]-AB$114) /ABS(AB$114)</f>
        <v>-0.75686433712124601</v>
      </c>
      <c r="AH27" s="11"/>
      <c r="AI27" s="11">
        <f>(Opti_Medias__30_OOS_1[[#This Row],[All: Perfect Profit Correlation]]-AD$114) /ABS(AD$114)</f>
        <v>-0.51879404967706044</v>
      </c>
      <c r="AJ27" s="11">
        <f>(Opti_Medias__30_OOS_1[[#This Row],[All: Robustness Index]]-AE$114) /ABS(AE$114)</f>
        <v>-0.80664081526415765</v>
      </c>
      <c r="AK27" s="11">
        <f>SUM(Opti_Medias__30_OOS_1[[#This Row],[VAR TS Index]:[VAR Robustness Index]])</f>
        <v>-2.807785580612518</v>
      </c>
      <c r="AL27" s="11">
        <f>Opti_Medias__30_OOS_1[[#This Row],[SUMA]]-Opti_Medias__30_OOS_1[[#This Row],[VAR Robustness Index]]</f>
        <v>-2.0011447653483603</v>
      </c>
    </row>
    <row r="28" spans="1:38" x14ac:dyDescent="0.25">
      <c r="A28" s="11"/>
      <c r="B28" s="89">
        <v>24</v>
      </c>
      <c r="C28" s="89">
        <v>8</v>
      </c>
      <c r="D28" s="89">
        <v>339</v>
      </c>
      <c r="E28" s="10">
        <v>114250</v>
      </c>
      <c r="F28" s="10">
        <v>694060</v>
      </c>
      <c r="G28" s="10">
        <v>-579810</v>
      </c>
      <c r="H28" s="89">
        <v>1488</v>
      </c>
      <c r="I28" s="11">
        <v>35.3494623655914</v>
      </c>
      <c r="J28" s="89">
        <v>526</v>
      </c>
      <c r="K28" s="89">
        <v>957</v>
      </c>
      <c r="L28" s="12">
        <v>16430</v>
      </c>
      <c r="M28" s="12">
        <v>-4100</v>
      </c>
      <c r="N28" s="12">
        <v>1319.5057373046875</v>
      </c>
      <c r="O28" s="12">
        <v>-605.862060546875</v>
      </c>
      <c r="P28" s="11">
        <v>2.1778979461325729</v>
      </c>
      <c r="Q28" s="13">
        <v>76.780913978494624</v>
      </c>
      <c r="R28" s="89">
        <v>11</v>
      </c>
      <c r="S28" s="89">
        <v>12</v>
      </c>
      <c r="T28" s="89">
        <v>76</v>
      </c>
      <c r="U28" s="89">
        <v>24</v>
      </c>
      <c r="V28" s="12">
        <v>-22205</v>
      </c>
      <c r="W28" s="11">
        <v>1.197047308601094</v>
      </c>
      <c r="X28" s="89">
        <v>1</v>
      </c>
      <c r="Y28" s="12">
        <v>22205</v>
      </c>
      <c r="Z28" s="11">
        <v>514.52375591083091</v>
      </c>
      <c r="AA28" s="14">
        <v>2706.3949560909705</v>
      </c>
      <c r="AB28" s="11">
        <v>8.3051600956617996E-2</v>
      </c>
      <c r="AC28" s="11">
        <v>1.027301413974862</v>
      </c>
      <c r="AD28" s="15">
        <v>104560.24223112022</v>
      </c>
      <c r="AE28" s="11">
        <v>251.33124322326341</v>
      </c>
      <c r="AF28" s="11">
        <f>(Opti_Medias__30_OOS_1[[#This Row],[All: TS Index]]-AA$114) /ABS(AA$114)</f>
        <v>-0.67949374068616619</v>
      </c>
      <c r="AG28" s="11">
        <f>(Opti_Medias__30_OOS_1[[#This Row],[All: Expectancy Score]]-AB$114) /ABS(AB$114)</f>
        <v>-0.83585229318748255</v>
      </c>
      <c r="AH28" s="11"/>
      <c r="AI28" s="11">
        <f>(Opti_Medias__30_OOS_1[[#This Row],[All: Perfect Profit Correlation]]-AD$114) /ABS(AD$114)</f>
        <v>-0.49718939607866725</v>
      </c>
      <c r="AJ28" s="11">
        <f>(Opti_Medias__30_OOS_1[[#This Row],[All: Robustness Index]]-AE$114) /ABS(AE$114)</f>
        <v>-0.69811218785354012</v>
      </c>
      <c r="AK28" s="11">
        <f>SUM(Opti_Medias__30_OOS_1[[#This Row],[VAR TS Index]:[VAR Robustness Index]])</f>
        <v>-2.7106476178058561</v>
      </c>
      <c r="AL28" s="11">
        <f>Opti_Medias__30_OOS_1[[#This Row],[SUMA]]-Opti_Medias__30_OOS_1[[#This Row],[VAR Robustness Index]]</f>
        <v>-2.0125354299523162</v>
      </c>
    </row>
    <row r="29" spans="1:38" x14ac:dyDescent="0.25">
      <c r="A29" s="11"/>
      <c r="B29" s="89">
        <v>30</v>
      </c>
      <c r="C29" s="89">
        <v>11</v>
      </c>
      <c r="D29" s="89">
        <v>480</v>
      </c>
      <c r="E29" s="4">
        <v>97800</v>
      </c>
      <c r="F29" s="4">
        <v>706470</v>
      </c>
      <c r="G29" s="4">
        <v>-608670</v>
      </c>
      <c r="H29" s="89">
        <v>1470</v>
      </c>
      <c r="I29" s="5">
        <v>40.408163265306122</v>
      </c>
      <c r="J29" s="89">
        <v>594</v>
      </c>
      <c r="K29" s="89">
        <v>869</v>
      </c>
      <c r="L29" s="6">
        <v>16550</v>
      </c>
      <c r="M29" s="6">
        <v>-4590</v>
      </c>
      <c r="N29" s="6">
        <v>1189.3433837890625</v>
      </c>
      <c r="O29" s="6">
        <v>-700.42578125</v>
      </c>
      <c r="P29" s="5">
        <v>1.698029135458901</v>
      </c>
      <c r="Q29" s="7">
        <v>66.530612244897952</v>
      </c>
      <c r="R29" s="89">
        <v>7</v>
      </c>
      <c r="S29" s="89">
        <v>10</v>
      </c>
      <c r="T29" s="89">
        <v>68</v>
      </c>
      <c r="U29" s="89">
        <v>26</v>
      </c>
      <c r="V29" s="6">
        <v>-27995</v>
      </c>
      <c r="W29" s="5">
        <v>1.1606782000098581</v>
      </c>
      <c r="X29" s="89">
        <v>1</v>
      </c>
      <c r="Y29" s="6">
        <v>27995</v>
      </c>
      <c r="Z29" s="5">
        <v>349.34809787462046</v>
      </c>
      <c r="AA29" s="8">
        <v>2075.1277013752456</v>
      </c>
      <c r="AB29" s="5">
        <v>0.14582715310945199</v>
      </c>
      <c r="AC29" s="5">
        <v>0.89460900341787797</v>
      </c>
      <c r="AD29" s="9">
        <v>91566.524774086574</v>
      </c>
      <c r="AE29" s="5">
        <v>151.22808566184418</v>
      </c>
      <c r="AF29" s="11">
        <f>(Opti_Medias__30_OOS_1[[#This Row],[All: TS Index]]-AA$114) /ABS(AA$114)</f>
        <v>-0.75425190042220192</v>
      </c>
      <c r="AG29" s="11">
        <f>(Opti_Medias__30_OOS_1[[#This Row],[All: Expectancy Score]]-AB$114) /ABS(AB$114)</f>
        <v>-0.71177927338910651</v>
      </c>
      <c r="AH29" s="11"/>
      <c r="AI29" s="11">
        <f>(Opti_Medias__30_OOS_1[[#This Row],[All: Perfect Profit Correlation]]-AD$114) /ABS(AD$114)</f>
        <v>-0.55967374751420484</v>
      </c>
      <c r="AJ29" s="11">
        <f>(Opti_Medias__30_OOS_1[[#This Row],[All: Robustness Index]]-AE$114) /ABS(AE$114)</f>
        <v>-0.81835160909542748</v>
      </c>
      <c r="AK29" s="11">
        <f>SUM(Opti_Medias__30_OOS_1[[#This Row],[VAR TS Index]:[VAR Robustness Index]])</f>
        <v>-2.8440565304209411</v>
      </c>
      <c r="AL29" s="11">
        <f>Opti_Medias__30_OOS_1[[#This Row],[SUMA]]-Opti_Medias__30_OOS_1[[#This Row],[VAR Robustness Index]]</f>
        <v>-2.0257049213255138</v>
      </c>
    </row>
    <row r="30" spans="1:38" x14ac:dyDescent="0.25">
      <c r="A30" s="11"/>
      <c r="B30" s="89">
        <v>26</v>
      </c>
      <c r="C30" s="89">
        <v>1</v>
      </c>
      <c r="D30" s="89">
        <v>26</v>
      </c>
      <c r="E30" s="10">
        <v>113500</v>
      </c>
      <c r="F30" s="10">
        <v>675810</v>
      </c>
      <c r="G30" s="10">
        <v>-562310</v>
      </c>
      <c r="H30" s="89">
        <v>1447</v>
      </c>
      <c r="I30" s="11">
        <v>38.493434692467176</v>
      </c>
      <c r="J30" s="89">
        <v>557</v>
      </c>
      <c r="K30" s="89">
        <v>877</v>
      </c>
      <c r="L30" s="12">
        <v>12950</v>
      </c>
      <c r="M30" s="12">
        <v>-4970</v>
      </c>
      <c r="N30" s="12">
        <v>1213.303466796875</v>
      </c>
      <c r="O30" s="12">
        <v>-641.1744384765625</v>
      </c>
      <c r="P30" s="11">
        <v>1.892314156627481</v>
      </c>
      <c r="Q30" s="13">
        <v>78.438147892190742</v>
      </c>
      <c r="R30" s="89">
        <v>5</v>
      </c>
      <c r="S30" s="89">
        <v>12</v>
      </c>
      <c r="T30" s="89">
        <v>71</v>
      </c>
      <c r="U30" s="89">
        <v>26</v>
      </c>
      <c r="V30" s="12">
        <v>-21415</v>
      </c>
      <c r="W30" s="11">
        <v>1.2018459568565381</v>
      </c>
      <c r="X30" s="89">
        <v>1</v>
      </c>
      <c r="Y30" s="12">
        <v>21415</v>
      </c>
      <c r="Z30" s="11">
        <v>530.00233481204759</v>
      </c>
      <c r="AA30" s="14">
        <v>2952.1130049031053</v>
      </c>
      <c r="AB30" s="11">
        <v>5.0322183470636002E-2</v>
      </c>
      <c r="AC30" s="11">
        <v>1.038528708267807</v>
      </c>
      <c r="AD30" s="15">
        <v>108683.0164870852</v>
      </c>
      <c r="AE30" s="11">
        <v>339.18676394815742</v>
      </c>
      <c r="AF30" s="11">
        <f>(Opti_Medias__30_OOS_1[[#This Row],[All: TS Index]]-AA$114) /ABS(AA$114)</f>
        <v>-0.65039445032079346</v>
      </c>
      <c r="AG30" s="11">
        <f>(Opti_Medias__30_OOS_1[[#This Row],[All: Expectancy Score]]-AB$114) /ABS(AB$114)</f>
        <v>-0.90054049622934518</v>
      </c>
      <c r="AH30" s="11"/>
      <c r="AI30" s="11">
        <f>(Opti_Medias__30_OOS_1[[#This Row],[All: Perfect Profit Correlation]]-AD$114) /ABS(AD$114)</f>
        <v>-0.47736374754113836</v>
      </c>
      <c r="AJ30" s="11">
        <f>(Opti_Medias__30_OOS_1[[#This Row],[All: Robustness Index]]-AE$114) /ABS(AE$114)</f>
        <v>-0.59258407842917515</v>
      </c>
      <c r="AK30" s="11">
        <f>SUM(Opti_Medias__30_OOS_1[[#This Row],[VAR TS Index]:[VAR Robustness Index]])</f>
        <v>-2.620882772520452</v>
      </c>
      <c r="AL30" s="11">
        <f>Opti_Medias__30_OOS_1[[#This Row],[SUMA]]-Opti_Medias__30_OOS_1[[#This Row],[VAR Robustness Index]]</f>
        <v>-2.0282986940912768</v>
      </c>
    </row>
    <row r="31" spans="1:38" x14ac:dyDescent="0.25">
      <c r="A31" s="11"/>
      <c r="B31" s="89">
        <v>20</v>
      </c>
      <c r="C31" s="89">
        <v>8</v>
      </c>
      <c r="D31" s="89">
        <v>335</v>
      </c>
      <c r="E31" s="10">
        <v>126830</v>
      </c>
      <c r="F31" s="10">
        <v>700380</v>
      </c>
      <c r="G31" s="10">
        <v>-573550</v>
      </c>
      <c r="H31" s="89">
        <v>1480</v>
      </c>
      <c r="I31" s="11">
        <v>36.689189189189186</v>
      </c>
      <c r="J31" s="89">
        <v>543</v>
      </c>
      <c r="K31" s="89">
        <v>933</v>
      </c>
      <c r="L31" s="12">
        <v>16430</v>
      </c>
      <c r="M31" s="12">
        <v>-4100</v>
      </c>
      <c r="N31" s="12">
        <v>1289.834228515625</v>
      </c>
      <c r="O31" s="12">
        <v>-614.7374267578125</v>
      </c>
      <c r="P31" s="11">
        <v>2.098187246087067</v>
      </c>
      <c r="Q31" s="13">
        <v>85.695945945945951</v>
      </c>
      <c r="R31" s="89">
        <v>6</v>
      </c>
      <c r="S31" s="89">
        <v>10</v>
      </c>
      <c r="T31" s="89">
        <v>74</v>
      </c>
      <c r="U31" s="89">
        <v>24</v>
      </c>
      <c r="V31" s="12">
        <v>-29495</v>
      </c>
      <c r="W31" s="11">
        <v>1.2211315491238779</v>
      </c>
      <c r="X31" s="89">
        <v>1</v>
      </c>
      <c r="Y31" s="12">
        <v>29495</v>
      </c>
      <c r="Z31" s="11">
        <v>430.00508560773011</v>
      </c>
      <c r="AA31" s="14">
        <v>2334.9276148499744</v>
      </c>
      <c r="AB31" s="11">
        <v>5.8887076556043E-2</v>
      </c>
      <c r="AC31" s="11">
        <v>1.155510013692685</v>
      </c>
      <c r="AD31" s="15">
        <v>117888.00042492591</v>
      </c>
      <c r="AE31" s="11">
        <v>228.9323062007783</v>
      </c>
      <c r="AF31" s="11">
        <f>(Opti_Medias__30_OOS_1[[#This Row],[All: TS Index]]-AA$114) /ABS(AA$114)</f>
        <v>-0.72348495775906907</v>
      </c>
      <c r="AG31" s="11">
        <f>(Opti_Medias__30_OOS_1[[#This Row],[All: Expectancy Score]]-AB$114) /ABS(AB$114)</f>
        <v>-0.88361237512306667</v>
      </c>
      <c r="AH31" s="11"/>
      <c r="AI31" s="11">
        <f>(Opti_Medias__30_OOS_1[[#This Row],[All: Perfect Profit Correlation]]-AD$114) /ABS(AD$114)</f>
        <v>-0.43309870535960526</v>
      </c>
      <c r="AJ31" s="11">
        <f>(Opti_Medias__30_OOS_1[[#This Row],[All: Robustness Index]]-AE$114) /ABS(AE$114)</f>
        <v>-0.72501678596638819</v>
      </c>
      <c r="AK31" s="11">
        <f>SUM(Opti_Medias__30_OOS_1[[#This Row],[VAR TS Index]:[VAR Robustness Index]])</f>
        <v>-2.7652128242081289</v>
      </c>
      <c r="AL31" s="11">
        <f>Opti_Medias__30_OOS_1[[#This Row],[SUMA]]-Opti_Medias__30_OOS_1[[#This Row],[VAR Robustness Index]]</f>
        <v>-2.0401960382417408</v>
      </c>
    </row>
    <row r="32" spans="1:38" x14ac:dyDescent="0.25">
      <c r="A32" s="11"/>
      <c r="B32" s="89">
        <v>13</v>
      </c>
      <c r="C32" s="89">
        <v>8</v>
      </c>
      <c r="D32" s="89">
        <v>328</v>
      </c>
      <c r="E32" s="10">
        <v>116310</v>
      </c>
      <c r="F32" s="10">
        <v>733150</v>
      </c>
      <c r="G32" s="10">
        <v>-616840</v>
      </c>
      <c r="H32" s="89">
        <v>1576</v>
      </c>
      <c r="I32" s="11">
        <v>37.944162436548226</v>
      </c>
      <c r="J32" s="89">
        <v>598</v>
      </c>
      <c r="K32" s="89">
        <v>966</v>
      </c>
      <c r="L32" s="12">
        <v>12500</v>
      </c>
      <c r="M32" s="12">
        <v>-5800</v>
      </c>
      <c r="N32" s="12">
        <v>1226.0032958984375</v>
      </c>
      <c r="O32" s="12">
        <v>-638.55072021484375</v>
      </c>
      <c r="P32" s="11">
        <v>1.9199779392401941</v>
      </c>
      <c r="Q32" s="13">
        <v>73.800761421319791</v>
      </c>
      <c r="R32" s="89">
        <v>7</v>
      </c>
      <c r="S32" s="89">
        <v>14</v>
      </c>
      <c r="T32" s="89">
        <v>65</v>
      </c>
      <c r="U32" s="89">
        <v>24</v>
      </c>
      <c r="V32" s="12">
        <v>-32235</v>
      </c>
      <c r="W32" s="11">
        <v>1.188557810777511</v>
      </c>
      <c r="X32" s="89">
        <v>1</v>
      </c>
      <c r="Y32" s="12">
        <v>32235</v>
      </c>
      <c r="Z32" s="11">
        <v>360.81898557468588</v>
      </c>
      <c r="AA32" s="14">
        <v>2157.6975337366216</v>
      </c>
      <c r="AB32" s="11">
        <v>9.8323116263992996E-2</v>
      </c>
      <c r="AC32" s="11">
        <v>1.0617576866812639</v>
      </c>
      <c r="AD32" s="15">
        <v>104037.83168174444</v>
      </c>
      <c r="AE32" s="11">
        <v>275.05197462429874</v>
      </c>
      <c r="AF32" s="11">
        <f>(Opti_Medias__30_OOS_1[[#This Row],[All: TS Index]]-AA$114) /ABS(AA$114)</f>
        <v>-0.74447352419416646</v>
      </c>
      <c r="AG32" s="11">
        <f>(Opti_Medias__30_OOS_1[[#This Row],[All: Expectancy Score]]-AB$114) /ABS(AB$114)</f>
        <v>-0.80566883870395878</v>
      </c>
      <c r="AH32" s="11"/>
      <c r="AI32" s="11">
        <f>(Opti_Medias__30_OOS_1[[#This Row],[All: Perfect Profit Correlation]]-AD$114) /ABS(AD$114)</f>
        <v>-0.49970157047900859</v>
      </c>
      <c r="AJ32" s="11">
        <f>(Opti_Medias__30_OOS_1[[#This Row],[All: Robustness Index]]-AE$114) /ABS(AE$114)</f>
        <v>-0.66961990964198848</v>
      </c>
      <c r="AK32" s="11">
        <f>SUM(Opti_Medias__30_OOS_1[[#This Row],[VAR TS Index]:[VAR Robustness Index]])</f>
        <v>-2.7194638430191223</v>
      </c>
      <c r="AL32" s="11">
        <f>Opti_Medias__30_OOS_1[[#This Row],[SUMA]]-Opti_Medias__30_OOS_1[[#This Row],[VAR Robustness Index]]</f>
        <v>-2.0498439333771339</v>
      </c>
    </row>
    <row r="33" spans="1:38" x14ac:dyDescent="0.25">
      <c r="A33" s="11"/>
      <c r="B33" s="89">
        <v>23</v>
      </c>
      <c r="C33" s="89">
        <v>8</v>
      </c>
      <c r="D33" s="89">
        <v>338</v>
      </c>
      <c r="E33" s="10">
        <v>114810</v>
      </c>
      <c r="F33" s="10">
        <v>692480</v>
      </c>
      <c r="G33" s="10">
        <v>-577670</v>
      </c>
      <c r="H33" s="89">
        <v>1492</v>
      </c>
      <c r="I33" s="11">
        <v>35.321715817694368</v>
      </c>
      <c r="J33" s="89">
        <v>527</v>
      </c>
      <c r="K33" s="89">
        <v>962</v>
      </c>
      <c r="L33" s="12">
        <v>16430</v>
      </c>
      <c r="M33" s="12">
        <v>-4100</v>
      </c>
      <c r="N33" s="12">
        <v>1314.0037841796875</v>
      </c>
      <c r="O33" s="12">
        <v>-600.48858642578125</v>
      </c>
      <c r="P33" s="11">
        <v>2.1882244123920489</v>
      </c>
      <c r="Q33" s="13">
        <v>76.950402144772113</v>
      </c>
      <c r="R33" s="89">
        <v>11</v>
      </c>
      <c r="S33" s="89">
        <v>12</v>
      </c>
      <c r="T33" s="89">
        <v>76</v>
      </c>
      <c r="U33" s="89">
        <v>24</v>
      </c>
      <c r="V33" s="12">
        <v>-26005</v>
      </c>
      <c r="W33" s="11">
        <v>1.198746689286271</v>
      </c>
      <c r="X33" s="89">
        <v>1</v>
      </c>
      <c r="Y33" s="12">
        <v>26005</v>
      </c>
      <c r="Z33" s="11">
        <v>441.49202076523744</v>
      </c>
      <c r="AA33" s="14">
        <v>2326.6629494328013</v>
      </c>
      <c r="AB33" s="11">
        <v>7.5062770355442995E-2</v>
      </c>
      <c r="AC33" s="11">
        <v>1.0326992572556331</v>
      </c>
      <c r="AD33" s="15">
        <v>104986.06394049553</v>
      </c>
      <c r="AE33" s="11">
        <v>207.36414162815015</v>
      </c>
      <c r="AF33" s="11">
        <f>(Opti_Medias__30_OOS_1[[#This Row],[All: TS Index]]-AA$114) /ABS(AA$114)</f>
        <v>-0.72446370514823966</v>
      </c>
      <c r="AG33" s="11">
        <f>(Opti_Medias__30_OOS_1[[#This Row],[All: Expectancy Score]]-AB$114) /ABS(AB$114)</f>
        <v>-0.85164185302970075</v>
      </c>
      <c r="AH33" s="11"/>
      <c r="AI33" s="11">
        <f>(Opti_Medias__30_OOS_1[[#This Row],[All: Perfect Profit Correlation]]-AD$114) /ABS(AD$114)</f>
        <v>-0.49514169930324714</v>
      </c>
      <c r="AJ33" s="11">
        <f>(Opti_Medias__30_OOS_1[[#This Row],[All: Robustness Index]]-AE$114) /ABS(AE$114)</f>
        <v>-0.75092349748916321</v>
      </c>
      <c r="AK33" s="11">
        <f>SUM(Opti_Medias__30_OOS_1[[#This Row],[VAR TS Index]:[VAR Robustness Index]])</f>
        <v>-2.822170754970351</v>
      </c>
      <c r="AL33" s="11">
        <f>Opti_Medias__30_OOS_1[[#This Row],[SUMA]]-Opti_Medias__30_OOS_1[[#This Row],[VAR Robustness Index]]</f>
        <v>-2.071247257481188</v>
      </c>
    </row>
    <row r="34" spans="1:38" x14ac:dyDescent="0.25">
      <c r="A34" s="11"/>
      <c r="B34" s="89">
        <v>22</v>
      </c>
      <c r="C34" s="89">
        <v>11</v>
      </c>
      <c r="D34" s="89">
        <v>472</v>
      </c>
      <c r="E34" s="10">
        <v>113880</v>
      </c>
      <c r="F34" s="10">
        <v>738200</v>
      </c>
      <c r="G34" s="10">
        <v>-624320</v>
      </c>
      <c r="H34" s="89">
        <v>1544</v>
      </c>
      <c r="I34" s="11">
        <v>44.365284974093264</v>
      </c>
      <c r="J34" s="89">
        <v>685</v>
      </c>
      <c r="K34" s="89">
        <v>852</v>
      </c>
      <c r="L34" s="12">
        <v>11250</v>
      </c>
      <c r="M34" s="12">
        <v>-4790</v>
      </c>
      <c r="N34" s="12">
        <v>1077.6641845703125</v>
      </c>
      <c r="O34" s="12">
        <v>-732.76995849609375</v>
      </c>
      <c r="P34" s="11">
        <v>1.4706718965145149</v>
      </c>
      <c r="Q34" s="13">
        <v>73.756476683937819</v>
      </c>
      <c r="R34" s="89">
        <v>7</v>
      </c>
      <c r="S34" s="89">
        <v>11</v>
      </c>
      <c r="T34" s="89">
        <v>59</v>
      </c>
      <c r="U34" s="89">
        <v>26</v>
      </c>
      <c r="V34" s="12">
        <v>-23995</v>
      </c>
      <c r="W34" s="11">
        <v>1.182406458226551</v>
      </c>
      <c r="X34" s="89">
        <v>1</v>
      </c>
      <c r="Y34" s="12">
        <v>23995</v>
      </c>
      <c r="Z34" s="11">
        <v>474.59887476557617</v>
      </c>
      <c r="AA34" s="14">
        <v>3251.0022921441969</v>
      </c>
      <c r="AB34" s="11">
        <v>1.2059345338372E-2</v>
      </c>
      <c r="AC34" s="11">
        <v>1.0706367859443511</v>
      </c>
      <c r="AD34" s="15">
        <v>106378.9527690246</v>
      </c>
      <c r="AE34" s="11">
        <v>382.9423610291488</v>
      </c>
      <c r="AF34" s="11">
        <f>(Opti_Medias__30_OOS_1[[#This Row],[All: TS Index]]-AA$114) /ABS(AA$114)</f>
        <v>-0.61499832781952168</v>
      </c>
      <c r="AG34" s="11">
        <f>(Opti_Medias__30_OOS_1[[#This Row],[All: Expectancy Score]]-AB$114) /ABS(AB$114)</f>
        <v>-0.97616525316606495</v>
      </c>
      <c r="AH34" s="11"/>
      <c r="AI34" s="11">
        <f>(Opti_Medias__30_OOS_1[[#This Row],[All: Perfect Profit Correlation]]-AD$114) /ABS(AD$114)</f>
        <v>-0.48844355803919087</v>
      </c>
      <c r="AJ34" s="11">
        <f>(Opti_Medias__30_OOS_1[[#This Row],[All: Robustness Index]]-AE$114) /ABS(AE$114)</f>
        <v>-0.54002681852572421</v>
      </c>
      <c r="AK34" s="11">
        <f>SUM(Opti_Medias__30_OOS_1[[#This Row],[VAR TS Index]:[VAR Robustness Index]])</f>
        <v>-2.6196339575505019</v>
      </c>
      <c r="AL34" s="11">
        <f>Opti_Medias__30_OOS_1[[#This Row],[SUMA]]-Opti_Medias__30_OOS_1[[#This Row],[VAR Robustness Index]]</f>
        <v>-2.0796071390247777</v>
      </c>
    </row>
    <row r="35" spans="1:38" x14ac:dyDescent="0.25">
      <c r="A35" s="11"/>
      <c r="B35" s="89">
        <v>21</v>
      </c>
      <c r="C35" s="89">
        <v>8</v>
      </c>
      <c r="D35" s="89">
        <v>336</v>
      </c>
      <c r="E35" s="10">
        <v>120050</v>
      </c>
      <c r="F35" s="10">
        <v>697540</v>
      </c>
      <c r="G35" s="10">
        <v>-577490</v>
      </c>
      <c r="H35" s="89">
        <v>1496</v>
      </c>
      <c r="I35" s="11">
        <v>35.828877005347593</v>
      </c>
      <c r="J35" s="89">
        <v>536</v>
      </c>
      <c r="K35" s="89">
        <v>955</v>
      </c>
      <c r="L35" s="12">
        <v>16430</v>
      </c>
      <c r="M35" s="12">
        <v>-4100</v>
      </c>
      <c r="N35" s="12">
        <v>1301.380615234375</v>
      </c>
      <c r="O35" s="12">
        <v>-604.70159912109375</v>
      </c>
      <c r="P35" s="11">
        <v>2.152103809756535</v>
      </c>
      <c r="Q35" s="13">
        <v>80.247326203208559</v>
      </c>
      <c r="R35" s="89">
        <v>11</v>
      </c>
      <c r="S35" s="89">
        <v>11</v>
      </c>
      <c r="T35" s="89">
        <v>74</v>
      </c>
      <c r="U35" s="89">
        <v>24</v>
      </c>
      <c r="V35" s="12">
        <v>-28055</v>
      </c>
      <c r="W35" s="11">
        <v>1.2078823875738109</v>
      </c>
      <c r="X35" s="89">
        <v>1</v>
      </c>
      <c r="Y35" s="12">
        <v>28055</v>
      </c>
      <c r="Z35" s="11">
        <v>427.90946355373376</v>
      </c>
      <c r="AA35" s="14">
        <v>2293.5947246480127</v>
      </c>
      <c r="AB35" s="11">
        <v>3.9491871258229998E-2</v>
      </c>
      <c r="AC35" s="11">
        <v>1.0860799847741329</v>
      </c>
      <c r="AD35" s="15">
        <v>110535.64161732179</v>
      </c>
      <c r="AE35" s="11">
        <v>218.92971604857414</v>
      </c>
      <c r="AF35" s="11">
        <f>(Opti_Medias__30_OOS_1[[#This Row],[All: TS Index]]-AA$114) /ABS(AA$114)</f>
        <v>-0.72837982722202221</v>
      </c>
      <c r="AG35" s="11">
        <f>(Opti_Medias__30_OOS_1[[#This Row],[All: Expectancy Score]]-AB$114) /ABS(AB$114)</f>
        <v>-0.92194611506453972</v>
      </c>
      <c r="AH35" s="11"/>
      <c r="AI35" s="11">
        <f>(Opti_Medias__30_OOS_1[[#This Row],[All: Perfect Profit Correlation]]-AD$114) /ABS(AD$114)</f>
        <v>-0.46845482058479998</v>
      </c>
      <c r="AJ35" s="11">
        <f>(Opti_Medias__30_OOS_1[[#This Row],[All: Robustness Index]]-AE$114) /ABS(AE$114)</f>
        <v>-0.73703144844177404</v>
      </c>
      <c r="AK35" s="11">
        <f>SUM(Opti_Medias__30_OOS_1[[#This Row],[VAR TS Index]:[VAR Robustness Index]])</f>
        <v>-2.8558122113131357</v>
      </c>
      <c r="AL35" s="11">
        <f>Opti_Medias__30_OOS_1[[#This Row],[SUMA]]-Opti_Medias__30_OOS_1[[#This Row],[VAR Robustness Index]]</f>
        <v>-2.1187807628713617</v>
      </c>
    </row>
    <row r="36" spans="1:38" x14ac:dyDescent="0.25">
      <c r="A36" s="11"/>
      <c r="B36" s="89">
        <v>15</v>
      </c>
      <c r="C36" s="89">
        <v>8</v>
      </c>
      <c r="D36" s="89">
        <v>330</v>
      </c>
      <c r="E36" s="10">
        <v>122020</v>
      </c>
      <c r="F36" s="10">
        <v>719620</v>
      </c>
      <c r="G36" s="10">
        <v>-597600</v>
      </c>
      <c r="H36" s="89">
        <v>1546</v>
      </c>
      <c r="I36" s="11">
        <v>37.128072445019406</v>
      </c>
      <c r="J36" s="89">
        <v>574</v>
      </c>
      <c r="K36" s="89">
        <v>962</v>
      </c>
      <c r="L36" s="12">
        <v>11750</v>
      </c>
      <c r="M36" s="12">
        <v>-5140</v>
      </c>
      <c r="N36" s="12">
        <v>1253.693359375</v>
      </c>
      <c r="O36" s="12">
        <v>-621.205810546875</v>
      </c>
      <c r="P36" s="11">
        <v>2.0181610314805618</v>
      </c>
      <c r="Q36" s="13">
        <v>78.926261319534277</v>
      </c>
      <c r="R36" s="89">
        <v>6</v>
      </c>
      <c r="S36" s="89">
        <v>16</v>
      </c>
      <c r="T36" s="89">
        <v>68</v>
      </c>
      <c r="U36" s="89">
        <v>25</v>
      </c>
      <c r="V36" s="12">
        <v>-31585</v>
      </c>
      <c r="W36" s="11">
        <v>1.2041834002677381</v>
      </c>
      <c r="X36" s="89">
        <v>1</v>
      </c>
      <c r="Y36" s="12">
        <v>31585</v>
      </c>
      <c r="Z36" s="11">
        <v>386.32262149754632</v>
      </c>
      <c r="AA36" s="14">
        <v>2217.4918473959156</v>
      </c>
      <c r="AB36" s="11">
        <v>3.8803920043373998E-2</v>
      </c>
      <c r="AC36" s="11">
        <v>1.1125103883383141</v>
      </c>
      <c r="AD36" s="15">
        <v>111735.54931160719</v>
      </c>
      <c r="AE36" s="11">
        <v>233.56628583386984</v>
      </c>
      <c r="AF36" s="11">
        <f>(Opti_Medias__30_OOS_1[[#This Row],[All: TS Index]]-AA$114) /ABS(AA$114)</f>
        <v>-0.73739235085838006</v>
      </c>
      <c r="AG36" s="11">
        <f>(Opti_Medias__30_OOS_1[[#This Row],[All: Expectancy Score]]-AB$114) /ABS(AB$114)</f>
        <v>-0.92330581930885025</v>
      </c>
      <c r="AH36" s="11"/>
      <c r="AI36" s="11">
        <f>(Opti_Medias__30_OOS_1[[#This Row],[All: Perfect Profit Correlation]]-AD$114) /ABS(AD$114)</f>
        <v>-0.46268468941888419</v>
      </c>
      <c r="AJ36" s="11">
        <f>(Opti_Medias__30_OOS_1[[#This Row],[All: Robustness Index]]-AE$114) /ABS(AE$114)</f>
        <v>-0.7194506575574241</v>
      </c>
      <c r="AK36" s="11">
        <f>SUM(Opti_Medias__30_OOS_1[[#This Row],[VAR TS Index]:[VAR Robustness Index]])</f>
        <v>-2.8428335171435388</v>
      </c>
      <c r="AL36" s="11">
        <f>Opti_Medias__30_OOS_1[[#This Row],[SUMA]]-Opti_Medias__30_OOS_1[[#This Row],[VAR Robustness Index]]</f>
        <v>-2.1233828595861146</v>
      </c>
    </row>
    <row r="37" spans="1:38" x14ac:dyDescent="0.25">
      <c r="A37" s="11"/>
      <c r="B37" s="89">
        <v>27</v>
      </c>
      <c r="C37" s="89">
        <v>8</v>
      </c>
      <c r="D37" s="89">
        <v>342</v>
      </c>
      <c r="E37" s="10">
        <v>118370</v>
      </c>
      <c r="F37" s="10">
        <v>698260</v>
      </c>
      <c r="G37" s="10">
        <v>-579890</v>
      </c>
      <c r="H37" s="89">
        <v>1496</v>
      </c>
      <c r="I37" s="11">
        <v>34.69251336898396</v>
      </c>
      <c r="J37" s="89">
        <v>519</v>
      </c>
      <c r="K37" s="89">
        <v>974</v>
      </c>
      <c r="L37" s="12">
        <v>16430</v>
      </c>
      <c r="M37" s="12">
        <v>-4100</v>
      </c>
      <c r="N37" s="12">
        <v>1345.39501953125</v>
      </c>
      <c r="O37" s="12">
        <v>-595.36962890625</v>
      </c>
      <c r="P37" s="11">
        <v>2.2597642778703162</v>
      </c>
      <c r="Q37" s="13">
        <v>79.12433155080214</v>
      </c>
      <c r="R37" s="89">
        <v>11</v>
      </c>
      <c r="S37" s="89">
        <v>11</v>
      </c>
      <c r="T37" s="89">
        <v>77</v>
      </c>
      <c r="U37" s="89">
        <v>24</v>
      </c>
      <c r="V37" s="12">
        <v>-30225</v>
      </c>
      <c r="W37" s="11">
        <v>1.204124920243494</v>
      </c>
      <c r="X37" s="89">
        <v>1</v>
      </c>
      <c r="Y37" s="12">
        <v>30225</v>
      </c>
      <c r="Z37" s="11">
        <v>391.62944582299423</v>
      </c>
      <c r="AA37" s="14">
        <v>2032.55682382134</v>
      </c>
      <c r="AB37" s="11">
        <v>6.1110070810643E-2</v>
      </c>
      <c r="AC37" s="11">
        <v>1.063006619514163</v>
      </c>
      <c r="AD37" s="15">
        <v>104484.08150021842</v>
      </c>
      <c r="AE37" s="11">
        <v>246.93832546864161</v>
      </c>
      <c r="AF37" s="11">
        <f>(Opti_Medias__30_OOS_1[[#This Row],[All: TS Index]]-AA$114) /ABS(AA$114)</f>
        <v>-0.75929337919447126</v>
      </c>
      <c r="AG37" s="11">
        <f>(Opti_Medias__30_OOS_1[[#This Row],[All: Expectancy Score]]-AB$114) /ABS(AB$114)</f>
        <v>-0.87921872822226099</v>
      </c>
      <c r="AH37" s="11"/>
      <c r="AI37" s="11">
        <f>(Opti_Medias__30_OOS_1[[#This Row],[All: Perfect Profit Correlation]]-AD$114) /ABS(AD$114)</f>
        <v>-0.49755563875640679</v>
      </c>
      <c r="AJ37" s="11">
        <f>(Opti_Medias__30_OOS_1[[#This Row],[All: Robustness Index]]-AE$114) /ABS(AE$114)</f>
        <v>-0.70338876355051405</v>
      </c>
      <c r="AK37" s="11">
        <f>SUM(Opti_Medias__30_OOS_1[[#This Row],[VAR TS Index]:[VAR Robustness Index]])</f>
        <v>-2.8394565097236528</v>
      </c>
      <c r="AL37" s="11">
        <f>Opti_Medias__30_OOS_1[[#This Row],[SUMA]]-Opti_Medias__30_OOS_1[[#This Row],[VAR Robustness Index]]</f>
        <v>-2.136067746173139</v>
      </c>
    </row>
    <row r="38" spans="1:38" x14ac:dyDescent="0.25">
      <c r="A38" s="11"/>
      <c r="B38" s="89">
        <v>19</v>
      </c>
      <c r="C38" s="89">
        <v>11</v>
      </c>
      <c r="D38" s="89">
        <v>469</v>
      </c>
      <c r="E38" s="10">
        <v>114410</v>
      </c>
      <c r="F38" s="10">
        <v>736170</v>
      </c>
      <c r="G38" s="10">
        <v>-621760</v>
      </c>
      <c r="H38" s="89">
        <v>1512</v>
      </c>
      <c r="I38" s="11">
        <v>45.5026455026455</v>
      </c>
      <c r="J38" s="89">
        <v>688</v>
      </c>
      <c r="K38" s="89">
        <v>815</v>
      </c>
      <c r="L38" s="12">
        <v>12170</v>
      </c>
      <c r="M38" s="12">
        <v>-4670</v>
      </c>
      <c r="N38" s="12">
        <v>1070.0145263671875</v>
      </c>
      <c r="O38" s="12">
        <v>-762.89569091796875</v>
      </c>
      <c r="P38" s="11">
        <v>1.402569891408971</v>
      </c>
      <c r="Q38" s="13">
        <v>75.667989417989418</v>
      </c>
      <c r="R38" s="89">
        <v>7</v>
      </c>
      <c r="S38" s="89">
        <v>8</v>
      </c>
      <c r="T38" s="89">
        <v>58</v>
      </c>
      <c r="U38" s="89">
        <v>28</v>
      </c>
      <c r="V38" s="12">
        <v>-31845</v>
      </c>
      <c r="W38" s="11">
        <v>1.184009907359753</v>
      </c>
      <c r="X38" s="89">
        <v>1</v>
      </c>
      <c r="Y38" s="12">
        <v>31845</v>
      </c>
      <c r="Z38" s="11">
        <v>359.27147118856965</v>
      </c>
      <c r="AA38" s="14">
        <v>2471.7877217773589</v>
      </c>
      <c r="AB38" s="11">
        <v>3.77879442208E-2</v>
      </c>
      <c r="AC38" s="11">
        <v>1.081230847478686</v>
      </c>
      <c r="AD38" s="15">
        <v>101620.11629032997</v>
      </c>
      <c r="AE38" s="11">
        <v>229.28831763700961</v>
      </c>
      <c r="AF38" s="11">
        <f>(Opti_Medias__30_OOS_1[[#This Row],[All: TS Index]]-AA$114) /ABS(AA$114)</f>
        <v>-0.7072772269465849</v>
      </c>
      <c r="AG38" s="11">
        <f>(Opti_Medias__30_OOS_1[[#This Row],[All: Expectancy Score]]-AB$114) /ABS(AB$114)</f>
        <v>-0.92531384925085702</v>
      </c>
      <c r="AH38" s="11"/>
      <c r="AI38" s="11">
        <f>(Opti_Medias__30_OOS_1[[#This Row],[All: Perfect Profit Correlation]]-AD$114) /ABS(AD$114)</f>
        <v>-0.51132791056896298</v>
      </c>
      <c r="AJ38" s="11">
        <f>(Opti_Medias__30_OOS_1[[#This Row],[All: Robustness Index]]-AE$114) /ABS(AE$114)</f>
        <v>-0.72458916100339255</v>
      </c>
      <c r="AK38" s="11">
        <f>SUM(Opti_Medias__30_OOS_1[[#This Row],[VAR TS Index]:[VAR Robustness Index]])</f>
        <v>-2.8685081477697976</v>
      </c>
      <c r="AL38" s="11">
        <f>Opti_Medias__30_OOS_1[[#This Row],[SUMA]]-Opti_Medias__30_OOS_1[[#This Row],[VAR Robustness Index]]</f>
        <v>-2.1439189867664048</v>
      </c>
    </row>
    <row r="39" spans="1:38" x14ac:dyDescent="0.25">
      <c r="A39" s="11"/>
      <c r="B39" s="89">
        <v>33</v>
      </c>
      <c r="C39" s="89">
        <v>11</v>
      </c>
      <c r="D39" s="89">
        <v>483</v>
      </c>
      <c r="E39" s="10">
        <v>111340</v>
      </c>
      <c r="F39" s="10">
        <v>705620</v>
      </c>
      <c r="G39" s="10">
        <v>-594280</v>
      </c>
      <c r="H39" s="89">
        <v>1532</v>
      </c>
      <c r="I39" s="11">
        <v>38.381201044386422</v>
      </c>
      <c r="J39" s="89">
        <v>588</v>
      </c>
      <c r="K39" s="89">
        <v>929</v>
      </c>
      <c r="L39" s="12">
        <v>16510</v>
      </c>
      <c r="M39" s="12">
        <v>-4570</v>
      </c>
      <c r="N39" s="12">
        <v>1200.0340576171875</v>
      </c>
      <c r="O39" s="12">
        <v>-639.6986083984375</v>
      </c>
      <c r="P39" s="11">
        <v>1.875936639320847</v>
      </c>
      <c r="Q39" s="13">
        <v>72.676240208877289</v>
      </c>
      <c r="R39" s="89">
        <v>7</v>
      </c>
      <c r="S39" s="89">
        <v>9</v>
      </c>
      <c r="T39" s="89">
        <v>68</v>
      </c>
      <c r="U39" s="89">
        <v>24</v>
      </c>
      <c r="V39" s="12">
        <v>-36205</v>
      </c>
      <c r="W39" s="11">
        <v>1.1873527630073371</v>
      </c>
      <c r="X39" s="89">
        <v>1</v>
      </c>
      <c r="Y39" s="12">
        <v>36205</v>
      </c>
      <c r="Z39" s="11">
        <v>307.5265847258666</v>
      </c>
      <c r="AA39" s="14">
        <v>1808.2563181880955</v>
      </c>
      <c r="AB39" s="11">
        <v>7.7731579555602004E-2</v>
      </c>
      <c r="AC39" s="11">
        <v>1.01738415982019</v>
      </c>
      <c r="AD39" s="15">
        <v>99838.863205029571</v>
      </c>
      <c r="AE39" s="11">
        <v>190.50887660752514</v>
      </c>
      <c r="AF39" s="11">
        <f>(Opti_Medias__30_OOS_1[[#This Row],[All: TS Index]]-AA$114) /ABS(AA$114)</f>
        <v>-0.78585628563978471</v>
      </c>
      <c r="AG39" s="11">
        <f>(Opti_Medias__30_OOS_1[[#This Row],[All: Expectancy Score]]-AB$114) /ABS(AB$114)</f>
        <v>-0.84636707319306537</v>
      </c>
      <c r="AH39" s="11"/>
      <c r="AI39" s="11">
        <f>(Opti_Medias__30_OOS_1[[#This Row],[All: Perfect Profit Correlation]]-AD$114) /ABS(AD$114)</f>
        <v>-0.51989362274067852</v>
      </c>
      <c r="AJ39" s="11">
        <f>(Opti_Medias__30_OOS_1[[#This Row],[All: Robustness Index]]-AE$114) /ABS(AE$114)</f>
        <v>-0.77116928553750819</v>
      </c>
      <c r="AK39" s="11">
        <f>SUM(Opti_Medias__30_OOS_1[[#This Row],[VAR TS Index]:[VAR Robustness Index]])</f>
        <v>-2.9232862671110369</v>
      </c>
      <c r="AL39" s="11">
        <f>Opti_Medias__30_OOS_1[[#This Row],[SUMA]]-Opti_Medias__30_OOS_1[[#This Row],[VAR Robustness Index]]</f>
        <v>-2.1521169815735286</v>
      </c>
    </row>
    <row r="40" spans="1:38" x14ac:dyDescent="0.25">
      <c r="A40" s="11"/>
      <c r="B40" s="89">
        <v>26</v>
      </c>
      <c r="C40" s="89">
        <v>8</v>
      </c>
      <c r="D40" s="89">
        <v>341</v>
      </c>
      <c r="E40" s="10">
        <v>105230</v>
      </c>
      <c r="F40" s="10">
        <v>692630</v>
      </c>
      <c r="G40" s="10">
        <v>-587400</v>
      </c>
      <c r="H40" s="89">
        <v>1498</v>
      </c>
      <c r="I40" s="11">
        <v>34.512683578104138</v>
      </c>
      <c r="J40" s="89">
        <v>517</v>
      </c>
      <c r="K40" s="89">
        <v>977</v>
      </c>
      <c r="L40" s="12">
        <v>16430</v>
      </c>
      <c r="M40" s="12">
        <v>-4100</v>
      </c>
      <c r="N40" s="12">
        <v>1339.7098388671875</v>
      </c>
      <c r="O40" s="12">
        <v>-601.228271484375</v>
      </c>
      <c r="P40" s="11">
        <v>2.2282881601019402</v>
      </c>
      <c r="Q40" s="13">
        <v>70.246995994659542</v>
      </c>
      <c r="R40" s="89">
        <v>11</v>
      </c>
      <c r="S40" s="89">
        <v>12</v>
      </c>
      <c r="T40" s="89">
        <v>77</v>
      </c>
      <c r="U40" s="89">
        <v>24</v>
      </c>
      <c r="V40" s="12">
        <v>-30145</v>
      </c>
      <c r="W40" s="11">
        <v>1.1791453864487571</v>
      </c>
      <c r="X40" s="89">
        <v>1</v>
      </c>
      <c r="Y40" s="12">
        <v>30145</v>
      </c>
      <c r="Z40" s="11">
        <v>349.07944932824682</v>
      </c>
      <c r="AA40" s="14">
        <v>1804.7407530270359</v>
      </c>
      <c r="AB40" s="11">
        <v>7.8507839142540004E-2</v>
      </c>
      <c r="AC40" s="11">
        <v>0.93560758361033902</v>
      </c>
      <c r="AD40" s="15">
        <v>93552.032459809838</v>
      </c>
      <c r="AE40" s="11">
        <v>232.54104518927298</v>
      </c>
      <c r="AF40" s="11">
        <f>(Opti_Medias__30_OOS_1[[#This Row],[All: TS Index]]-AA$114) /ABS(AA$114)</f>
        <v>-0.78627261831015482</v>
      </c>
      <c r="AG40" s="11">
        <f>(Opti_Medias__30_OOS_1[[#This Row],[All: Expectancy Score]]-AB$114) /ABS(AB$114)</f>
        <v>-0.84483283147322596</v>
      </c>
      <c r="AH40" s="11"/>
      <c r="AI40" s="11">
        <f>(Opti_Medias__30_OOS_1[[#This Row],[All: Perfect Profit Correlation]]-AD$114) /ABS(AD$114)</f>
        <v>-0.55012581325882848</v>
      </c>
      <c r="AJ40" s="11">
        <f>(Opti_Medias__30_OOS_1[[#This Row],[All: Robustness Index]]-AE$114) /ABS(AE$114)</f>
        <v>-0.72068213061724595</v>
      </c>
      <c r="AK40" s="11">
        <f>SUM(Opti_Medias__30_OOS_1[[#This Row],[VAR TS Index]:[VAR Robustness Index]])</f>
        <v>-2.9019133936594552</v>
      </c>
      <c r="AL40" s="11">
        <f>Opti_Medias__30_OOS_1[[#This Row],[SUMA]]-Opti_Medias__30_OOS_1[[#This Row],[VAR Robustness Index]]</f>
        <v>-2.1812312630422093</v>
      </c>
    </row>
    <row r="41" spans="1:38" x14ac:dyDescent="0.25">
      <c r="A41" s="11"/>
      <c r="B41" s="89">
        <v>16</v>
      </c>
      <c r="C41" s="89">
        <v>8</v>
      </c>
      <c r="D41" s="89">
        <v>331</v>
      </c>
      <c r="E41" s="10">
        <v>122280</v>
      </c>
      <c r="F41" s="10">
        <v>716660</v>
      </c>
      <c r="G41" s="10">
        <v>-594380</v>
      </c>
      <c r="H41" s="89">
        <v>1554</v>
      </c>
      <c r="I41" s="11">
        <v>37.129987129987128</v>
      </c>
      <c r="J41" s="89">
        <v>577</v>
      </c>
      <c r="K41" s="89">
        <v>974</v>
      </c>
      <c r="L41" s="12">
        <v>11750</v>
      </c>
      <c r="M41" s="12">
        <v>-4080</v>
      </c>
      <c r="N41" s="12">
        <v>1242.0450439453125</v>
      </c>
      <c r="O41" s="12">
        <v>-610.24639892578125</v>
      </c>
      <c r="P41" s="11">
        <v>2.035317285168234</v>
      </c>
      <c r="Q41" s="13">
        <v>78.687258687258691</v>
      </c>
      <c r="R41" s="89">
        <v>6</v>
      </c>
      <c r="S41" s="89">
        <v>10</v>
      </c>
      <c r="T41" s="89">
        <v>68</v>
      </c>
      <c r="U41" s="89">
        <v>24</v>
      </c>
      <c r="V41" s="12">
        <v>-34265</v>
      </c>
      <c r="W41" s="11">
        <v>1.205726976008614</v>
      </c>
      <c r="X41" s="89">
        <v>1</v>
      </c>
      <c r="Y41" s="12">
        <v>34265</v>
      </c>
      <c r="Z41" s="11">
        <v>356.86560630380853</v>
      </c>
      <c r="AA41" s="14">
        <v>2059.1145483729752</v>
      </c>
      <c r="AB41" s="11">
        <v>1.6371920802086999E-2</v>
      </c>
      <c r="AC41" s="11">
        <v>1.1149021749448069</v>
      </c>
      <c r="AD41" s="15">
        <v>112207.35894279712</v>
      </c>
      <c r="AE41" s="11">
        <v>210.38488243290172</v>
      </c>
      <c r="AF41" s="11">
        <f>(Opti_Medias__30_OOS_1[[#This Row],[All: TS Index]]-AA$114) /ABS(AA$114)</f>
        <v>-0.75614826656677625</v>
      </c>
      <c r="AG41" s="11">
        <f>(Opti_Medias__30_OOS_1[[#This Row],[All: Expectancy Score]]-AB$114) /ABS(AB$114)</f>
        <v>-0.96764164417272946</v>
      </c>
      <c r="AH41" s="11"/>
      <c r="AI41" s="11">
        <f>(Opti_Medias__30_OOS_1[[#This Row],[All: Perfect Profit Correlation]]-AD$114) /ABS(AD$114)</f>
        <v>-0.46041584534839958</v>
      </c>
      <c r="AJ41" s="11">
        <f>(Opti_Medias__30_OOS_1[[#This Row],[All: Robustness Index]]-AE$114) /ABS(AE$114)</f>
        <v>-0.74729511917490055</v>
      </c>
      <c r="AK41" s="11">
        <f>SUM(Opti_Medias__30_OOS_1[[#This Row],[VAR TS Index]:[VAR Robustness Index]])</f>
        <v>-2.9315008752628056</v>
      </c>
      <c r="AL41" s="11">
        <f>Opti_Medias__30_OOS_1[[#This Row],[SUMA]]-Opti_Medias__30_OOS_1[[#This Row],[VAR Robustness Index]]</f>
        <v>-2.1842057560879051</v>
      </c>
    </row>
    <row r="42" spans="1:38" x14ac:dyDescent="0.25">
      <c r="A42" s="11"/>
      <c r="B42" s="89">
        <v>32</v>
      </c>
      <c r="C42" s="89">
        <v>11</v>
      </c>
      <c r="D42" s="89">
        <v>482</v>
      </c>
      <c r="E42" s="10">
        <v>101260</v>
      </c>
      <c r="F42" s="10">
        <v>696060</v>
      </c>
      <c r="G42" s="10">
        <v>-594800</v>
      </c>
      <c r="H42" s="89">
        <v>1518</v>
      </c>
      <c r="I42" s="11">
        <v>39.657444005270094</v>
      </c>
      <c r="J42" s="89">
        <v>602</v>
      </c>
      <c r="K42" s="89">
        <v>904</v>
      </c>
      <c r="L42" s="12">
        <v>15920</v>
      </c>
      <c r="M42" s="12">
        <v>-4570</v>
      </c>
      <c r="N42" s="12">
        <v>1156.245849609375</v>
      </c>
      <c r="O42" s="12">
        <v>-657.964599609375</v>
      </c>
      <c r="P42" s="11">
        <v>1.757307080496159</v>
      </c>
      <c r="Q42" s="13">
        <v>66.706192358366266</v>
      </c>
      <c r="R42" s="89">
        <v>8</v>
      </c>
      <c r="S42" s="89">
        <v>11</v>
      </c>
      <c r="T42" s="89">
        <v>66</v>
      </c>
      <c r="U42" s="89">
        <v>25</v>
      </c>
      <c r="V42" s="12">
        <v>-28825</v>
      </c>
      <c r="W42" s="11">
        <v>1.1702420981842641</v>
      </c>
      <c r="X42" s="89">
        <v>1</v>
      </c>
      <c r="Y42" s="12">
        <v>28825</v>
      </c>
      <c r="Z42" s="11">
        <v>351.29228100607111</v>
      </c>
      <c r="AA42" s="14">
        <v>2114.779531656548</v>
      </c>
      <c r="AB42" s="11">
        <v>5.6528229450043002E-2</v>
      </c>
      <c r="AC42" s="11">
        <v>0.926734660336475</v>
      </c>
      <c r="AD42" s="15">
        <v>93850.758222965131</v>
      </c>
      <c r="AE42" s="11">
        <v>173.47769981265205</v>
      </c>
      <c r="AF42" s="11">
        <f>(Opti_Medias__30_OOS_1[[#This Row],[All: TS Index]]-AA$114) /ABS(AA$114)</f>
        <v>-0.74955611137271183</v>
      </c>
      <c r="AG42" s="11">
        <f>(Opti_Medias__30_OOS_1[[#This Row],[All: Expectancy Score]]-AB$114) /ABS(AB$114)</f>
        <v>-0.88827452899742121</v>
      </c>
      <c r="AH42" s="11"/>
      <c r="AI42" s="11">
        <f>(Opti_Medias__30_OOS_1[[#This Row],[All: Perfect Profit Correlation]]-AD$114) /ABS(AD$114)</f>
        <v>-0.54868929706324654</v>
      </c>
      <c r="AJ42" s="11">
        <f>(Opti_Medias__30_OOS_1[[#This Row],[All: Robustness Index]]-AE$114) /ABS(AE$114)</f>
        <v>-0.79162637091593235</v>
      </c>
      <c r="AK42" s="11">
        <f>SUM(Opti_Medias__30_OOS_1[[#This Row],[VAR TS Index]:[VAR Robustness Index]])</f>
        <v>-2.978146308349312</v>
      </c>
      <c r="AL42" s="11">
        <f>Opti_Medias__30_OOS_1[[#This Row],[SUMA]]-Opti_Medias__30_OOS_1[[#This Row],[VAR Robustness Index]]</f>
        <v>-2.1865199374333795</v>
      </c>
    </row>
    <row r="43" spans="1:38" x14ac:dyDescent="0.25">
      <c r="A43" s="11"/>
      <c r="B43" s="89">
        <v>22</v>
      </c>
      <c r="C43" s="89">
        <v>8</v>
      </c>
      <c r="D43" s="89">
        <v>337</v>
      </c>
      <c r="E43" s="10">
        <v>117730</v>
      </c>
      <c r="F43" s="10">
        <v>690680</v>
      </c>
      <c r="G43" s="10">
        <v>-572950</v>
      </c>
      <c r="H43" s="89">
        <v>1482</v>
      </c>
      <c r="I43" s="11">
        <v>35.829959514170042</v>
      </c>
      <c r="J43" s="89">
        <v>531</v>
      </c>
      <c r="K43" s="89">
        <v>948</v>
      </c>
      <c r="L43" s="12">
        <v>16430</v>
      </c>
      <c r="M43" s="12">
        <v>-4100</v>
      </c>
      <c r="N43" s="12">
        <v>1300.715576171875</v>
      </c>
      <c r="O43" s="12">
        <v>-604.37762451171875</v>
      </c>
      <c r="P43" s="11">
        <v>2.1521570677318391</v>
      </c>
      <c r="Q43" s="13">
        <v>79.439946018893394</v>
      </c>
      <c r="R43" s="89">
        <v>11</v>
      </c>
      <c r="S43" s="89">
        <v>10</v>
      </c>
      <c r="T43" s="89">
        <v>75</v>
      </c>
      <c r="U43" s="89">
        <v>24</v>
      </c>
      <c r="V43" s="12">
        <v>-28365</v>
      </c>
      <c r="W43" s="11">
        <v>1.205480408412601</v>
      </c>
      <c r="X43" s="89">
        <v>1</v>
      </c>
      <c r="Y43" s="12">
        <v>28365</v>
      </c>
      <c r="Z43" s="11">
        <v>415.05376344086022</v>
      </c>
      <c r="AA43" s="14">
        <v>2203.9354838709678</v>
      </c>
      <c r="AB43" s="11">
        <v>1.5139414485347001E-2</v>
      </c>
      <c r="AC43" s="11">
        <v>1.063655919039411</v>
      </c>
      <c r="AD43" s="15">
        <v>107325.50911099146</v>
      </c>
      <c r="AE43" s="11">
        <v>195.20156532740464</v>
      </c>
      <c r="AF43" s="11">
        <f>(Opti_Medias__30_OOS_1[[#This Row],[All: TS Index]]-AA$114) /ABS(AA$114)</f>
        <v>-0.73899777040496206</v>
      </c>
      <c r="AG43" s="11">
        <f>(Opti_Medias__30_OOS_1[[#This Row],[All: Expectancy Score]]-AB$114) /ABS(AB$114)</f>
        <v>-0.97007763677485259</v>
      </c>
      <c r="AH43" s="11"/>
      <c r="AI43" s="11">
        <f>(Opti_Medias__30_OOS_1[[#This Row],[All: Perfect Profit Correlation]]-AD$114) /ABS(AD$114)</f>
        <v>-0.48389174603307572</v>
      </c>
      <c r="AJ43" s="11">
        <f>(Opti_Medias__30_OOS_1[[#This Row],[All: Robustness Index]]-AE$114) /ABS(AE$114)</f>
        <v>-0.76553263840776664</v>
      </c>
      <c r="AK43" s="11">
        <f>SUM(Opti_Medias__30_OOS_1[[#This Row],[VAR TS Index]:[VAR Robustness Index]])</f>
        <v>-2.9584997916206568</v>
      </c>
      <c r="AL43" s="11">
        <f>Opti_Medias__30_OOS_1[[#This Row],[SUMA]]-Opti_Medias__30_OOS_1[[#This Row],[VAR Robustness Index]]</f>
        <v>-2.1929671532128903</v>
      </c>
    </row>
    <row r="44" spans="1:38" x14ac:dyDescent="0.25">
      <c r="A44" s="11"/>
      <c r="B44" s="89">
        <v>30</v>
      </c>
      <c r="C44" s="89">
        <v>8</v>
      </c>
      <c r="D44" s="89">
        <v>345</v>
      </c>
      <c r="E44" s="10">
        <v>97720</v>
      </c>
      <c r="F44" s="10">
        <v>701830</v>
      </c>
      <c r="G44" s="10">
        <v>-604110</v>
      </c>
      <c r="H44" s="89">
        <v>1540</v>
      </c>
      <c r="I44" s="11">
        <v>33.766233766233768</v>
      </c>
      <c r="J44" s="89">
        <v>520</v>
      </c>
      <c r="K44" s="89">
        <v>1014</v>
      </c>
      <c r="L44" s="12">
        <v>16600</v>
      </c>
      <c r="M44" s="12">
        <v>-4100</v>
      </c>
      <c r="N44" s="12">
        <v>1349.673095703125</v>
      </c>
      <c r="O44" s="12">
        <v>-595.76922607421875</v>
      </c>
      <c r="P44" s="11">
        <v>2.2654293586070322</v>
      </c>
      <c r="Q44" s="13">
        <v>63.454545454545453</v>
      </c>
      <c r="R44" s="89">
        <v>11</v>
      </c>
      <c r="S44" s="89">
        <v>10</v>
      </c>
      <c r="T44" s="89">
        <v>76</v>
      </c>
      <c r="U44" s="89">
        <v>23</v>
      </c>
      <c r="V44" s="12">
        <v>-27185</v>
      </c>
      <c r="W44" s="11">
        <v>1.161758620118853</v>
      </c>
      <c r="X44" s="89">
        <v>1</v>
      </c>
      <c r="Y44" s="12">
        <v>27185</v>
      </c>
      <c r="Z44" s="11">
        <v>359.46293912083871</v>
      </c>
      <c r="AA44" s="14">
        <v>1869.2072834283613</v>
      </c>
      <c r="AB44" s="11">
        <v>0.105773473228468</v>
      </c>
      <c r="AC44" s="11">
        <v>0.85914016573343099</v>
      </c>
      <c r="AD44" s="15">
        <v>77990.526070933978</v>
      </c>
      <c r="AE44" s="11">
        <v>188.24115577874636</v>
      </c>
      <c r="AF44" s="11">
        <f>(Opti_Medias__30_OOS_1[[#This Row],[All: TS Index]]-AA$114) /ABS(AA$114)</f>
        <v>-0.77863813522653502</v>
      </c>
      <c r="AG44" s="11">
        <f>(Opti_Medias__30_OOS_1[[#This Row],[All: Expectancy Score]]-AB$114) /ABS(AB$114)</f>
        <v>-0.7909435474805897</v>
      </c>
      <c r="AH44" s="11"/>
      <c r="AI44" s="11">
        <f>(Opti_Medias__30_OOS_1[[#This Row],[All: Perfect Profit Correlation]]-AD$114) /ABS(AD$114)</f>
        <v>-0.62495818030730066</v>
      </c>
      <c r="AJ44" s="11">
        <f>(Opti_Medias__30_OOS_1[[#This Row],[All: Robustness Index]]-AE$114) /ABS(AE$114)</f>
        <v>-0.77389317004458025</v>
      </c>
      <c r="AK44" s="11">
        <f>SUM(Opti_Medias__30_OOS_1[[#This Row],[VAR TS Index]:[VAR Robustness Index]])</f>
        <v>-2.9684330330590059</v>
      </c>
      <c r="AL44" s="11">
        <f>Opti_Medias__30_OOS_1[[#This Row],[SUMA]]-Opti_Medias__30_OOS_1[[#This Row],[VAR Robustness Index]]</f>
        <v>-2.1945398630144255</v>
      </c>
    </row>
    <row r="45" spans="1:38" x14ac:dyDescent="0.25">
      <c r="A45" s="11"/>
      <c r="B45" s="89">
        <v>14</v>
      </c>
      <c r="C45" s="89">
        <v>8</v>
      </c>
      <c r="D45" s="89">
        <v>329</v>
      </c>
      <c r="E45" s="10">
        <v>104160</v>
      </c>
      <c r="F45" s="10">
        <v>723990</v>
      </c>
      <c r="G45" s="10">
        <v>-619830</v>
      </c>
      <c r="H45" s="89">
        <v>1564</v>
      </c>
      <c r="I45" s="11">
        <v>37.148337595907925</v>
      </c>
      <c r="J45" s="89">
        <v>581</v>
      </c>
      <c r="K45" s="89">
        <v>974</v>
      </c>
      <c r="L45" s="12">
        <v>11690</v>
      </c>
      <c r="M45" s="12">
        <v>-5140</v>
      </c>
      <c r="N45" s="12">
        <v>1246.110107421875</v>
      </c>
      <c r="O45" s="12">
        <v>-636.37579345703125</v>
      </c>
      <c r="P45" s="11">
        <v>1.958135617718171</v>
      </c>
      <c r="Q45" s="13">
        <v>66.598465473145779</v>
      </c>
      <c r="R45" s="89">
        <v>6</v>
      </c>
      <c r="S45" s="89">
        <v>14</v>
      </c>
      <c r="T45" s="89">
        <v>67</v>
      </c>
      <c r="U45" s="89">
        <v>24</v>
      </c>
      <c r="V45" s="12">
        <v>-31635</v>
      </c>
      <c r="W45" s="11">
        <v>1.1680460771501859</v>
      </c>
      <c r="X45" s="89">
        <v>1</v>
      </c>
      <c r="Y45" s="12">
        <v>31635</v>
      </c>
      <c r="Z45" s="11">
        <v>329.25557136083449</v>
      </c>
      <c r="AA45" s="14">
        <v>1912.9748696064485</v>
      </c>
      <c r="AB45" s="11">
        <v>6.3828236305693994E-2</v>
      </c>
      <c r="AC45" s="11">
        <v>0.93984467884071998</v>
      </c>
      <c r="AD45" s="15">
        <v>93325.109240686492</v>
      </c>
      <c r="AE45" s="11">
        <v>189.67019521105792</v>
      </c>
      <c r="AF45" s="11">
        <f>(Opti_Medias__30_OOS_1[[#This Row],[All: TS Index]]-AA$114) /ABS(AA$114)</f>
        <v>-0.77345493560019662</v>
      </c>
      <c r="AG45" s="11">
        <f>(Opti_Medias__30_OOS_1[[#This Row],[All: Expectancy Score]]-AB$114) /ABS(AB$114)</f>
        <v>-0.87384639791664054</v>
      </c>
      <c r="AH45" s="11"/>
      <c r="AI45" s="11">
        <f>(Opti_Medias__30_OOS_1[[#This Row],[All: Perfect Profit Correlation]]-AD$114) /ABS(AD$114)</f>
        <v>-0.55121704448033781</v>
      </c>
      <c r="AJ45" s="11">
        <f>(Opti_Medias__30_OOS_1[[#This Row],[All: Robustness Index]]-AE$114) /ABS(AE$114)</f>
        <v>-0.77217667199937567</v>
      </c>
      <c r="AK45" s="11">
        <f>SUM(Opti_Medias__30_OOS_1[[#This Row],[VAR TS Index]:[VAR Robustness Index]])</f>
        <v>-2.9706950499965505</v>
      </c>
      <c r="AL45" s="11">
        <f>Opti_Medias__30_OOS_1[[#This Row],[SUMA]]-Opti_Medias__30_OOS_1[[#This Row],[VAR Robustness Index]]</f>
        <v>-2.1985183779971749</v>
      </c>
    </row>
    <row r="46" spans="1:38" x14ac:dyDescent="0.25">
      <c r="A46" s="11"/>
      <c r="B46" s="89">
        <v>27</v>
      </c>
      <c r="C46" s="89">
        <v>1</v>
      </c>
      <c r="D46" s="89">
        <v>27</v>
      </c>
      <c r="E46" s="10">
        <v>97030</v>
      </c>
      <c r="F46" s="10">
        <v>675390</v>
      </c>
      <c r="G46" s="10">
        <v>-578360</v>
      </c>
      <c r="H46" s="89">
        <v>1465</v>
      </c>
      <c r="I46" s="11">
        <v>37.201365187713307</v>
      </c>
      <c r="J46" s="89">
        <v>545</v>
      </c>
      <c r="K46" s="89">
        <v>911</v>
      </c>
      <c r="L46" s="12">
        <v>12620</v>
      </c>
      <c r="M46" s="12">
        <v>-4970</v>
      </c>
      <c r="N46" s="12">
        <v>1239.2476806640625</v>
      </c>
      <c r="O46" s="12">
        <v>-634.86279296875</v>
      </c>
      <c r="P46" s="11">
        <v>1.9519929256982971</v>
      </c>
      <c r="Q46" s="13">
        <v>66.232081911262796</v>
      </c>
      <c r="R46" s="89">
        <v>5</v>
      </c>
      <c r="S46" s="89">
        <v>12</v>
      </c>
      <c r="T46" s="89">
        <v>72</v>
      </c>
      <c r="U46" s="89">
        <v>26</v>
      </c>
      <c r="V46" s="12">
        <v>-27335</v>
      </c>
      <c r="W46" s="11">
        <v>1.167767480461996</v>
      </c>
      <c r="X46" s="89">
        <v>1</v>
      </c>
      <c r="Y46" s="12">
        <v>27335</v>
      </c>
      <c r="Z46" s="11">
        <v>354.96616059996342</v>
      </c>
      <c r="AA46" s="14">
        <v>1934.5655752698005</v>
      </c>
      <c r="AB46" s="11">
        <v>6.8510661747754997E-2</v>
      </c>
      <c r="AC46" s="11">
        <v>0.872613926678656</v>
      </c>
      <c r="AD46" s="15">
        <v>89423.971156426254</v>
      </c>
      <c r="AE46" s="11">
        <v>252.85513686653655</v>
      </c>
      <c r="AF46" s="11">
        <f>(Opti_Medias__30_OOS_1[[#This Row],[All: TS Index]]-AA$114) /ABS(AA$114)</f>
        <v>-0.770898044820995</v>
      </c>
      <c r="AG46" s="11">
        <f>(Opti_Medias__30_OOS_1[[#This Row],[All: Expectancy Score]]-AB$114) /ABS(AB$114)</f>
        <v>-0.86459179728544522</v>
      </c>
      <c r="AH46" s="11"/>
      <c r="AI46" s="11">
        <f>(Opti_Medias__30_OOS_1[[#This Row],[All: Perfect Profit Correlation]]-AD$114) /ABS(AD$114)</f>
        <v>-0.56997688621627818</v>
      </c>
      <c r="AJ46" s="11">
        <f>(Opti_Medias__30_OOS_1[[#This Row],[All: Robustness Index]]-AE$114) /ABS(AE$114)</f>
        <v>-0.69628175518622959</v>
      </c>
      <c r="AK46" s="11">
        <f>SUM(Opti_Medias__30_OOS_1[[#This Row],[VAR TS Index]:[VAR Robustness Index]])</f>
        <v>-2.901748483508948</v>
      </c>
      <c r="AL46" s="11">
        <f>Opti_Medias__30_OOS_1[[#This Row],[SUMA]]-Opti_Medias__30_OOS_1[[#This Row],[VAR Robustness Index]]</f>
        <v>-2.2054667283227185</v>
      </c>
    </row>
    <row r="47" spans="1:38" x14ac:dyDescent="0.25">
      <c r="A47" s="11"/>
      <c r="B47" s="89">
        <v>30</v>
      </c>
      <c r="C47" s="89">
        <v>1</v>
      </c>
      <c r="D47" s="89">
        <v>30</v>
      </c>
      <c r="E47" s="10">
        <v>91310</v>
      </c>
      <c r="F47" s="10">
        <v>684480</v>
      </c>
      <c r="G47" s="10">
        <v>-593170</v>
      </c>
      <c r="H47" s="89">
        <v>1493</v>
      </c>
      <c r="I47" s="11">
        <v>36.771600803750836</v>
      </c>
      <c r="J47" s="89">
        <v>549</v>
      </c>
      <c r="K47" s="89">
        <v>937</v>
      </c>
      <c r="L47" s="12">
        <v>15760</v>
      </c>
      <c r="M47" s="12">
        <v>-4120</v>
      </c>
      <c r="N47" s="12">
        <v>1246.7760009765625</v>
      </c>
      <c r="O47" s="12">
        <v>-633.05230712890625</v>
      </c>
      <c r="P47" s="11">
        <v>1.9694675889123421</v>
      </c>
      <c r="Q47" s="13">
        <v>61.15874079035499</v>
      </c>
      <c r="R47" s="89">
        <v>5</v>
      </c>
      <c r="S47" s="89">
        <v>12</v>
      </c>
      <c r="T47" s="89">
        <v>72</v>
      </c>
      <c r="U47" s="89">
        <v>25</v>
      </c>
      <c r="V47" s="12">
        <v>-23475</v>
      </c>
      <c r="W47" s="11">
        <v>1.153935633966654</v>
      </c>
      <c r="X47" s="89">
        <v>1</v>
      </c>
      <c r="Y47" s="12">
        <v>23475</v>
      </c>
      <c r="Z47" s="11">
        <v>388.96698615548456</v>
      </c>
      <c r="AA47" s="14">
        <v>2135.4287539936104</v>
      </c>
      <c r="AB47" s="11">
        <v>7.8152741183667995E-2</v>
      </c>
      <c r="AC47" s="11">
        <v>0.81475124711843205</v>
      </c>
      <c r="AD47" s="15">
        <v>76281.079918878575</v>
      </c>
      <c r="AE47" s="11">
        <v>236.62776190802876</v>
      </c>
      <c r="AF47" s="11">
        <f>(Opti_Medias__30_OOS_1[[#This Row],[All: TS Index]]-AA$114) /ABS(AA$114)</f>
        <v>-0.74711071625619463</v>
      </c>
      <c r="AG47" s="11">
        <f>(Opti_Medias__30_OOS_1[[#This Row],[All: Expectancy Score]]-AB$114) /ABS(AB$114)</f>
        <v>-0.84553466641645714</v>
      </c>
      <c r="AH47" s="11"/>
      <c r="AI47" s="11">
        <f>(Opti_Medias__30_OOS_1[[#This Row],[All: Perfect Profit Correlation]]-AD$114) /ABS(AD$114)</f>
        <v>-0.63317858639804092</v>
      </c>
      <c r="AJ47" s="11">
        <f>(Opti_Medias__30_OOS_1[[#This Row],[All: Robustness Index]]-AE$114) /ABS(AE$114)</f>
        <v>-0.71577334986533758</v>
      </c>
      <c r="AK47" s="11">
        <f>SUM(Opti_Medias__30_OOS_1[[#This Row],[VAR TS Index]:[VAR Robustness Index]])</f>
        <v>-2.9415973189360303</v>
      </c>
      <c r="AL47" s="11">
        <f>Opti_Medias__30_OOS_1[[#This Row],[SUMA]]-Opti_Medias__30_OOS_1[[#This Row],[VAR Robustness Index]]</f>
        <v>-2.2258239690706927</v>
      </c>
    </row>
    <row r="48" spans="1:38" x14ac:dyDescent="0.25">
      <c r="A48" s="11"/>
      <c r="B48" s="89">
        <v>31</v>
      </c>
      <c r="C48" s="89">
        <v>1</v>
      </c>
      <c r="D48" s="89">
        <v>31</v>
      </c>
      <c r="E48" s="10">
        <v>85470</v>
      </c>
      <c r="F48" s="10">
        <v>684320</v>
      </c>
      <c r="G48" s="10">
        <v>-598850</v>
      </c>
      <c r="H48" s="89">
        <v>1509</v>
      </c>
      <c r="I48" s="11">
        <v>36.447978793903246</v>
      </c>
      <c r="J48" s="89">
        <v>550</v>
      </c>
      <c r="K48" s="89">
        <v>955</v>
      </c>
      <c r="L48" s="12">
        <v>16490</v>
      </c>
      <c r="M48" s="12">
        <v>-3850</v>
      </c>
      <c r="N48" s="12">
        <v>1244.2181396484375</v>
      </c>
      <c r="O48" s="12">
        <v>-627.06805419921875</v>
      </c>
      <c r="P48" s="11">
        <v>1.9841835847264371</v>
      </c>
      <c r="Q48" s="13">
        <v>56.640159045725646</v>
      </c>
      <c r="R48" s="89">
        <v>6</v>
      </c>
      <c r="S48" s="89">
        <v>12</v>
      </c>
      <c r="T48" s="89">
        <v>71</v>
      </c>
      <c r="U48" s="89">
        <v>25</v>
      </c>
      <c r="V48" s="12">
        <v>-26255</v>
      </c>
      <c r="W48" s="11">
        <v>1.142723553477498</v>
      </c>
      <c r="X48" s="89">
        <v>1</v>
      </c>
      <c r="Y48" s="12">
        <v>26255</v>
      </c>
      <c r="Z48" s="11">
        <v>325.53799276328317</v>
      </c>
      <c r="AA48" s="14">
        <v>1790.4589601980574</v>
      </c>
      <c r="AB48" s="11">
        <v>0.117961260012425</v>
      </c>
      <c r="AC48" s="11">
        <v>0.75668828081325701</v>
      </c>
      <c r="AD48" s="15">
        <v>66784.604133868736</v>
      </c>
      <c r="AE48" s="11">
        <v>183.2011576247385</v>
      </c>
      <c r="AF48" s="11">
        <f>(Opti_Medias__30_OOS_1[[#This Row],[All: TS Index]]-AA$114) /ABS(AA$114)</f>
        <v>-0.78796394720714713</v>
      </c>
      <c r="AG48" s="11">
        <f>(Opti_Medias__30_OOS_1[[#This Row],[All: Expectancy Score]]-AB$114) /ABS(AB$114)</f>
        <v>-0.76685494197915616</v>
      </c>
      <c r="AH48" s="11"/>
      <c r="AI48" s="11">
        <f>(Opti_Medias__30_OOS_1[[#This Row],[All: Perfect Profit Correlation]]-AD$114) /ABS(AD$114)</f>
        <v>-0.67884535822925562</v>
      </c>
      <c r="AJ48" s="11">
        <f>(Opti_Medias__30_OOS_1[[#This Row],[All: Robustness Index]]-AE$114) /ABS(AE$114)</f>
        <v>-0.77994698968284959</v>
      </c>
      <c r="AK48" s="11">
        <f>SUM(Opti_Medias__30_OOS_1[[#This Row],[VAR TS Index]:[VAR Robustness Index]])</f>
        <v>-3.0136112370984085</v>
      </c>
      <c r="AL48" s="11">
        <f>Opti_Medias__30_OOS_1[[#This Row],[SUMA]]-Opti_Medias__30_OOS_1[[#This Row],[VAR Robustness Index]]</f>
        <v>-2.2336642474155588</v>
      </c>
    </row>
    <row r="49" spans="1:38" x14ac:dyDescent="0.25">
      <c r="A49" s="11"/>
      <c r="B49" s="89">
        <v>23</v>
      </c>
      <c r="C49" s="89">
        <v>11</v>
      </c>
      <c r="D49" s="89">
        <v>473</v>
      </c>
      <c r="E49" s="10">
        <v>94850</v>
      </c>
      <c r="F49" s="10">
        <v>731110</v>
      </c>
      <c r="G49" s="10">
        <v>-636260</v>
      </c>
      <c r="H49" s="89">
        <v>1580</v>
      </c>
      <c r="I49" s="11">
        <v>43.670886075949369</v>
      </c>
      <c r="J49" s="89">
        <v>690</v>
      </c>
      <c r="K49" s="89">
        <v>886</v>
      </c>
      <c r="L49" s="12">
        <v>8940</v>
      </c>
      <c r="M49" s="12">
        <v>-4570</v>
      </c>
      <c r="N49" s="12">
        <v>1059.5797119140625</v>
      </c>
      <c r="O49" s="12">
        <v>-718.12640380859375</v>
      </c>
      <c r="P49" s="11">
        <v>1.4754780026114711</v>
      </c>
      <c r="Q49" s="13">
        <v>60.031645569620252</v>
      </c>
      <c r="R49" s="89">
        <v>7</v>
      </c>
      <c r="S49" s="89">
        <v>11</v>
      </c>
      <c r="T49" s="89">
        <v>58</v>
      </c>
      <c r="U49" s="89">
        <v>26</v>
      </c>
      <c r="V49" s="12">
        <v>-29695</v>
      </c>
      <c r="W49" s="11">
        <v>1.1490742778109579</v>
      </c>
      <c r="X49" s="89">
        <v>1</v>
      </c>
      <c r="Y49" s="12">
        <v>29695</v>
      </c>
      <c r="Z49" s="11">
        <v>319.41404276814279</v>
      </c>
      <c r="AA49" s="14">
        <v>2203.9568951001852</v>
      </c>
      <c r="AB49" s="11">
        <v>6.0069024613412E-2</v>
      </c>
      <c r="AC49" s="11">
        <v>0.88392690718366396</v>
      </c>
      <c r="AD49" s="15">
        <v>79799.52420013558</v>
      </c>
      <c r="AE49" s="11">
        <v>286.86941279588558</v>
      </c>
      <c r="AF49" s="11">
        <f>(Opti_Medias__30_OOS_1[[#This Row],[All: TS Index]]-AA$114) /ABS(AA$114)</f>
        <v>-0.73899523476877615</v>
      </c>
      <c r="AG49" s="11">
        <f>(Opti_Medias__30_OOS_1[[#This Row],[All: Expectancy Score]]-AB$114) /ABS(AB$114)</f>
        <v>-0.88127630861797934</v>
      </c>
      <c r="AH49" s="11"/>
      <c r="AI49" s="11">
        <f>(Opti_Medias__30_OOS_1[[#This Row],[All: Perfect Profit Correlation]]-AD$114) /ABS(AD$114)</f>
        <v>-0.61625904742057802</v>
      </c>
      <c r="AJ49" s="11">
        <f>(Opti_Medias__30_OOS_1[[#This Row],[All: Robustness Index]]-AE$114) /ABS(AE$114)</f>
        <v>-0.65542533315780938</v>
      </c>
      <c r="AK49" s="11">
        <f>SUM(Opti_Medias__30_OOS_1[[#This Row],[VAR TS Index]:[VAR Robustness Index]])</f>
        <v>-2.8919559239651429</v>
      </c>
      <c r="AL49" s="11">
        <f>Opti_Medias__30_OOS_1[[#This Row],[SUMA]]-Opti_Medias__30_OOS_1[[#This Row],[VAR Robustness Index]]</f>
        <v>-2.2365305908073334</v>
      </c>
    </row>
    <row r="50" spans="1:38" x14ac:dyDescent="0.25">
      <c r="A50" s="11"/>
      <c r="B50" s="89">
        <v>18</v>
      </c>
      <c r="C50" s="89">
        <v>11</v>
      </c>
      <c r="D50" s="89">
        <v>468</v>
      </c>
      <c r="E50" s="10">
        <v>108480</v>
      </c>
      <c r="F50" s="10">
        <v>732810</v>
      </c>
      <c r="G50" s="10">
        <v>-624330</v>
      </c>
      <c r="H50" s="89">
        <v>1492</v>
      </c>
      <c r="I50" s="11">
        <v>46.112600536193028</v>
      </c>
      <c r="J50" s="89">
        <v>688</v>
      </c>
      <c r="K50" s="89">
        <v>800</v>
      </c>
      <c r="L50" s="12">
        <v>9300</v>
      </c>
      <c r="M50" s="12">
        <v>-6070</v>
      </c>
      <c r="N50" s="12">
        <v>1065.130859375</v>
      </c>
      <c r="O50" s="12">
        <v>-780.4124755859375</v>
      </c>
      <c r="P50" s="11">
        <v>1.3648306410982149</v>
      </c>
      <c r="Q50" s="13">
        <v>72.707774798927616</v>
      </c>
      <c r="R50" s="89">
        <v>9</v>
      </c>
      <c r="S50" s="89">
        <v>10</v>
      </c>
      <c r="T50" s="89">
        <v>59</v>
      </c>
      <c r="U50" s="89">
        <v>28</v>
      </c>
      <c r="V50" s="12">
        <v>-32955</v>
      </c>
      <c r="W50" s="11">
        <v>1.173754264571621</v>
      </c>
      <c r="X50" s="89">
        <v>1</v>
      </c>
      <c r="Y50" s="12">
        <v>32955</v>
      </c>
      <c r="Z50" s="11">
        <v>329.17614929449252</v>
      </c>
      <c r="AA50" s="14">
        <v>2264.7319071461084</v>
      </c>
      <c r="AB50" s="11">
        <v>5.4381954363480001E-3</v>
      </c>
      <c r="AC50" s="11">
        <v>1.026152795035508</v>
      </c>
      <c r="AD50" s="15">
        <v>97159.633500970274</v>
      </c>
      <c r="AE50" s="11">
        <v>333.8039412706425</v>
      </c>
      <c r="AF50" s="11">
        <f>(Opti_Medias__30_OOS_1[[#This Row],[All: TS Index]]-AA$114) /ABS(AA$114)</f>
        <v>-0.73179792170596802</v>
      </c>
      <c r="AG50" s="11">
        <f>(Opti_Medias__30_OOS_1[[#This Row],[All: Expectancy Score]]-AB$114) /ABS(AB$114)</f>
        <v>-0.98925165439566765</v>
      </c>
      <c r="AH50" s="11"/>
      <c r="AI50" s="11">
        <f>(Opti_Medias__30_OOS_1[[#This Row],[All: Perfect Profit Correlation]]-AD$114) /ABS(AD$114)</f>
        <v>-0.53277753613640588</v>
      </c>
      <c r="AJ50" s="11">
        <f>(Opti_Medias__30_OOS_1[[#This Row],[All: Robustness Index]]-AE$114) /ABS(AE$114)</f>
        <v>-0.59904968350257148</v>
      </c>
      <c r="AK50" s="11">
        <f>SUM(Opti_Medias__30_OOS_1[[#This Row],[VAR TS Index]:[VAR Robustness Index]])</f>
        <v>-2.8528767957406127</v>
      </c>
      <c r="AL50" s="11">
        <f>Opti_Medias__30_OOS_1[[#This Row],[SUMA]]-Opti_Medias__30_OOS_1[[#This Row],[VAR Robustness Index]]</f>
        <v>-2.2538271122380413</v>
      </c>
    </row>
    <row r="51" spans="1:38" x14ac:dyDescent="0.25">
      <c r="A51" s="11"/>
      <c r="B51" s="89">
        <v>29</v>
      </c>
      <c r="C51" s="89">
        <v>11</v>
      </c>
      <c r="D51" s="89">
        <v>479</v>
      </c>
      <c r="E51" s="10">
        <v>90790</v>
      </c>
      <c r="F51" s="10">
        <v>713250</v>
      </c>
      <c r="G51" s="10">
        <v>-622460</v>
      </c>
      <c r="H51" s="89">
        <v>1534</v>
      </c>
      <c r="I51" s="11">
        <v>39.569752281616687</v>
      </c>
      <c r="J51" s="89">
        <v>607</v>
      </c>
      <c r="K51" s="89">
        <v>916</v>
      </c>
      <c r="L51" s="12">
        <v>16550</v>
      </c>
      <c r="M51" s="12">
        <v>-4570</v>
      </c>
      <c r="N51" s="12">
        <v>1175.0411376953125</v>
      </c>
      <c r="O51" s="12">
        <v>-679.54150390625</v>
      </c>
      <c r="P51" s="11">
        <v>1.729167579817791</v>
      </c>
      <c r="Q51" s="13">
        <v>59.185136897001307</v>
      </c>
      <c r="R51" s="89">
        <v>6</v>
      </c>
      <c r="S51" s="89">
        <v>9</v>
      </c>
      <c r="T51" s="89">
        <v>65</v>
      </c>
      <c r="U51" s="89">
        <v>25</v>
      </c>
      <c r="V51" s="12">
        <v>-31755</v>
      </c>
      <c r="W51" s="11">
        <v>1.145856761880282</v>
      </c>
      <c r="X51" s="89">
        <v>1</v>
      </c>
      <c r="Y51" s="12">
        <v>31755</v>
      </c>
      <c r="Z51" s="11">
        <v>285.90773106597385</v>
      </c>
      <c r="AA51" s="14">
        <v>1735.4599275704613</v>
      </c>
      <c r="AB51" s="11">
        <v>6.3851086203779994E-2</v>
      </c>
      <c r="AC51" s="11">
        <v>0.82406732845591701</v>
      </c>
      <c r="AD51" s="15">
        <v>83882.786609728617</v>
      </c>
      <c r="AE51" s="11">
        <v>174.99280239051802</v>
      </c>
      <c r="AF51" s="11">
        <f>(Opti_Medias__30_OOS_1[[#This Row],[All: TS Index]]-AA$114) /ABS(AA$114)</f>
        <v>-0.79447723684127025</v>
      </c>
      <c r="AG51" s="11">
        <f>(Opti_Medias__30_OOS_1[[#This Row],[All: Expectancy Score]]-AB$114) /ABS(AB$114)</f>
        <v>-0.87380123613374283</v>
      </c>
      <c r="AH51" s="11"/>
      <c r="AI51" s="11">
        <f>(Opti_Medias__30_OOS_1[[#This Row],[All: Perfect Profit Correlation]]-AD$114) /ABS(AD$114)</f>
        <v>-0.59662340394532143</v>
      </c>
      <c r="AJ51" s="11">
        <f>(Opti_Medias__30_OOS_1[[#This Row],[All: Robustness Index]]-AE$114) /ABS(AE$114)</f>
        <v>-0.78980649768193456</v>
      </c>
      <c r="AK51" s="11">
        <f>SUM(Opti_Medias__30_OOS_1[[#This Row],[VAR TS Index]:[VAR Robustness Index]])</f>
        <v>-3.054708374602269</v>
      </c>
      <c r="AL51" s="11">
        <f>Opti_Medias__30_OOS_1[[#This Row],[SUMA]]-Opti_Medias__30_OOS_1[[#This Row],[VAR Robustness Index]]</f>
        <v>-2.2649018769203346</v>
      </c>
    </row>
    <row r="52" spans="1:38" x14ac:dyDescent="0.25">
      <c r="A52" s="11"/>
      <c r="B52" s="89">
        <v>17</v>
      </c>
      <c r="C52" s="89">
        <v>11</v>
      </c>
      <c r="D52" s="89">
        <v>467</v>
      </c>
      <c r="E52" s="10">
        <v>102910</v>
      </c>
      <c r="F52" s="10">
        <v>730760</v>
      </c>
      <c r="G52" s="10">
        <v>-627850</v>
      </c>
      <c r="H52" s="89">
        <v>1468</v>
      </c>
      <c r="I52" s="11">
        <v>46.253405994550405</v>
      </c>
      <c r="J52" s="89">
        <v>679</v>
      </c>
      <c r="K52" s="89">
        <v>781</v>
      </c>
      <c r="L52" s="12">
        <v>9120</v>
      </c>
      <c r="M52" s="12">
        <v>-6660</v>
      </c>
      <c r="N52" s="12">
        <v>1076.229736328125</v>
      </c>
      <c r="O52" s="12">
        <v>-803.9052734375</v>
      </c>
      <c r="P52" s="11">
        <v>1.33875192997076</v>
      </c>
      <c r="Q52" s="13">
        <v>70.102179836512263</v>
      </c>
      <c r="R52" s="89">
        <v>10</v>
      </c>
      <c r="S52" s="89">
        <v>11</v>
      </c>
      <c r="T52" s="89">
        <v>59</v>
      </c>
      <c r="U52" s="89">
        <v>29</v>
      </c>
      <c r="V52" s="12">
        <v>-34595</v>
      </c>
      <c r="W52" s="11">
        <v>1.163908576889384</v>
      </c>
      <c r="X52" s="89">
        <v>1</v>
      </c>
      <c r="Y52" s="12">
        <v>34595</v>
      </c>
      <c r="Z52" s="11">
        <v>297.47073276485042</v>
      </c>
      <c r="AA52" s="14">
        <v>2019.8262754733344</v>
      </c>
      <c r="AB52" s="11">
        <v>8.7669229621930005E-3</v>
      </c>
      <c r="AC52" s="11">
        <v>0.97332244426991599</v>
      </c>
      <c r="AD52" s="15">
        <v>95460.073838159224</v>
      </c>
      <c r="AE52" s="11">
        <v>383.58894699114904</v>
      </c>
      <c r="AF52" s="11">
        <f>(Opti_Medias__30_OOS_1[[#This Row],[All: TS Index]]-AA$114) /ABS(AA$114)</f>
        <v>-0.76080100114035554</v>
      </c>
      <c r="AG52" s="11">
        <f>(Opti_Medias__30_OOS_1[[#This Row],[All: Expectancy Score]]-AB$114) /ABS(AB$114)</f>
        <v>-0.9826725760434446</v>
      </c>
      <c r="AH52" s="11"/>
      <c r="AI52" s="11">
        <f>(Opti_Medias__30_OOS_1[[#This Row],[All: Perfect Profit Correlation]]-AD$114) /ABS(AD$114)</f>
        <v>-0.5409503999537012</v>
      </c>
      <c r="AJ52" s="11">
        <f>(Opti_Medias__30_OOS_1[[#This Row],[All: Robustness Index]]-AE$114) /ABS(AE$114)</f>
        <v>-0.53925016848043128</v>
      </c>
      <c r="AK52" s="11">
        <f>SUM(Opti_Medias__30_OOS_1[[#This Row],[VAR TS Index]:[VAR Robustness Index]])</f>
        <v>-2.8236741456179328</v>
      </c>
      <c r="AL52" s="11">
        <f>Opti_Medias__30_OOS_1[[#This Row],[SUMA]]-Opti_Medias__30_OOS_1[[#This Row],[VAR Robustness Index]]</f>
        <v>-2.2844239771375014</v>
      </c>
    </row>
    <row r="53" spans="1:38" x14ac:dyDescent="0.25">
      <c r="A53" s="11"/>
      <c r="B53" s="89">
        <v>34</v>
      </c>
      <c r="C53" s="89">
        <v>1</v>
      </c>
      <c r="D53" s="89">
        <v>34</v>
      </c>
      <c r="E53" s="10">
        <v>98060</v>
      </c>
      <c r="F53" s="10">
        <v>712490</v>
      </c>
      <c r="G53" s="10">
        <v>-614430</v>
      </c>
      <c r="H53" s="89">
        <v>1607</v>
      </c>
      <c r="I53" s="11">
        <v>34.785314250155572</v>
      </c>
      <c r="J53" s="89">
        <v>559</v>
      </c>
      <c r="K53" s="89">
        <v>1037</v>
      </c>
      <c r="L53" s="12">
        <v>17480</v>
      </c>
      <c r="M53" s="12">
        <v>-4090</v>
      </c>
      <c r="N53" s="12">
        <v>1274.57958984375</v>
      </c>
      <c r="O53" s="12">
        <v>-592.5072021484375</v>
      </c>
      <c r="P53" s="11">
        <v>2.1511630326553171</v>
      </c>
      <c r="Q53" s="13">
        <v>61.020535158680772</v>
      </c>
      <c r="R53" s="89">
        <v>7</v>
      </c>
      <c r="S53" s="89">
        <v>9</v>
      </c>
      <c r="T53" s="89">
        <v>70</v>
      </c>
      <c r="U53" s="89">
        <v>22</v>
      </c>
      <c r="V53" s="12">
        <v>-27835</v>
      </c>
      <c r="W53" s="11">
        <v>1.159595071855215</v>
      </c>
      <c r="X53" s="89">
        <v>1</v>
      </c>
      <c r="Y53" s="12">
        <v>27835</v>
      </c>
      <c r="Z53" s="11">
        <v>352.29028201904077</v>
      </c>
      <c r="AA53" s="14">
        <v>1969.302676486438</v>
      </c>
      <c r="AB53" s="11">
        <v>3.6878158802713001E-2</v>
      </c>
      <c r="AC53" s="11">
        <v>0.87005088770429395</v>
      </c>
      <c r="AD53" s="15">
        <v>84032.485985713036</v>
      </c>
      <c r="AE53" s="11">
        <v>187.62595849752915</v>
      </c>
      <c r="AF53" s="11">
        <f>(Opti_Medias__30_OOS_1[[#This Row],[All: TS Index]]-AA$114) /ABS(AA$114)</f>
        <v>-0.76678428516987918</v>
      </c>
      <c r="AG53" s="11">
        <f>(Opti_Medias__30_OOS_1[[#This Row],[All: Expectancy Score]]-AB$114) /ABS(AB$114)</f>
        <v>-0.9271119986947004</v>
      </c>
      <c r="AH53" s="11"/>
      <c r="AI53" s="11">
        <f>(Opti_Medias__30_OOS_1[[#This Row],[All: Perfect Profit Correlation]]-AD$114) /ABS(AD$114)</f>
        <v>-0.59590352770900779</v>
      </c>
      <c r="AJ53" s="11">
        <f>(Opti_Medias__30_OOS_1[[#This Row],[All: Robustness Index]]-AE$114) /ABS(AE$114)</f>
        <v>-0.77463211741492422</v>
      </c>
      <c r="AK53" s="11">
        <f>SUM(Opti_Medias__30_OOS_1[[#This Row],[VAR TS Index]:[VAR Robustness Index]])</f>
        <v>-3.0644319289885118</v>
      </c>
      <c r="AL53" s="11">
        <f>Opti_Medias__30_OOS_1[[#This Row],[SUMA]]-Opti_Medias__30_OOS_1[[#This Row],[VAR Robustness Index]]</f>
        <v>-2.2897998115735874</v>
      </c>
    </row>
    <row r="54" spans="1:38" x14ac:dyDescent="0.25">
      <c r="A54" s="11"/>
      <c r="B54" s="89">
        <v>28</v>
      </c>
      <c r="C54" s="89">
        <v>1</v>
      </c>
      <c r="D54" s="89">
        <v>28</v>
      </c>
      <c r="E54" s="10">
        <v>98110</v>
      </c>
      <c r="F54" s="10">
        <v>679300</v>
      </c>
      <c r="G54" s="10">
        <v>-581190</v>
      </c>
      <c r="H54" s="89">
        <v>1475</v>
      </c>
      <c r="I54" s="11">
        <v>36.542372881355931</v>
      </c>
      <c r="J54" s="89">
        <v>539</v>
      </c>
      <c r="K54" s="89">
        <v>927</v>
      </c>
      <c r="L54" s="12">
        <v>12620</v>
      </c>
      <c r="M54" s="12">
        <v>-4790</v>
      </c>
      <c r="N54" s="12">
        <v>1260.296875</v>
      </c>
      <c r="O54" s="12">
        <v>-626.95794677734375</v>
      </c>
      <c r="P54" s="11">
        <v>2.0101776865228551</v>
      </c>
      <c r="Q54" s="13">
        <v>66.515254237288133</v>
      </c>
      <c r="R54" s="89">
        <v>7</v>
      </c>
      <c r="S54" s="89">
        <v>12</v>
      </c>
      <c r="T54" s="89">
        <v>72</v>
      </c>
      <c r="U54" s="89">
        <v>26</v>
      </c>
      <c r="V54" s="12">
        <v>-25865</v>
      </c>
      <c r="W54" s="11">
        <v>1.1688088232763809</v>
      </c>
      <c r="X54" s="89">
        <v>1</v>
      </c>
      <c r="Y54" s="12">
        <v>25865</v>
      </c>
      <c r="Z54" s="11">
        <v>379.31567755654362</v>
      </c>
      <c r="AA54" s="14">
        <v>2044.5115020297699</v>
      </c>
      <c r="AB54" s="11">
        <v>1.0795538141124E-2</v>
      </c>
      <c r="AC54" s="11">
        <v>0.87939261767066301</v>
      </c>
      <c r="AD54" s="15">
        <v>88510.583175101303</v>
      </c>
      <c r="AE54" s="11">
        <v>222.90800845259636</v>
      </c>
      <c r="AF54" s="11">
        <f>(Opti_Medias__30_OOS_1[[#This Row],[All: TS Index]]-AA$114) /ABS(AA$114)</f>
        <v>-0.75787764008172231</v>
      </c>
      <c r="AG54" s="11">
        <f>(Opti_Medias__30_OOS_1[[#This Row],[All: Expectancy Score]]-AB$114) /ABS(AB$114)</f>
        <v>-0.97866311053295396</v>
      </c>
      <c r="AH54" s="11"/>
      <c r="AI54" s="11">
        <f>(Opti_Medias__30_OOS_1[[#This Row],[All: Perfect Profit Correlation]]-AD$114) /ABS(AD$114)</f>
        <v>-0.57436919779384066</v>
      </c>
      <c r="AJ54" s="11">
        <f>(Opti_Medias__30_OOS_1[[#This Row],[All: Robustness Index]]-AE$114) /ABS(AE$114)</f>
        <v>-0.73225290211173311</v>
      </c>
      <c r="AK54" s="11">
        <f>SUM(Opti_Medias__30_OOS_1[[#This Row],[VAR TS Index]:[VAR Robustness Index]])</f>
        <v>-3.0431628505202504</v>
      </c>
      <c r="AL54" s="11">
        <f>Opti_Medias__30_OOS_1[[#This Row],[SUMA]]-Opti_Medias__30_OOS_1[[#This Row],[VAR Robustness Index]]</f>
        <v>-2.3109099484085172</v>
      </c>
    </row>
    <row r="55" spans="1:38" x14ac:dyDescent="0.25">
      <c r="A55" s="11"/>
      <c r="B55" s="89">
        <v>35</v>
      </c>
      <c r="C55" s="89">
        <v>1</v>
      </c>
      <c r="D55" s="89">
        <v>35</v>
      </c>
      <c r="E55" s="10">
        <v>90120</v>
      </c>
      <c r="F55" s="10">
        <v>713910</v>
      </c>
      <c r="G55" s="10">
        <v>-623790</v>
      </c>
      <c r="H55" s="89">
        <v>1645</v>
      </c>
      <c r="I55" s="11">
        <v>34.468085106382979</v>
      </c>
      <c r="J55" s="89">
        <v>567</v>
      </c>
      <c r="K55" s="89">
        <v>1070</v>
      </c>
      <c r="L55" s="12">
        <v>16430</v>
      </c>
      <c r="M55" s="12">
        <v>-4090</v>
      </c>
      <c r="N55" s="12">
        <v>1259.1005859375</v>
      </c>
      <c r="O55" s="12">
        <v>-582.9813232421875</v>
      </c>
      <c r="P55" s="11">
        <v>2.15976144644763</v>
      </c>
      <c r="Q55" s="13">
        <v>54.784194528875382</v>
      </c>
      <c r="R55" s="89">
        <v>7</v>
      </c>
      <c r="S55" s="89">
        <v>13</v>
      </c>
      <c r="T55" s="89">
        <v>70</v>
      </c>
      <c r="U55" s="89">
        <v>22</v>
      </c>
      <c r="V55" s="12">
        <v>-32915</v>
      </c>
      <c r="W55" s="11">
        <v>1.14447169720579</v>
      </c>
      <c r="X55" s="89">
        <v>1</v>
      </c>
      <c r="Y55" s="12">
        <v>32915</v>
      </c>
      <c r="Z55" s="11">
        <v>273.79614157678867</v>
      </c>
      <c r="AA55" s="14">
        <v>1552.424122740392</v>
      </c>
      <c r="AB55" s="11">
        <v>7.3928207680893004E-2</v>
      </c>
      <c r="AC55" s="11">
        <v>0.79208414856097198</v>
      </c>
      <c r="AD55" s="15">
        <v>73581.463626219018</v>
      </c>
      <c r="AE55" s="11">
        <v>146.71243385662061</v>
      </c>
      <c r="AF55" s="11">
        <f>(Opti_Medias__30_OOS_1[[#This Row],[All: TS Index]]-AA$114) /ABS(AA$114)</f>
        <v>-0.81615334918937887</v>
      </c>
      <c r="AG55" s="11">
        <f>(Opti_Medias__30_OOS_1[[#This Row],[All: Expectancy Score]]-AB$114) /ABS(AB$114)</f>
        <v>-0.85388426448375243</v>
      </c>
      <c r="AH55" s="11"/>
      <c r="AI55" s="11">
        <f>(Opti_Medias__30_OOS_1[[#This Row],[All: Perfect Profit Correlation]]-AD$114) /ABS(AD$114)</f>
        <v>-0.64616053507665649</v>
      </c>
      <c r="AJ55" s="11">
        <f>(Opti_Medias__30_OOS_1[[#This Row],[All: Robustness Index]]-AE$114) /ABS(AE$114)</f>
        <v>-0.82377560742691691</v>
      </c>
      <c r="AK55" s="11">
        <f>SUM(Opti_Medias__30_OOS_1[[#This Row],[VAR TS Index]:[VAR Robustness Index]])</f>
        <v>-3.1399737561767047</v>
      </c>
      <c r="AL55" s="11">
        <f>Opti_Medias__30_OOS_1[[#This Row],[SUMA]]-Opti_Medias__30_OOS_1[[#This Row],[VAR Robustness Index]]</f>
        <v>-2.3161981487497876</v>
      </c>
    </row>
    <row r="56" spans="1:38" x14ac:dyDescent="0.25">
      <c r="A56" s="11"/>
      <c r="B56" s="89">
        <v>28</v>
      </c>
      <c r="C56" s="89">
        <v>2</v>
      </c>
      <c r="D56" s="89">
        <v>73</v>
      </c>
      <c r="E56" s="10">
        <v>66060</v>
      </c>
      <c r="F56" s="10">
        <v>593180</v>
      </c>
      <c r="G56" s="10">
        <v>-527120</v>
      </c>
      <c r="H56" s="89">
        <v>1198</v>
      </c>
      <c r="I56" s="11">
        <v>30.050083472454091</v>
      </c>
      <c r="J56" s="89">
        <v>360</v>
      </c>
      <c r="K56" s="89">
        <v>836</v>
      </c>
      <c r="L56" s="12">
        <v>15700</v>
      </c>
      <c r="M56" s="12">
        <v>-3770</v>
      </c>
      <c r="N56" s="12">
        <v>1647.72216796875</v>
      </c>
      <c r="O56" s="12">
        <v>-630.52630615234375</v>
      </c>
      <c r="P56" s="11">
        <v>2.6132488873043749</v>
      </c>
      <c r="Q56" s="13">
        <v>55.141903171953253</v>
      </c>
      <c r="R56" s="89">
        <v>6</v>
      </c>
      <c r="S56" s="89">
        <v>18</v>
      </c>
      <c r="T56" s="89">
        <v>114</v>
      </c>
      <c r="U56" s="89">
        <v>26</v>
      </c>
      <c r="V56" s="12">
        <v>-33225</v>
      </c>
      <c r="W56" s="11">
        <v>1.125322507208985</v>
      </c>
      <c r="X56" s="89">
        <v>1</v>
      </c>
      <c r="Y56" s="12">
        <v>33225</v>
      </c>
      <c r="Z56" s="11">
        <v>198.82618510158014</v>
      </c>
      <c r="AA56" s="14">
        <v>715.7742663656885</v>
      </c>
      <c r="AB56" s="11">
        <v>0.18327249397546799</v>
      </c>
      <c r="AC56" s="11">
        <v>0.53027495368676303</v>
      </c>
      <c r="AD56" s="15">
        <v>47964.881192123379</v>
      </c>
      <c r="AE56" s="11">
        <v>189.71341392835023</v>
      </c>
      <c r="AF56" s="11">
        <f>(Opti_Medias__30_OOS_1[[#This Row],[All: TS Index]]-AA$114) /ABS(AA$114)</f>
        <v>-0.91523405255036283</v>
      </c>
      <c r="AG56" s="11">
        <f>(Opti_Medias__30_OOS_1[[#This Row],[All: Expectancy Score]]-AB$114) /ABS(AB$114)</f>
        <v>-0.63777026256726543</v>
      </c>
      <c r="AH56" s="11"/>
      <c r="AI56" s="11">
        <f>(Opti_Medias__30_OOS_1[[#This Row],[All: Perfect Profit Correlation]]-AD$114) /ABS(AD$114)</f>
        <v>-0.76934587789192665</v>
      </c>
      <c r="AJ56" s="11">
        <f>(Opti_Medias__30_OOS_1[[#This Row],[All: Robustness Index]]-AE$114) /ABS(AE$114)</f>
        <v>-0.77212475961538451</v>
      </c>
      <c r="AK56" s="11">
        <f>SUM(Opti_Medias__30_OOS_1[[#This Row],[VAR TS Index]:[VAR Robustness Index]])</f>
        <v>-3.0944749526249398</v>
      </c>
      <c r="AL56" s="11">
        <f>Opti_Medias__30_OOS_1[[#This Row],[SUMA]]-Opti_Medias__30_OOS_1[[#This Row],[VAR Robustness Index]]</f>
        <v>-2.3223501930095551</v>
      </c>
    </row>
    <row r="57" spans="1:38" x14ac:dyDescent="0.25">
      <c r="A57" s="11"/>
      <c r="B57" s="89">
        <v>37</v>
      </c>
      <c r="C57" s="89">
        <v>11</v>
      </c>
      <c r="D57" s="89">
        <v>487</v>
      </c>
      <c r="E57" s="10">
        <v>85050</v>
      </c>
      <c r="F57" s="10">
        <v>700340</v>
      </c>
      <c r="G57" s="10">
        <v>-615290</v>
      </c>
      <c r="H57" s="89">
        <v>1538</v>
      </c>
      <c r="I57" s="11">
        <v>36.605981794538359</v>
      </c>
      <c r="J57" s="89">
        <v>563</v>
      </c>
      <c r="K57" s="89">
        <v>969</v>
      </c>
      <c r="L57" s="12">
        <v>17160</v>
      </c>
      <c r="M57" s="12">
        <v>-3980</v>
      </c>
      <c r="N57" s="12">
        <v>1243.943115234375</v>
      </c>
      <c r="O57" s="12">
        <v>-634.97418212890625</v>
      </c>
      <c r="P57" s="11">
        <v>1.9590451867881491</v>
      </c>
      <c r="Q57" s="13">
        <v>55.299089726918076</v>
      </c>
      <c r="R57" s="89">
        <v>6</v>
      </c>
      <c r="S57" s="89">
        <v>12</v>
      </c>
      <c r="T57" s="89">
        <v>72</v>
      </c>
      <c r="U57" s="89">
        <v>23</v>
      </c>
      <c r="V57" s="12">
        <v>-29515</v>
      </c>
      <c r="W57" s="11">
        <v>1.138227502478506</v>
      </c>
      <c r="X57" s="89">
        <v>1</v>
      </c>
      <c r="Y57" s="12">
        <v>29515</v>
      </c>
      <c r="Z57" s="11">
        <v>288.15856344231747</v>
      </c>
      <c r="AA57" s="14">
        <v>1622.3327121802474</v>
      </c>
      <c r="AB57" s="11">
        <v>3.8578892637231001E-2</v>
      </c>
      <c r="AC57" s="11">
        <v>0.75300150624116502</v>
      </c>
      <c r="AD57" s="15">
        <v>77662.995976329548</v>
      </c>
      <c r="AE57" s="11">
        <v>169.02543780633809</v>
      </c>
      <c r="AF57" s="11">
        <f>(Opti_Medias__30_OOS_1[[#This Row],[All: TS Index]]-AA$114) /ABS(AA$114)</f>
        <v>-0.8078743873753067</v>
      </c>
      <c r="AG57" s="11">
        <f>(Opti_Medias__30_OOS_1[[#This Row],[All: Expectancy Score]]-AB$114) /ABS(AB$114)</f>
        <v>-0.92375057572850838</v>
      </c>
      <c r="AH57" s="11"/>
      <c r="AI57" s="11">
        <f>(Opti_Medias__30_OOS_1[[#This Row],[All: Perfect Profit Correlation]]-AD$114) /ABS(AD$114)</f>
        <v>-0.62653321113313254</v>
      </c>
      <c r="AJ57" s="11">
        <f>(Opti_Medias__30_OOS_1[[#This Row],[All: Robustness Index]]-AE$114) /ABS(AE$114)</f>
        <v>-0.79697422826526698</v>
      </c>
      <c r="AK57" s="11">
        <f>SUM(Opti_Medias__30_OOS_1[[#This Row],[VAR TS Index]:[VAR Robustness Index]])</f>
        <v>-3.1551324025022147</v>
      </c>
      <c r="AL57" s="11">
        <f>Opti_Medias__30_OOS_1[[#This Row],[SUMA]]-Opti_Medias__30_OOS_1[[#This Row],[VAR Robustness Index]]</f>
        <v>-2.358158174236948</v>
      </c>
    </row>
    <row r="58" spans="1:38" x14ac:dyDescent="0.25">
      <c r="A58" s="11"/>
      <c r="B58" s="89">
        <v>36</v>
      </c>
      <c r="C58" s="89">
        <v>11</v>
      </c>
      <c r="D58" s="89">
        <v>486</v>
      </c>
      <c r="E58" s="10">
        <v>75140</v>
      </c>
      <c r="F58" s="10">
        <v>694360</v>
      </c>
      <c r="G58" s="10">
        <v>-619220</v>
      </c>
      <c r="H58" s="89">
        <v>1560</v>
      </c>
      <c r="I58" s="11">
        <v>36.666666666666664</v>
      </c>
      <c r="J58" s="89">
        <v>572</v>
      </c>
      <c r="K58" s="89">
        <v>979</v>
      </c>
      <c r="L58" s="12">
        <v>16990</v>
      </c>
      <c r="M58" s="12">
        <v>-4300</v>
      </c>
      <c r="N58" s="12">
        <v>1213.9161376953125</v>
      </c>
      <c r="O58" s="12">
        <v>-632.5025634765625</v>
      </c>
      <c r="P58" s="11">
        <v>1.9192272218202551</v>
      </c>
      <c r="Q58" s="13">
        <v>48.166666666666664</v>
      </c>
      <c r="R58" s="89">
        <v>6</v>
      </c>
      <c r="S58" s="89">
        <v>15</v>
      </c>
      <c r="T58" s="89">
        <v>70</v>
      </c>
      <c r="U58" s="89">
        <v>23</v>
      </c>
      <c r="V58" s="12">
        <v>-31955</v>
      </c>
      <c r="W58" s="11">
        <v>1.1213462097477469</v>
      </c>
      <c r="X58" s="89">
        <v>1</v>
      </c>
      <c r="Y58" s="12">
        <v>31955</v>
      </c>
      <c r="Z58" s="11">
        <v>235.14317008292912</v>
      </c>
      <c r="AA58" s="14">
        <v>1345.0189328743545</v>
      </c>
      <c r="AB58" s="11">
        <v>8.4008077678734999E-2</v>
      </c>
      <c r="AC58" s="11">
        <v>0.65897706923580301</v>
      </c>
      <c r="AD58" s="15">
        <v>65616.603422396191</v>
      </c>
      <c r="AE58" s="11">
        <v>143.10244110352781</v>
      </c>
      <c r="AF58" s="11">
        <f>(Opti_Medias__30_OOS_1[[#This Row],[All: TS Index]]-AA$114) /ABS(AA$114)</f>
        <v>-0.84071541889640089</v>
      </c>
      <c r="AG58" s="11">
        <f>(Opti_Medias__30_OOS_1[[#This Row],[All: Expectancy Score]]-AB$114) /ABS(AB$114)</f>
        <v>-0.83396186050771925</v>
      </c>
      <c r="AH58" s="11"/>
      <c r="AI58" s="11">
        <f>(Opti_Medias__30_OOS_1[[#This Row],[All: Perfect Profit Correlation]]-AD$114) /ABS(AD$114)</f>
        <v>-0.68446205469613952</v>
      </c>
      <c r="AJ58" s="11">
        <f>(Opti_Medias__30_OOS_1[[#This Row],[All: Robustness Index]]-AE$114) /ABS(AE$114)</f>
        <v>-0.82811176874183812</v>
      </c>
      <c r="AK58" s="11">
        <f>SUM(Opti_Medias__30_OOS_1[[#This Row],[VAR TS Index]:[VAR Robustness Index]])</f>
        <v>-3.1872511028420978</v>
      </c>
      <c r="AL58" s="11">
        <f>Opti_Medias__30_OOS_1[[#This Row],[SUMA]]-Opti_Medias__30_OOS_1[[#This Row],[VAR Robustness Index]]</f>
        <v>-2.3591393341002598</v>
      </c>
    </row>
    <row r="59" spans="1:38" x14ac:dyDescent="0.25">
      <c r="A59" s="11"/>
      <c r="B59" s="89">
        <v>36</v>
      </c>
      <c r="C59" s="89">
        <v>1</v>
      </c>
      <c r="D59" s="89">
        <v>36</v>
      </c>
      <c r="E59" s="10">
        <v>74780</v>
      </c>
      <c r="F59" s="10">
        <v>715640</v>
      </c>
      <c r="G59" s="10">
        <v>-640860</v>
      </c>
      <c r="H59" s="89">
        <v>1703</v>
      </c>
      <c r="I59" s="11">
        <v>33.17674691720493</v>
      </c>
      <c r="J59" s="89">
        <v>565</v>
      </c>
      <c r="K59" s="89">
        <v>1131</v>
      </c>
      <c r="L59" s="12">
        <v>16430</v>
      </c>
      <c r="M59" s="12">
        <v>-4080</v>
      </c>
      <c r="N59" s="12">
        <v>1266.6195068359375</v>
      </c>
      <c r="O59" s="12">
        <v>-566.63128662109375</v>
      </c>
      <c r="P59" s="11">
        <v>2.2353504593595201</v>
      </c>
      <c r="Q59" s="13">
        <v>43.91074574280681</v>
      </c>
      <c r="R59" s="89">
        <v>7</v>
      </c>
      <c r="S59" s="89">
        <v>11</v>
      </c>
      <c r="T59" s="89">
        <v>70</v>
      </c>
      <c r="U59" s="89">
        <v>21</v>
      </c>
      <c r="V59" s="12">
        <v>-31675</v>
      </c>
      <c r="W59" s="11">
        <v>1.1166869519083731</v>
      </c>
      <c r="X59" s="89">
        <v>1</v>
      </c>
      <c r="Y59" s="12">
        <v>31675</v>
      </c>
      <c r="Z59" s="11">
        <v>236.08524072612471</v>
      </c>
      <c r="AA59" s="14">
        <v>1333.8816101026046</v>
      </c>
      <c r="AB59" s="11">
        <v>0.10680865451527199</v>
      </c>
      <c r="AC59" s="11">
        <v>0.63728804135793105</v>
      </c>
      <c r="AD59" s="15">
        <v>54481.507232866919</v>
      </c>
      <c r="AE59" s="11">
        <v>192.02057789134926</v>
      </c>
      <c r="AF59" s="11">
        <f>(Opti_Medias__30_OOS_1[[#This Row],[All: TS Index]]-AA$114) /ABS(AA$114)</f>
        <v>-0.84203436225768336</v>
      </c>
      <c r="AG59" s="11">
        <f>(Opti_Medias__30_OOS_1[[#This Row],[All: Expectancy Score]]-AB$114) /ABS(AB$114)</f>
        <v>-0.78889755881322043</v>
      </c>
      <c r="AH59" s="11"/>
      <c r="AI59" s="11">
        <f>(Opti_Medias__30_OOS_1[[#This Row],[All: Perfect Profit Correlation]]-AD$114) /ABS(AD$114)</f>
        <v>-0.73800864487525986</v>
      </c>
      <c r="AJ59" s="11">
        <f>(Opti_Medias__30_OOS_1[[#This Row],[All: Robustness Index]]-AE$114) /ABS(AE$114)</f>
        <v>-0.76935349778529771</v>
      </c>
      <c r="AK59" s="11">
        <f>SUM(Opti_Medias__30_OOS_1[[#This Row],[VAR TS Index]:[VAR Robustness Index]])</f>
        <v>-3.1382940637314616</v>
      </c>
      <c r="AL59" s="11">
        <f>Opti_Medias__30_OOS_1[[#This Row],[SUMA]]-Opti_Medias__30_OOS_1[[#This Row],[VAR Robustness Index]]</f>
        <v>-2.368940565946164</v>
      </c>
    </row>
    <row r="60" spans="1:38" x14ac:dyDescent="0.25">
      <c r="A60" s="11"/>
      <c r="B60" s="89">
        <v>29</v>
      </c>
      <c r="C60" s="89">
        <v>2</v>
      </c>
      <c r="D60" s="89">
        <v>74</v>
      </c>
      <c r="E60" s="10">
        <v>67820</v>
      </c>
      <c r="F60" s="10">
        <v>602540</v>
      </c>
      <c r="G60" s="10">
        <v>-534720</v>
      </c>
      <c r="H60" s="89">
        <v>1234</v>
      </c>
      <c r="I60" s="11">
        <v>29.416531604538086</v>
      </c>
      <c r="J60" s="89">
        <v>363</v>
      </c>
      <c r="K60" s="89">
        <v>869</v>
      </c>
      <c r="L60" s="12">
        <v>14140</v>
      </c>
      <c r="M60" s="12">
        <v>-3770</v>
      </c>
      <c r="N60" s="12">
        <v>1659.8897705078125</v>
      </c>
      <c r="O60" s="12">
        <v>-615.32794189453125</v>
      </c>
      <c r="P60" s="11">
        <v>2.6975693081597809</v>
      </c>
      <c r="Q60" s="13">
        <v>54.959481361426256</v>
      </c>
      <c r="R60" s="89">
        <v>5</v>
      </c>
      <c r="S60" s="89">
        <v>18</v>
      </c>
      <c r="T60" s="89">
        <v>113</v>
      </c>
      <c r="U60" s="89">
        <v>25</v>
      </c>
      <c r="V60" s="12">
        <v>-37925</v>
      </c>
      <c r="W60" s="11">
        <v>1.1268327348892879</v>
      </c>
      <c r="X60" s="89">
        <v>1</v>
      </c>
      <c r="Y60" s="12">
        <v>37925</v>
      </c>
      <c r="Z60" s="11">
        <v>178.82663150955833</v>
      </c>
      <c r="AA60" s="14">
        <v>649.14067237969675</v>
      </c>
      <c r="AB60" s="11">
        <v>0.15849697363710599</v>
      </c>
      <c r="AC60" s="11">
        <v>0.54333985328911205</v>
      </c>
      <c r="AD60" s="15">
        <v>48298.511014149633</v>
      </c>
      <c r="AE60" s="11">
        <v>168.43946006725594</v>
      </c>
      <c r="AF60" s="11">
        <f>(Opti_Medias__30_OOS_1[[#This Row],[All: TS Index]]-AA$114) /ABS(AA$114)</f>
        <v>-0.92312517128934146</v>
      </c>
      <c r="AG60" s="11">
        <f>(Opti_Medias__30_OOS_1[[#This Row],[All: Expectancy Score]]-AB$114) /ABS(AB$114)</f>
        <v>-0.68673795014686212</v>
      </c>
      <c r="AH60" s="11"/>
      <c r="AI60" s="11">
        <f>(Opti_Medias__30_OOS_1[[#This Row],[All: Perfect Profit Correlation]]-AD$114) /ABS(AD$114)</f>
        <v>-0.7677415146203842</v>
      </c>
      <c r="AJ60" s="11">
        <f>(Opti_Medias__30_OOS_1[[#This Row],[All: Robustness Index]]-AE$114) /ABS(AE$114)</f>
        <v>-0.79767807843267691</v>
      </c>
      <c r="AK60" s="11">
        <f>SUM(Opti_Medias__30_OOS_1[[#This Row],[VAR TS Index]:[VAR Robustness Index]])</f>
        <v>-3.1752827144892644</v>
      </c>
      <c r="AL60" s="11">
        <f>Opti_Medias__30_OOS_1[[#This Row],[SUMA]]-Opti_Medias__30_OOS_1[[#This Row],[VAR Robustness Index]]</f>
        <v>-2.3776046360565877</v>
      </c>
    </row>
    <row r="61" spans="1:38" x14ac:dyDescent="0.25">
      <c r="A61" s="11"/>
      <c r="B61" s="89">
        <v>36</v>
      </c>
      <c r="C61" s="89">
        <v>5</v>
      </c>
      <c r="D61" s="89">
        <v>216</v>
      </c>
      <c r="E61" s="10">
        <v>96740</v>
      </c>
      <c r="F61" s="10">
        <v>666050</v>
      </c>
      <c r="G61" s="10">
        <v>-569310</v>
      </c>
      <c r="H61" s="89">
        <v>1583</v>
      </c>
      <c r="I61" s="11">
        <v>32.280480101073913</v>
      </c>
      <c r="J61" s="89">
        <v>511</v>
      </c>
      <c r="K61" s="89">
        <v>1064</v>
      </c>
      <c r="L61" s="12">
        <v>15760</v>
      </c>
      <c r="M61" s="12">
        <v>-3950</v>
      </c>
      <c r="N61" s="12">
        <v>1303.4246826171875</v>
      </c>
      <c r="O61" s="12">
        <v>-535.0657958984375</v>
      </c>
      <c r="P61" s="11">
        <v>2.436008230405732</v>
      </c>
      <c r="Q61" s="13">
        <v>61.111813013265952</v>
      </c>
      <c r="R61" s="89">
        <v>5</v>
      </c>
      <c r="S61" s="89">
        <v>11</v>
      </c>
      <c r="T61" s="89">
        <v>79</v>
      </c>
      <c r="U61" s="89">
        <v>21</v>
      </c>
      <c r="V61" s="12">
        <v>-26805</v>
      </c>
      <c r="W61" s="11">
        <v>1.1699249969261041</v>
      </c>
      <c r="X61" s="89">
        <v>1</v>
      </c>
      <c r="Y61" s="12">
        <v>26805</v>
      </c>
      <c r="Z61" s="11">
        <v>360.90281663868683</v>
      </c>
      <c r="AA61" s="14">
        <v>1844.2133930236896</v>
      </c>
      <c r="AB61" s="11">
        <v>1.42695393464E-2</v>
      </c>
      <c r="AC61" s="11">
        <v>0.84729000581759595</v>
      </c>
      <c r="AD61" s="15">
        <v>77723.944253762762</v>
      </c>
      <c r="AE61" s="11">
        <v>190.05625448382173</v>
      </c>
      <c r="AF61" s="11">
        <f>(Opti_Medias__30_OOS_1[[#This Row],[All: TS Index]]-AA$114) /ABS(AA$114)</f>
        <v>-0.78159804996524396</v>
      </c>
      <c r="AG61" s="11">
        <f>(Opti_Medias__30_OOS_1[[#This Row],[All: Expectancy Score]]-AB$114) /ABS(AB$114)</f>
        <v>-0.97179690536963814</v>
      </c>
      <c r="AH61" s="11"/>
      <c r="AI61" s="11">
        <f>(Opti_Medias__30_OOS_1[[#This Row],[All: Perfect Profit Correlation]]-AD$114) /ABS(AD$114)</f>
        <v>-0.62624012229238157</v>
      </c>
      <c r="AJ61" s="11">
        <f>(Opti_Medias__30_OOS_1[[#This Row],[All: Robustness Index]]-AE$114) /ABS(AE$114)</f>
        <v>-0.77171295492338132</v>
      </c>
      <c r="AK61" s="11">
        <f>SUM(Opti_Medias__30_OOS_1[[#This Row],[VAR TS Index]:[VAR Robustness Index]])</f>
        <v>-3.1513480325506449</v>
      </c>
      <c r="AL61" s="11">
        <f>Opti_Medias__30_OOS_1[[#This Row],[SUMA]]-Opti_Medias__30_OOS_1[[#This Row],[VAR Robustness Index]]</f>
        <v>-2.3796350776272637</v>
      </c>
    </row>
    <row r="62" spans="1:38" x14ac:dyDescent="0.25">
      <c r="A62" s="11"/>
      <c r="B62" s="89">
        <v>29</v>
      </c>
      <c r="C62" s="89">
        <v>1</v>
      </c>
      <c r="D62" s="89">
        <v>29</v>
      </c>
      <c r="E62" s="4">
        <v>87070</v>
      </c>
      <c r="F62" s="4">
        <v>682860</v>
      </c>
      <c r="G62" s="4">
        <v>-595790</v>
      </c>
      <c r="H62" s="89">
        <v>1491</v>
      </c>
      <c r="I62" s="5">
        <v>36.820925553319917</v>
      </c>
      <c r="J62" s="89">
        <v>549</v>
      </c>
      <c r="K62" s="89">
        <v>931</v>
      </c>
      <c r="L62" s="6">
        <v>16760</v>
      </c>
      <c r="M62" s="6">
        <v>-4120</v>
      </c>
      <c r="N62" s="6">
        <v>1243.8251953125</v>
      </c>
      <c r="O62" s="6">
        <v>-639.9462890625</v>
      </c>
      <c r="P62" s="5">
        <v>1.943639984434729</v>
      </c>
      <c r="Q62" s="7">
        <v>58.397048960429245</v>
      </c>
      <c r="R62" s="89">
        <v>5</v>
      </c>
      <c r="S62" s="89">
        <v>11</v>
      </c>
      <c r="T62" s="89">
        <v>72</v>
      </c>
      <c r="U62" s="89">
        <v>25</v>
      </c>
      <c r="V62" s="6">
        <v>-28525</v>
      </c>
      <c r="W62" s="5">
        <v>1.146142097047617</v>
      </c>
      <c r="X62" s="89">
        <v>1</v>
      </c>
      <c r="Y62" s="6">
        <v>28525</v>
      </c>
      <c r="Z62" s="5">
        <v>305.24101665205961</v>
      </c>
      <c r="AA62" s="8">
        <v>1675.7731814198071</v>
      </c>
      <c r="AB62" s="5">
        <v>3.7512785146334E-2</v>
      </c>
      <c r="AC62" s="5">
        <v>0.77452473972923197</v>
      </c>
      <c r="AD62" s="9">
        <v>69608.73535290263</v>
      </c>
      <c r="AE62" s="5">
        <v>230.87064269186129</v>
      </c>
      <c r="AF62" s="11">
        <f>(Opti_Medias__30_OOS_1[[#This Row],[All: TS Index]]-AA$114) /ABS(AA$114)</f>
        <v>-0.80154567143774591</v>
      </c>
      <c r="AG62" s="11">
        <f>(Opti_Medias__30_OOS_1[[#This Row],[All: Expectancy Score]]-AB$114) /ABS(AB$114)</f>
        <v>-0.92585768862977325</v>
      </c>
      <c r="AH62" s="11"/>
      <c r="AI62" s="11">
        <f>(Opti_Medias__30_OOS_1[[#This Row],[All: Perfect Profit Correlation]]-AD$114) /ABS(AD$114)</f>
        <v>-0.66526464061139912</v>
      </c>
      <c r="AJ62" s="11">
        <f>(Opti_Medias__30_OOS_1[[#This Row],[All: Robustness Index]]-AE$114) /ABS(AE$114)</f>
        <v>-0.72268854314630671</v>
      </c>
      <c r="AK62" s="11">
        <f>SUM(Opti_Medias__30_OOS_1[[#This Row],[VAR TS Index]:[VAR Robustness Index]])</f>
        <v>-3.1153565438252251</v>
      </c>
      <c r="AL62" s="11">
        <f>Opti_Medias__30_OOS_1[[#This Row],[SUMA]]-Opti_Medias__30_OOS_1[[#This Row],[VAR Robustness Index]]</f>
        <v>-2.3926680006789183</v>
      </c>
    </row>
    <row r="63" spans="1:38" x14ac:dyDescent="0.25">
      <c r="A63" s="11"/>
      <c r="B63" s="89">
        <v>33</v>
      </c>
      <c r="C63" s="89">
        <v>1</v>
      </c>
      <c r="D63" s="89">
        <v>33</v>
      </c>
      <c r="E63" s="10">
        <v>100870</v>
      </c>
      <c r="F63" s="10">
        <v>701130</v>
      </c>
      <c r="G63" s="10">
        <v>-600260</v>
      </c>
      <c r="H63" s="89">
        <v>1563</v>
      </c>
      <c r="I63" s="11">
        <v>34.676903390914909</v>
      </c>
      <c r="J63" s="89">
        <v>542</v>
      </c>
      <c r="K63" s="89">
        <v>1010</v>
      </c>
      <c r="L63" s="12">
        <v>17190</v>
      </c>
      <c r="M63" s="12">
        <v>-4110</v>
      </c>
      <c r="N63" s="12">
        <v>1293.5977783203125</v>
      </c>
      <c r="O63" s="12">
        <v>-594.31683349609375</v>
      </c>
      <c r="P63" s="11">
        <v>2.1766130545397302</v>
      </c>
      <c r="Q63" s="13">
        <v>64.536148432501605</v>
      </c>
      <c r="R63" s="89">
        <v>7</v>
      </c>
      <c r="S63" s="89">
        <v>11</v>
      </c>
      <c r="T63" s="89">
        <v>72</v>
      </c>
      <c r="U63" s="89">
        <v>24</v>
      </c>
      <c r="V63" s="12">
        <v>-36555</v>
      </c>
      <c r="W63" s="11">
        <v>1.1680438476660111</v>
      </c>
      <c r="X63" s="89">
        <v>1</v>
      </c>
      <c r="Y63" s="12">
        <v>36555</v>
      </c>
      <c r="Z63" s="11">
        <v>275.94036383531665</v>
      </c>
      <c r="AA63" s="14">
        <v>1495.5967719874163</v>
      </c>
      <c r="AB63" s="11">
        <v>2.0797199644532E-2</v>
      </c>
      <c r="AC63" s="11">
        <v>0.89641572156686</v>
      </c>
      <c r="AD63" s="15">
        <v>80329.256261365284</v>
      </c>
      <c r="AE63" s="11">
        <v>179.91638469562076</v>
      </c>
      <c r="AF63" s="11">
        <f>(Opti_Medias__30_OOS_1[[#This Row],[All: TS Index]]-AA$114) /ABS(AA$114)</f>
        <v>-0.82288315836802828</v>
      </c>
      <c r="AG63" s="11">
        <f>(Opti_Medias__30_OOS_1[[#This Row],[All: Expectancy Score]]-AB$114) /ABS(AB$114)</f>
        <v>-0.95889528208426433</v>
      </c>
      <c r="AH63" s="11"/>
      <c r="AI63" s="11">
        <f>(Opti_Medias__30_OOS_1[[#This Row],[All: Perfect Profit Correlation]]-AD$114) /ABS(AD$114)</f>
        <v>-0.61371166524222909</v>
      </c>
      <c r="AJ63" s="11">
        <f>(Opti_Medias__30_OOS_1[[#This Row],[All: Robustness Index]]-AE$114) /ABS(AE$114)</f>
        <v>-0.78389251153780004</v>
      </c>
      <c r="AK63" s="11">
        <f>SUM(Opti_Medias__30_OOS_1[[#This Row],[VAR TS Index]:[VAR Robustness Index]])</f>
        <v>-3.1793826172323216</v>
      </c>
      <c r="AL63" s="11">
        <f>Opti_Medias__30_OOS_1[[#This Row],[SUMA]]-Opti_Medias__30_OOS_1[[#This Row],[VAR Robustness Index]]</f>
        <v>-2.3954901056945217</v>
      </c>
    </row>
    <row r="64" spans="1:38" x14ac:dyDescent="0.25">
      <c r="A64" s="11"/>
      <c r="B64" s="89">
        <v>28</v>
      </c>
      <c r="C64" s="89">
        <v>11</v>
      </c>
      <c r="D64" s="89">
        <v>478</v>
      </c>
      <c r="E64" s="10">
        <v>79290</v>
      </c>
      <c r="F64" s="10">
        <v>714550</v>
      </c>
      <c r="G64" s="10">
        <v>-635260</v>
      </c>
      <c r="H64" s="89">
        <v>1564</v>
      </c>
      <c r="I64" s="11">
        <v>40.601023017902811</v>
      </c>
      <c r="J64" s="89">
        <v>635</v>
      </c>
      <c r="K64" s="89">
        <v>918</v>
      </c>
      <c r="L64" s="12">
        <v>16890</v>
      </c>
      <c r="M64" s="12">
        <v>-4570</v>
      </c>
      <c r="N64" s="12">
        <v>1125.275634765625</v>
      </c>
      <c r="O64" s="12">
        <v>-692.00433349609375</v>
      </c>
      <c r="P64" s="11">
        <v>1.626110676331447</v>
      </c>
      <c r="Q64" s="13">
        <v>50.696930946291559</v>
      </c>
      <c r="R64" s="89">
        <v>8</v>
      </c>
      <c r="S64" s="89">
        <v>11</v>
      </c>
      <c r="T64" s="89">
        <v>63</v>
      </c>
      <c r="U64" s="89">
        <v>25</v>
      </c>
      <c r="V64" s="12">
        <v>-26235</v>
      </c>
      <c r="W64" s="11">
        <v>1.124815036363064</v>
      </c>
      <c r="X64" s="89">
        <v>1</v>
      </c>
      <c r="Y64" s="12">
        <v>26235</v>
      </c>
      <c r="Z64" s="11">
        <v>302.22984562607206</v>
      </c>
      <c r="AA64" s="14">
        <v>1919.1595197255574</v>
      </c>
      <c r="AB64" s="11">
        <v>1.1048433484396001E-2</v>
      </c>
      <c r="AC64" s="11">
        <v>0.71900652479751503</v>
      </c>
      <c r="AD64" s="15">
        <v>72434.212636207565</v>
      </c>
      <c r="AE64" s="11">
        <v>157.69909577706284</v>
      </c>
      <c r="AF64" s="11">
        <f>(Opti_Medias__30_OOS_1[[#This Row],[All: TS Index]]-AA$114) /ABS(AA$114)</f>
        <v>-0.77272251512683621</v>
      </c>
      <c r="AG64" s="11">
        <f>(Opti_Medias__30_OOS_1[[#This Row],[All: Expectancy Score]]-AB$114) /ABS(AB$114)</f>
        <v>-0.97816327440476969</v>
      </c>
      <c r="AH64" s="11"/>
      <c r="AI64" s="11">
        <f>(Opti_Medias__30_OOS_1[[#This Row],[All: Perfect Profit Correlation]]-AD$114) /ABS(AD$114)</f>
        <v>-0.65167745002279753</v>
      </c>
      <c r="AJ64" s="11">
        <f>(Opti_Medias__30_OOS_1[[#This Row],[All: Robustness Index]]-AE$114) /ABS(AE$114)</f>
        <v>-0.81057892209874693</v>
      </c>
      <c r="AK64" s="11">
        <f>SUM(Opti_Medias__30_OOS_1[[#This Row],[VAR TS Index]:[VAR Robustness Index]])</f>
        <v>-3.2131421616531508</v>
      </c>
      <c r="AL64" s="11">
        <f>Opti_Medias__30_OOS_1[[#This Row],[SUMA]]-Opti_Medias__30_OOS_1[[#This Row],[VAR Robustness Index]]</f>
        <v>-2.4025632395544037</v>
      </c>
    </row>
    <row r="65" spans="1:38" x14ac:dyDescent="0.25">
      <c r="A65" s="11"/>
      <c r="B65" s="89">
        <v>35</v>
      </c>
      <c r="C65" s="89">
        <v>5</v>
      </c>
      <c r="D65" s="89">
        <v>215</v>
      </c>
      <c r="E65" s="10">
        <v>83200</v>
      </c>
      <c r="F65" s="10">
        <v>642290</v>
      </c>
      <c r="G65" s="10">
        <v>-559090</v>
      </c>
      <c r="H65" s="89">
        <v>1509</v>
      </c>
      <c r="I65" s="11">
        <v>31.875414181577202</v>
      </c>
      <c r="J65" s="89">
        <v>481</v>
      </c>
      <c r="K65" s="89">
        <v>1016</v>
      </c>
      <c r="L65" s="12">
        <v>15170</v>
      </c>
      <c r="M65" s="12">
        <v>-3640</v>
      </c>
      <c r="N65" s="12">
        <v>1335.322265625</v>
      </c>
      <c r="O65" s="12">
        <v>-550.28546142578125</v>
      </c>
      <c r="P65" s="11">
        <v>2.426599209372533</v>
      </c>
      <c r="Q65" s="13">
        <v>55.135851557322731</v>
      </c>
      <c r="R65" s="89">
        <v>6</v>
      </c>
      <c r="S65" s="89">
        <v>12</v>
      </c>
      <c r="T65" s="89">
        <v>84</v>
      </c>
      <c r="U65" s="89">
        <v>22</v>
      </c>
      <c r="V65" s="12">
        <v>-28615</v>
      </c>
      <c r="W65" s="11">
        <v>1.1488132501028461</v>
      </c>
      <c r="X65" s="89">
        <v>1</v>
      </c>
      <c r="Y65" s="12">
        <v>28615</v>
      </c>
      <c r="Z65" s="11">
        <v>290.75659619080903</v>
      </c>
      <c r="AA65" s="14">
        <v>1398.5392276777914</v>
      </c>
      <c r="AB65" s="11">
        <v>5.8910949481366E-2</v>
      </c>
      <c r="AC65" s="11">
        <v>0.714543101267888</v>
      </c>
      <c r="AD65" s="15">
        <v>64868.964793224921</v>
      </c>
      <c r="AE65" s="11">
        <v>185.36812726484854</v>
      </c>
      <c r="AF65" s="11">
        <f>(Opti_Medias__30_OOS_1[[#This Row],[All: TS Index]]-AA$114) /ABS(AA$114)</f>
        <v>-0.83437724957406401</v>
      </c>
      <c r="AG65" s="11">
        <f>(Opti_Medias__30_OOS_1[[#This Row],[All: Expectancy Score]]-AB$114) /ABS(AB$114)</f>
        <v>-0.88356519137342737</v>
      </c>
      <c r="AH65" s="11"/>
      <c r="AI65" s="11">
        <f>(Opti_Medias__30_OOS_1[[#This Row],[All: Perfect Profit Correlation]]-AD$114) /ABS(AD$114)</f>
        <v>-0.688057308710735</v>
      </c>
      <c r="AJ65" s="11">
        <f>(Opti_Medias__30_OOS_1[[#This Row],[All: Robustness Index]]-AE$114) /ABS(AE$114)</f>
        <v>-0.77734412298290845</v>
      </c>
      <c r="AK65" s="11">
        <f>SUM(Opti_Medias__30_OOS_1[[#This Row],[VAR TS Index]:[VAR Robustness Index]])</f>
        <v>-3.1833438726411347</v>
      </c>
      <c r="AL65" s="11">
        <f>Opti_Medias__30_OOS_1[[#This Row],[SUMA]]-Opti_Medias__30_OOS_1[[#This Row],[VAR Robustness Index]]</f>
        <v>-2.4059997496582262</v>
      </c>
    </row>
    <row r="66" spans="1:38" x14ac:dyDescent="0.25">
      <c r="A66" s="11"/>
      <c r="B66" s="89">
        <v>27</v>
      </c>
      <c r="C66" s="89">
        <v>2</v>
      </c>
      <c r="D66" s="89">
        <v>72</v>
      </c>
      <c r="E66" s="10">
        <v>73120</v>
      </c>
      <c r="F66" s="10">
        <v>589380</v>
      </c>
      <c r="G66" s="10">
        <v>-516260</v>
      </c>
      <c r="H66" s="89">
        <v>1166</v>
      </c>
      <c r="I66" s="11">
        <v>30.102915951972555</v>
      </c>
      <c r="J66" s="89">
        <v>351</v>
      </c>
      <c r="K66" s="89">
        <v>812</v>
      </c>
      <c r="L66" s="12">
        <v>14810</v>
      </c>
      <c r="M66" s="12">
        <v>-3680</v>
      </c>
      <c r="N66" s="12">
        <v>1679.145263671875</v>
      </c>
      <c r="O66" s="12">
        <v>-635.78814697265625</v>
      </c>
      <c r="P66" s="11">
        <v>2.6410452470169932</v>
      </c>
      <c r="Q66" s="13">
        <v>62.710120068610635</v>
      </c>
      <c r="R66" s="89">
        <v>6</v>
      </c>
      <c r="S66" s="89">
        <v>18</v>
      </c>
      <c r="T66" s="89">
        <v>116</v>
      </c>
      <c r="U66" s="89">
        <v>27</v>
      </c>
      <c r="V66" s="12">
        <v>-32905</v>
      </c>
      <c r="W66" s="11">
        <v>1.141634060357184</v>
      </c>
      <c r="X66" s="89">
        <v>1</v>
      </c>
      <c r="Y66" s="12">
        <v>32905</v>
      </c>
      <c r="Z66" s="11">
        <v>222.2154687737426</v>
      </c>
      <c r="AA66" s="14">
        <v>779.97629539583647</v>
      </c>
      <c r="AB66" s="11">
        <v>0.109903071143846</v>
      </c>
      <c r="AC66" s="11">
        <v>0.59778397198399802</v>
      </c>
      <c r="AD66" s="15">
        <v>53764.462681127821</v>
      </c>
      <c r="AE66" s="11">
        <v>274.69926227600376</v>
      </c>
      <c r="AF66" s="11">
        <f>(Opti_Medias__30_OOS_1[[#This Row],[All: TS Index]]-AA$114) /ABS(AA$114)</f>
        <v>-0.90763089318203027</v>
      </c>
      <c r="AG66" s="11">
        <f>(Opti_Medias__30_OOS_1[[#This Row],[All: Expectancy Score]]-AB$114) /ABS(AB$114)</f>
        <v>-0.78278158527806529</v>
      </c>
      <c r="AH66" s="11"/>
      <c r="AI66" s="11">
        <f>(Opti_Medias__30_OOS_1[[#This Row],[All: Perfect Profit Correlation]]-AD$114) /ABS(AD$114)</f>
        <v>-0.74145677770668061</v>
      </c>
      <c r="AJ66" s="11">
        <f>(Opti_Medias__30_OOS_1[[#This Row],[All: Robustness Index]]-AE$114) /ABS(AE$114)</f>
        <v>-0.67004357188858477</v>
      </c>
      <c r="AK66" s="11">
        <f>SUM(Opti_Medias__30_OOS_1[[#This Row],[VAR TS Index]:[VAR Robustness Index]])</f>
        <v>-3.1019128280553607</v>
      </c>
      <c r="AL66" s="11">
        <f>Opti_Medias__30_OOS_1[[#This Row],[SUMA]]-Opti_Medias__30_OOS_1[[#This Row],[VAR Robustness Index]]</f>
        <v>-2.4318692561667761</v>
      </c>
    </row>
    <row r="67" spans="1:38" x14ac:dyDescent="0.25">
      <c r="A67" s="11"/>
      <c r="B67" s="89">
        <v>31</v>
      </c>
      <c r="C67" s="89">
        <v>8</v>
      </c>
      <c r="D67" s="89">
        <v>346</v>
      </c>
      <c r="E67" s="10">
        <v>88240</v>
      </c>
      <c r="F67" s="10">
        <v>700700</v>
      </c>
      <c r="G67" s="10">
        <v>-612460</v>
      </c>
      <c r="H67" s="89">
        <v>1562</v>
      </c>
      <c r="I67" s="11">
        <v>33.73879641485275</v>
      </c>
      <c r="J67" s="89">
        <v>527</v>
      </c>
      <c r="K67" s="89">
        <v>1028</v>
      </c>
      <c r="L67" s="12">
        <v>16600</v>
      </c>
      <c r="M67" s="12">
        <v>-4100</v>
      </c>
      <c r="N67" s="12">
        <v>1329.6015625</v>
      </c>
      <c r="O67" s="12">
        <v>-595.7781982421875</v>
      </c>
      <c r="P67" s="11">
        <v>2.2317056354578271</v>
      </c>
      <c r="Q67" s="13">
        <v>56.491677336747756</v>
      </c>
      <c r="R67" s="89">
        <v>11</v>
      </c>
      <c r="S67" s="89">
        <v>13</v>
      </c>
      <c r="T67" s="89">
        <v>76</v>
      </c>
      <c r="U67" s="89">
        <v>22</v>
      </c>
      <c r="V67" s="12">
        <v>-27145</v>
      </c>
      <c r="W67" s="11">
        <v>1.1440747150834341</v>
      </c>
      <c r="X67" s="89">
        <v>1</v>
      </c>
      <c r="Y67" s="12">
        <v>27145</v>
      </c>
      <c r="Z67" s="11">
        <v>325.06907349419782</v>
      </c>
      <c r="AA67" s="14">
        <v>1713.1140173144227</v>
      </c>
      <c r="AB67" s="11">
        <v>2.404420287424E-2</v>
      </c>
      <c r="AC67" s="11">
        <v>0.76819131159537801</v>
      </c>
      <c r="AD67" s="15">
        <v>64848.996677267191</v>
      </c>
      <c r="AE67" s="11">
        <v>157.90797118406388</v>
      </c>
      <c r="AF67" s="11">
        <f>(Opti_Medias__30_OOS_1[[#This Row],[All: TS Index]]-AA$114) /ABS(AA$114)</f>
        <v>-0.7971235631252469</v>
      </c>
      <c r="AG67" s="11">
        <f>(Opti_Medias__30_OOS_1[[#This Row],[All: Expectancy Score]]-AB$114) /ABS(AB$114)</f>
        <v>-0.95247772808132802</v>
      </c>
      <c r="AH67" s="11"/>
      <c r="AI67" s="11">
        <f>(Opti_Medias__30_OOS_1[[#This Row],[All: Perfect Profit Correlation]]-AD$114) /ABS(AD$114)</f>
        <v>-0.68815333163713277</v>
      </c>
      <c r="AJ67" s="11">
        <f>(Opti_Medias__30_OOS_1[[#This Row],[All: Robustness Index]]-AE$114) /ABS(AE$114)</f>
        <v>-0.81032803033208067</v>
      </c>
      <c r="AK67" s="11">
        <f>SUM(Opti_Medias__30_OOS_1[[#This Row],[VAR TS Index]:[VAR Robustness Index]])</f>
        <v>-3.2480826531757883</v>
      </c>
      <c r="AL67" s="11">
        <f>Opti_Medias__30_OOS_1[[#This Row],[SUMA]]-Opti_Medias__30_OOS_1[[#This Row],[VAR Robustness Index]]</f>
        <v>-2.4377546228437077</v>
      </c>
    </row>
    <row r="68" spans="1:38" x14ac:dyDescent="0.25">
      <c r="A68" s="11"/>
      <c r="B68" s="89">
        <v>24</v>
      </c>
      <c r="C68" s="89">
        <v>11</v>
      </c>
      <c r="D68" s="89">
        <v>474</v>
      </c>
      <c r="E68" s="4">
        <v>79280</v>
      </c>
      <c r="F68" s="4">
        <v>723300</v>
      </c>
      <c r="G68" s="4">
        <v>-644020</v>
      </c>
      <c r="H68" s="89">
        <v>1524</v>
      </c>
      <c r="I68" s="5">
        <v>43.635170603674538</v>
      </c>
      <c r="J68" s="89">
        <v>665</v>
      </c>
      <c r="K68" s="89">
        <v>856</v>
      </c>
      <c r="L68" s="6">
        <v>8520</v>
      </c>
      <c r="M68" s="6">
        <v>-4570</v>
      </c>
      <c r="N68" s="6">
        <v>1087.669189453125</v>
      </c>
      <c r="O68" s="6">
        <v>-752.35980224609375</v>
      </c>
      <c r="P68" s="5">
        <v>1.4456769037978889</v>
      </c>
      <c r="Q68" s="7">
        <v>52.020997375328086</v>
      </c>
      <c r="R68" s="89">
        <v>7</v>
      </c>
      <c r="S68" s="89">
        <v>12</v>
      </c>
      <c r="T68" s="89">
        <v>59</v>
      </c>
      <c r="U68" s="89">
        <v>27</v>
      </c>
      <c r="V68" s="6">
        <v>-31135</v>
      </c>
      <c r="W68" s="5">
        <v>1.1231017670258689</v>
      </c>
      <c r="X68" s="89">
        <v>1</v>
      </c>
      <c r="Y68" s="6">
        <v>31135</v>
      </c>
      <c r="Z68" s="5">
        <v>254.6330496226112</v>
      </c>
      <c r="AA68" s="8">
        <v>1693.3097799903646</v>
      </c>
      <c r="AB68" s="5">
        <v>1.155162074383E-2</v>
      </c>
      <c r="AC68" s="5">
        <v>0.73243779489095595</v>
      </c>
      <c r="AD68" s="9">
        <v>60596.864303792834</v>
      </c>
      <c r="AE68" s="5">
        <v>264.27035072433461</v>
      </c>
      <c r="AF68" s="11">
        <f>(Opti_Medias__30_OOS_1[[#This Row],[All: TS Index]]-AA$114) /ABS(AA$114)</f>
        <v>-0.79946889044305469</v>
      </c>
      <c r="AG68" s="11">
        <f>(Opti_Medias__30_OOS_1[[#This Row],[All: Expectancy Score]]-AB$114) /ABS(AB$114)</f>
        <v>-0.97716874770351425</v>
      </c>
      <c r="AH68" s="11"/>
      <c r="AI68" s="11">
        <f>(Opti_Medias__30_OOS_1[[#This Row],[All: Perfect Profit Correlation]]-AD$114) /ABS(AD$114)</f>
        <v>-0.70860103911216143</v>
      </c>
      <c r="AJ68" s="11">
        <f>(Opti_Medias__30_OOS_1[[#This Row],[All: Robustness Index]]-AE$114) /ABS(AE$114)</f>
        <v>-0.68257031250000011</v>
      </c>
      <c r="AK68" s="11">
        <f>SUM(Opti_Medias__30_OOS_1[[#This Row],[VAR TS Index]:[VAR Robustness Index]])</f>
        <v>-3.1678089897587305</v>
      </c>
      <c r="AL68" s="11">
        <f>Opti_Medias__30_OOS_1[[#This Row],[SUMA]]-Opti_Medias__30_OOS_1[[#This Row],[VAR Robustness Index]]</f>
        <v>-2.4852386772587303</v>
      </c>
    </row>
    <row r="69" spans="1:38" x14ac:dyDescent="0.25">
      <c r="A69" s="11"/>
      <c r="B69" s="89">
        <v>32</v>
      </c>
      <c r="C69" s="89">
        <v>1</v>
      </c>
      <c r="D69" s="89">
        <v>32</v>
      </c>
      <c r="E69" s="10">
        <v>79190</v>
      </c>
      <c r="F69" s="10">
        <v>686970</v>
      </c>
      <c r="G69" s="10">
        <v>-607780</v>
      </c>
      <c r="H69" s="89">
        <v>1529</v>
      </c>
      <c r="I69" s="11">
        <v>35.317200784826682</v>
      </c>
      <c r="J69" s="89">
        <v>540</v>
      </c>
      <c r="K69" s="89">
        <v>980</v>
      </c>
      <c r="L69" s="12">
        <v>17190</v>
      </c>
      <c r="M69" s="12">
        <v>-4110</v>
      </c>
      <c r="N69" s="12">
        <v>1272.1666259765625</v>
      </c>
      <c r="O69" s="12">
        <v>-620.18365478515625</v>
      </c>
      <c r="P69" s="11">
        <v>2.0512740317499429</v>
      </c>
      <c r="Q69" s="13">
        <v>51.79202092871158</v>
      </c>
      <c r="R69" s="89">
        <v>5</v>
      </c>
      <c r="S69" s="89">
        <v>11</v>
      </c>
      <c r="T69" s="89">
        <v>73</v>
      </c>
      <c r="U69" s="89">
        <v>24</v>
      </c>
      <c r="V69" s="12">
        <v>-33575</v>
      </c>
      <c r="W69" s="11">
        <v>1.130293856329593</v>
      </c>
      <c r="X69" s="89">
        <v>1</v>
      </c>
      <c r="Y69" s="12">
        <v>33575</v>
      </c>
      <c r="Z69" s="11">
        <v>235.86001489203275</v>
      </c>
      <c r="AA69" s="14">
        <v>1273.644080416977</v>
      </c>
      <c r="AB69" s="11">
        <v>3.4956859006232001E-2</v>
      </c>
      <c r="AC69" s="11">
        <v>0.69042338052181995</v>
      </c>
      <c r="AD69" s="15">
        <v>60935.645951915467</v>
      </c>
      <c r="AE69" s="11">
        <v>227.56064357080166</v>
      </c>
      <c r="AF69" s="11">
        <f>(Opti_Medias__30_OOS_1[[#This Row],[All: TS Index]]-AA$114) /ABS(AA$114)</f>
        <v>-0.84916802368666111</v>
      </c>
      <c r="AG69" s="11">
        <f>(Opti_Medias__30_OOS_1[[#This Row],[All: Expectancy Score]]-AB$114) /ABS(AB$114)</f>
        <v>-0.93090936023931947</v>
      </c>
      <c r="AH69" s="11"/>
      <c r="AI69" s="11">
        <f>(Opti_Medias__30_OOS_1[[#This Row],[All: Perfect Profit Correlation]]-AD$114) /ABS(AD$114)</f>
        <v>-0.70697190167468804</v>
      </c>
      <c r="AJ69" s="11">
        <f>(Opti_Medias__30_OOS_1[[#This Row],[All: Robustness Index]]-AE$114) /ABS(AE$114)</f>
        <v>-0.72666436557112069</v>
      </c>
      <c r="AK69" s="11">
        <f>SUM(Opti_Medias__30_OOS_1[[#This Row],[VAR TS Index]:[VAR Robustness Index]])</f>
        <v>-3.2137136511717896</v>
      </c>
      <c r="AL69" s="11">
        <f>Opti_Medias__30_OOS_1[[#This Row],[SUMA]]-Opti_Medias__30_OOS_1[[#This Row],[VAR Robustness Index]]</f>
        <v>-2.4870492856006692</v>
      </c>
    </row>
    <row r="70" spans="1:38" x14ac:dyDescent="0.25">
      <c r="A70" s="11"/>
      <c r="B70" s="89">
        <v>37</v>
      </c>
      <c r="C70" s="89">
        <v>5</v>
      </c>
      <c r="D70" s="89">
        <v>217</v>
      </c>
      <c r="E70" s="10">
        <v>75310</v>
      </c>
      <c r="F70" s="10">
        <v>666210</v>
      </c>
      <c r="G70" s="10">
        <v>-590900</v>
      </c>
      <c r="H70" s="89">
        <v>1677</v>
      </c>
      <c r="I70" s="11">
        <v>29.934406678592726</v>
      </c>
      <c r="J70" s="89">
        <v>502</v>
      </c>
      <c r="K70" s="89">
        <v>1165</v>
      </c>
      <c r="L70" s="12">
        <v>16460</v>
      </c>
      <c r="M70" s="12">
        <v>-3950</v>
      </c>
      <c r="N70" s="12">
        <v>1327.111572265625</v>
      </c>
      <c r="O70" s="12">
        <v>-507.21029663085938</v>
      </c>
      <c r="P70" s="11">
        <v>2.6164917807878778</v>
      </c>
      <c r="Q70" s="13">
        <v>44.907573047107931</v>
      </c>
      <c r="R70" s="89">
        <v>5</v>
      </c>
      <c r="S70" s="89">
        <v>16</v>
      </c>
      <c r="T70" s="89">
        <v>80</v>
      </c>
      <c r="U70" s="89">
        <v>20</v>
      </c>
      <c r="V70" s="12">
        <v>-35745</v>
      </c>
      <c r="W70" s="11">
        <v>1.1274496530715861</v>
      </c>
      <c r="X70" s="89">
        <v>1</v>
      </c>
      <c r="Y70" s="12">
        <v>35745</v>
      </c>
      <c r="Z70" s="11">
        <v>210.6868093439642</v>
      </c>
      <c r="AA70" s="14">
        <v>1057.6477829067003</v>
      </c>
      <c r="AB70" s="11">
        <v>6.0385834243181002E-2</v>
      </c>
      <c r="AC70" s="11">
        <v>0.62887743353691306</v>
      </c>
      <c r="AD70" s="15">
        <v>50697.749059975198</v>
      </c>
      <c r="AE70" s="11">
        <v>204.80860493766082</v>
      </c>
      <c r="AF70" s="11">
        <f>(Opti_Medias__30_OOS_1[[#This Row],[All: TS Index]]-AA$114) /ABS(AA$114)</f>
        <v>-0.87474749987687972</v>
      </c>
      <c r="AG70" s="11">
        <f>(Opti_Medias__30_OOS_1[[#This Row],[All: Expectancy Score]]-AB$114) /ABS(AB$114)</f>
        <v>-0.88065014881342762</v>
      </c>
      <c r="AH70" s="11"/>
      <c r="AI70" s="11">
        <f>(Opti_Medias__30_OOS_1[[#This Row],[All: Perfect Profit Correlation]]-AD$114) /ABS(AD$114)</f>
        <v>-0.75620402862158509</v>
      </c>
      <c r="AJ70" s="11">
        <f>(Opti_Medias__30_OOS_1[[#This Row],[All: Robustness Index]]-AE$114) /ABS(AE$114)</f>
        <v>-0.75399309349504662</v>
      </c>
      <c r="AK70" s="11">
        <f>SUM(Opti_Medias__30_OOS_1[[#This Row],[VAR TS Index]:[VAR Robustness Index]])</f>
        <v>-3.2655947708069393</v>
      </c>
      <c r="AL70" s="11">
        <f>Opti_Medias__30_OOS_1[[#This Row],[SUMA]]-Opti_Medias__30_OOS_1[[#This Row],[VAR Robustness Index]]</f>
        <v>-2.5116016773118925</v>
      </c>
    </row>
    <row r="71" spans="1:38" x14ac:dyDescent="0.25">
      <c r="A71" s="11"/>
      <c r="B71" s="89">
        <v>33</v>
      </c>
      <c r="C71" s="89">
        <v>8</v>
      </c>
      <c r="D71" s="89">
        <v>348</v>
      </c>
      <c r="E71" s="10">
        <v>75880</v>
      </c>
      <c r="F71" s="10">
        <v>708080</v>
      </c>
      <c r="G71" s="10">
        <v>-632200</v>
      </c>
      <c r="H71" s="89">
        <v>1634</v>
      </c>
      <c r="I71" s="11">
        <v>32.313341493268055</v>
      </c>
      <c r="J71" s="89">
        <v>528</v>
      </c>
      <c r="K71" s="89">
        <v>1099</v>
      </c>
      <c r="L71" s="12">
        <v>16600</v>
      </c>
      <c r="M71" s="12">
        <v>-4100</v>
      </c>
      <c r="N71" s="12">
        <v>1341.060546875</v>
      </c>
      <c r="O71" s="12">
        <v>-575.250244140625</v>
      </c>
      <c r="P71" s="11">
        <v>2.331264628802427</v>
      </c>
      <c r="Q71" s="13">
        <v>46.438188494492046</v>
      </c>
      <c r="R71" s="89">
        <v>11</v>
      </c>
      <c r="S71" s="89">
        <v>13</v>
      </c>
      <c r="T71" s="89">
        <v>75</v>
      </c>
      <c r="U71" s="89">
        <v>21</v>
      </c>
      <c r="V71" s="12">
        <v>-30585</v>
      </c>
      <c r="W71" s="11">
        <v>1.120025308446694</v>
      </c>
      <c r="X71" s="89">
        <v>1</v>
      </c>
      <c r="Y71" s="12">
        <v>30585</v>
      </c>
      <c r="Z71" s="11">
        <v>248.09547163642307</v>
      </c>
      <c r="AA71" s="14">
        <v>1309.9440902403139</v>
      </c>
      <c r="AB71" s="11">
        <v>4.2872083854472998E-2</v>
      </c>
      <c r="AC71" s="11">
        <v>0.64134990798550096</v>
      </c>
      <c r="AD71" s="15">
        <v>46881.945161401512</v>
      </c>
      <c r="AE71" s="11">
        <v>134.36730786796733</v>
      </c>
      <c r="AF71" s="11">
        <f>(Opti_Medias__30_OOS_1[[#This Row],[All: TS Index]]-AA$114) /ABS(AA$114)</f>
        <v>-0.84486917575415632</v>
      </c>
      <c r="AG71" s="11">
        <f>(Opti_Medias__30_OOS_1[[#This Row],[All: Expectancy Score]]-AB$114) /ABS(AB$114)</f>
        <v>-0.91526527881549624</v>
      </c>
      <c r="AH71" s="11"/>
      <c r="AI71" s="11">
        <f>(Opti_Medias__30_OOS_1[[#This Row],[All: Perfect Profit Correlation]]-AD$114) /ABS(AD$114)</f>
        <v>-0.77455351425539098</v>
      </c>
      <c r="AJ71" s="11">
        <f>(Opti_Medias__30_OOS_1[[#This Row],[All: Robustness Index]]-AE$114) /ABS(AE$114)</f>
        <v>-0.83860401883964475</v>
      </c>
      <c r="AK71" s="11">
        <f>SUM(Opti_Medias__30_OOS_1[[#This Row],[VAR TS Index]:[VAR Robustness Index]])</f>
        <v>-3.3732919876646879</v>
      </c>
      <c r="AL71" s="11">
        <f>Opti_Medias__30_OOS_1[[#This Row],[SUMA]]-Opti_Medias__30_OOS_1[[#This Row],[VAR Robustness Index]]</f>
        <v>-2.5346879688250432</v>
      </c>
    </row>
    <row r="72" spans="1:38" x14ac:dyDescent="0.25">
      <c r="A72" s="11"/>
      <c r="B72" s="89">
        <v>32</v>
      </c>
      <c r="C72" s="89">
        <v>2</v>
      </c>
      <c r="D72" s="89">
        <v>77</v>
      </c>
      <c r="E72" s="10">
        <v>63680</v>
      </c>
      <c r="F72" s="10">
        <v>619950</v>
      </c>
      <c r="G72" s="10">
        <v>-556270</v>
      </c>
      <c r="H72" s="89">
        <v>1396</v>
      </c>
      <c r="I72" s="11">
        <v>28.868194842406876</v>
      </c>
      <c r="J72" s="89">
        <v>403</v>
      </c>
      <c r="K72" s="89">
        <v>993</v>
      </c>
      <c r="L72" s="12">
        <v>14530</v>
      </c>
      <c r="M72" s="12">
        <v>-3770</v>
      </c>
      <c r="N72" s="12">
        <v>1538.3375244140625</v>
      </c>
      <c r="O72" s="12">
        <v>-560.19134521484375</v>
      </c>
      <c r="P72" s="11">
        <v>2.746092986895543</v>
      </c>
      <c r="Q72" s="13">
        <v>45.616045845272204</v>
      </c>
      <c r="R72" s="89">
        <v>5</v>
      </c>
      <c r="S72" s="89">
        <v>16</v>
      </c>
      <c r="T72" s="89">
        <v>101</v>
      </c>
      <c r="U72" s="89">
        <v>22</v>
      </c>
      <c r="V72" s="12">
        <v>-39155</v>
      </c>
      <c r="W72" s="11">
        <v>1.1144767828572451</v>
      </c>
      <c r="X72" s="89">
        <v>1</v>
      </c>
      <c r="Y72" s="12">
        <v>39155</v>
      </c>
      <c r="Z72" s="11">
        <v>162.63567871280807</v>
      </c>
      <c r="AA72" s="14">
        <v>655.42178521261656</v>
      </c>
      <c r="AB72" s="11">
        <v>9.6328828997480007E-2</v>
      </c>
      <c r="AC72" s="11">
        <v>0.50450785706561596</v>
      </c>
      <c r="AD72" s="15">
        <v>37891.728174722404</v>
      </c>
      <c r="AE72" s="11">
        <v>156.42566382376569</v>
      </c>
      <c r="AF72" s="11">
        <f>(Opti_Medias__30_OOS_1[[#This Row],[All: TS Index]]-AA$114) /ABS(AA$114)</f>
        <v>-0.92238132716789256</v>
      </c>
      <c r="AG72" s="11">
        <f>(Opti_Medias__30_OOS_1[[#This Row],[All: Expectancy Score]]-AB$114) /ABS(AB$114)</f>
        <v>-0.80961045665897569</v>
      </c>
      <c r="AH72" s="11"/>
      <c r="AI72" s="11">
        <f>(Opti_Medias__30_OOS_1[[#This Row],[All: Perfect Profit Correlation]]-AD$114) /ABS(AD$114)</f>
        <v>-0.81778578242921662</v>
      </c>
      <c r="AJ72" s="11">
        <f>(Opti_Medias__30_OOS_1[[#This Row],[All: Robustness Index]]-AE$114) /ABS(AE$114)</f>
        <v>-0.81210851142225493</v>
      </c>
      <c r="AK72" s="11">
        <f>SUM(Opti_Medias__30_OOS_1[[#This Row],[VAR TS Index]:[VAR Robustness Index]])</f>
        <v>-3.3618860776783399</v>
      </c>
      <c r="AL72" s="11">
        <f>Opti_Medias__30_OOS_1[[#This Row],[SUMA]]-Opti_Medias__30_OOS_1[[#This Row],[VAR Robustness Index]]</f>
        <v>-2.5497775662560849</v>
      </c>
    </row>
    <row r="73" spans="1:38" x14ac:dyDescent="0.25">
      <c r="A73" s="11"/>
      <c r="B73" s="89">
        <v>35</v>
      </c>
      <c r="C73" s="89">
        <v>11</v>
      </c>
      <c r="D73" s="89">
        <v>485</v>
      </c>
      <c r="E73" s="10">
        <v>73020</v>
      </c>
      <c r="F73" s="10">
        <v>703550</v>
      </c>
      <c r="G73" s="10">
        <v>-630530</v>
      </c>
      <c r="H73" s="89">
        <v>1556</v>
      </c>
      <c r="I73" s="11">
        <v>36.760925449871465</v>
      </c>
      <c r="J73" s="89">
        <v>572</v>
      </c>
      <c r="K73" s="89">
        <v>976</v>
      </c>
      <c r="L73" s="12">
        <v>17530</v>
      </c>
      <c r="M73" s="12">
        <v>-4300</v>
      </c>
      <c r="N73" s="12">
        <v>1229.9825439453125</v>
      </c>
      <c r="O73" s="12">
        <v>-646.03485107421875</v>
      </c>
      <c r="P73" s="11">
        <v>1.9038950327526649</v>
      </c>
      <c r="Q73" s="13">
        <v>46.9280205655527</v>
      </c>
      <c r="R73" s="89">
        <v>9</v>
      </c>
      <c r="S73" s="89">
        <v>17</v>
      </c>
      <c r="T73" s="89">
        <v>70</v>
      </c>
      <c r="U73" s="89">
        <v>23</v>
      </c>
      <c r="V73" s="12">
        <v>-45225</v>
      </c>
      <c r="W73" s="11">
        <v>1.115807336685011</v>
      </c>
      <c r="X73" s="89">
        <v>1</v>
      </c>
      <c r="Y73" s="12">
        <v>45225</v>
      </c>
      <c r="Z73" s="11">
        <v>161.45936981757876</v>
      </c>
      <c r="AA73" s="14">
        <v>923.54759535655057</v>
      </c>
      <c r="AB73" s="11">
        <v>2.7973247205481E-2</v>
      </c>
      <c r="AC73" s="11">
        <v>0.63785870168997805</v>
      </c>
      <c r="AD73" s="15">
        <v>57032.069328840073</v>
      </c>
      <c r="AE73" s="11">
        <v>102.50413621313122</v>
      </c>
      <c r="AF73" s="11">
        <f>(Opti_Medias__30_OOS_1[[#This Row],[All: TS Index]]-AA$114) /ABS(AA$114)</f>
        <v>-0.8906283857720636</v>
      </c>
      <c r="AG73" s="11">
        <f>(Opti_Medias__30_OOS_1[[#This Row],[All: Expectancy Score]]-AB$114) /ABS(AB$114)</f>
        <v>-0.94471215090389571</v>
      </c>
      <c r="AH73" s="11"/>
      <c r="AI73" s="11">
        <f>(Opti_Medias__30_OOS_1[[#This Row],[All: Perfect Profit Correlation]]-AD$114) /ABS(AD$114)</f>
        <v>-0.72574346988665961</v>
      </c>
      <c r="AJ73" s="11">
        <f>(Opti_Medias__30_OOS_1[[#This Row],[All: Robustness Index]]-AE$114) /ABS(AE$114)</f>
        <v>-0.87687663093340151</v>
      </c>
      <c r="AK73" s="11">
        <f>SUM(Opti_Medias__30_OOS_1[[#This Row],[VAR TS Index]:[VAR Robustness Index]])</f>
        <v>-3.4379606374960208</v>
      </c>
      <c r="AL73" s="11">
        <f>Opti_Medias__30_OOS_1[[#This Row],[SUMA]]-Opti_Medias__30_OOS_1[[#This Row],[VAR Robustness Index]]</f>
        <v>-2.561084006562619</v>
      </c>
    </row>
    <row r="74" spans="1:38" x14ac:dyDescent="0.25">
      <c r="A74" s="11"/>
      <c r="B74" s="89">
        <v>38</v>
      </c>
      <c r="C74" s="89">
        <v>5</v>
      </c>
      <c r="D74" s="89">
        <v>218</v>
      </c>
      <c r="E74" s="10">
        <v>65950</v>
      </c>
      <c r="F74" s="10">
        <v>685180</v>
      </c>
      <c r="G74" s="10">
        <v>-619230</v>
      </c>
      <c r="H74" s="89">
        <v>1807</v>
      </c>
      <c r="I74" s="11">
        <v>28.168234643054788</v>
      </c>
      <c r="J74" s="89">
        <v>509</v>
      </c>
      <c r="K74" s="89">
        <v>1287</v>
      </c>
      <c r="L74" s="12">
        <v>17480</v>
      </c>
      <c r="M74" s="12">
        <v>-3580</v>
      </c>
      <c r="N74" s="12">
        <v>1346.129638671875</v>
      </c>
      <c r="O74" s="12">
        <v>-481.14218139648438</v>
      </c>
      <c r="P74" s="11">
        <v>2.797779306659042</v>
      </c>
      <c r="Q74" s="13">
        <v>36.496956281128945</v>
      </c>
      <c r="R74" s="89">
        <v>7</v>
      </c>
      <c r="S74" s="89">
        <v>15</v>
      </c>
      <c r="T74" s="89">
        <v>77</v>
      </c>
      <c r="U74" s="89">
        <v>18</v>
      </c>
      <c r="V74" s="12">
        <v>-35015</v>
      </c>
      <c r="W74" s="11">
        <v>1.106503237892221</v>
      </c>
      <c r="X74" s="89">
        <v>1</v>
      </c>
      <c r="Y74" s="12">
        <v>35015</v>
      </c>
      <c r="Z74" s="11">
        <v>188.34785092103385</v>
      </c>
      <c r="AA74" s="14">
        <v>958.69056118806225</v>
      </c>
      <c r="AB74" s="11">
        <v>6.0125523442618997E-2</v>
      </c>
      <c r="AC74" s="11">
        <v>0.52840801777138502</v>
      </c>
      <c r="AD74" s="15">
        <v>42319.154726159308</v>
      </c>
      <c r="AE74" s="11">
        <v>155.62851797331052</v>
      </c>
      <c r="AF74" s="11">
        <f>(Opti_Medias__30_OOS_1[[#This Row],[All: TS Index]]-AA$114) /ABS(AA$114)</f>
        <v>-0.88646656138848579</v>
      </c>
      <c r="AG74" s="11">
        <f>(Opti_Medias__30_OOS_1[[#This Row],[All: Expectancy Score]]-AB$114) /ABS(AB$114)</f>
        <v>-0.8811646412552181</v>
      </c>
      <c r="AH74" s="11"/>
      <c r="AI74" s="11">
        <f>(Opti_Medias__30_OOS_1[[#This Row],[All: Perfect Profit Correlation]]-AD$114) /ABS(AD$114)</f>
        <v>-0.79649511811318896</v>
      </c>
      <c r="AJ74" s="11">
        <f>(Opti_Medias__30_OOS_1[[#This Row],[All: Robustness Index]]-AE$114) /ABS(AE$114)</f>
        <v>-0.81306600724994937</v>
      </c>
      <c r="AK74" s="11">
        <f>SUM(Opti_Medias__30_OOS_1[[#This Row],[VAR TS Index]:[VAR Robustness Index]])</f>
        <v>-3.3771923280068421</v>
      </c>
      <c r="AL74" s="11">
        <f>Opti_Medias__30_OOS_1[[#This Row],[SUMA]]-Opti_Medias__30_OOS_1[[#This Row],[VAR Robustness Index]]</f>
        <v>-2.564126320756893</v>
      </c>
    </row>
    <row r="75" spans="1:38" x14ac:dyDescent="0.25">
      <c r="A75" s="11"/>
      <c r="B75" s="89">
        <v>37</v>
      </c>
      <c r="C75" s="89">
        <v>1</v>
      </c>
      <c r="D75" s="89">
        <v>37</v>
      </c>
      <c r="E75" s="10">
        <v>79940</v>
      </c>
      <c r="F75" s="10">
        <v>732480</v>
      </c>
      <c r="G75" s="10">
        <v>-652540</v>
      </c>
      <c r="H75" s="89">
        <v>1769</v>
      </c>
      <c r="I75" s="11">
        <v>32.447710570944039</v>
      </c>
      <c r="J75" s="89">
        <v>574</v>
      </c>
      <c r="K75" s="89">
        <v>1185</v>
      </c>
      <c r="L75" s="12">
        <v>16600</v>
      </c>
      <c r="M75" s="12">
        <v>-4080</v>
      </c>
      <c r="N75" s="12">
        <v>1276.0975341796875</v>
      </c>
      <c r="O75" s="12">
        <v>-550.66668701171875</v>
      </c>
      <c r="P75" s="11">
        <v>2.3173683178560078</v>
      </c>
      <c r="Q75" s="13">
        <v>45.189372526851329</v>
      </c>
      <c r="R75" s="89">
        <v>7</v>
      </c>
      <c r="S75" s="89">
        <v>16</v>
      </c>
      <c r="T75" s="89">
        <v>68</v>
      </c>
      <c r="U75" s="89">
        <v>20</v>
      </c>
      <c r="V75" s="12">
        <v>-38285</v>
      </c>
      <c r="W75" s="11">
        <v>1.122505900021455</v>
      </c>
      <c r="X75" s="89">
        <v>1</v>
      </c>
      <c r="Y75" s="12">
        <v>38285</v>
      </c>
      <c r="Z75" s="11">
        <v>208.80240302990728</v>
      </c>
      <c r="AA75" s="14">
        <v>1198.5257933916678</v>
      </c>
      <c r="AB75" s="11">
        <v>2.0175345155295E-2</v>
      </c>
      <c r="AC75" s="11">
        <v>0.68322930648914904</v>
      </c>
      <c r="AD75" s="15">
        <v>50474.98976098335</v>
      </c>
      <c r="AE75" s="11">
        <v>181.37812813660551</v>
      </c>
      <c r="AF75" s="11">
        <f>(Opti_Medias__30_OOS_1[[#This Row],[All: TS Index]]-AA$114) /ABS(AA$114)</f>
        <v>-0.85806394670276054</v>
      </c>
      <c r="AG75" s="11">
        <f>(Opti_Medias__30_OOS_1[[#This Row],[All: Expectancy Score]]-AB$114) /ABS(AB$114)</f>
        <v>-0.96012434916067912</v>
      </c>
      <c r="AH75" s="11"/>
      <c r="AI75" s="11">
        <f>(Opti_Medias__30_OOS_1[[#This Row],[All: Perfect Profit Correlation]]-AD$114) /ABS(AD$114)</f>
        <v>-0.75727523633175475</v>
      </c>
      <c r="AJ75" s="11">
        <f>(Opti_Medias__30_OOS_1[[#This Row],[All: Robustness Index]]-AE$114) /ABS(AE$114)</f>
        <v>-0.78213673090480362</v>
      </c>
      <c r="AK75" s="11">
        <f>SUM(Opti_Medias__30_OOS_1[[#This Row],[VAR TS Index]:[VAR Robustness Index]])</f>
        <v>-3.3576002630999984</v>
      </c>
      <c r="AL75" s="11">
        <f>Opti_Medias__30_OOS_1[[#This Row],[SUMA]]-Opti_Medias__30_OOS_1[[#This Row],[VAR Robustness Index]]</f>
        <v>-2.5754635321951946</v>
      </c>
    </row>
    <row r="76" spans="1:38" x14ac:dyDescent="0.25">
      <c r="A76" s="11"/>
      <c r="B76" s="89">
        <v>32</v>
      </c>
      <c r="C76" s="89">
        <v>8</v>
      </c>
      <c r="D76" s="89">
        <v>347</v>
      </c>
      <c r="E76" s="10">
        <v>79440</v>
      </c>
      <c r="F76" s="10">
        <v>704020</v>
      </c>
      <c r="G76" s="10">
        <v>-624580</v>
      </c>
      <c r="H76" s="89">
        <v>1598</v>
      </c>
      <c r="I76" s="11">
        <v>32.415519399249064</v>
      </c>
      <c r="J76" s="89">
        <v>518</v>
      </c>
      <c r="K76" s="89">
        <v>1073</v>
      </c>
      <c r="L76" s="12">
        <v>16600</v>
      </c>
      <c r="M76" s="12">
        <v>-4100</v>
      </c>
      <c r="N76" s="12">
        <v>1359.1119384765625</v>
      </c>
      <c r="O76" s="12">
        <v>-582.08758544921875</v>
      </c>
      <c r="P76" s="11">
        <v>2.3348925014913089</v>
      </c>
      <c r="Q76" s="13">
        <v>49.712140175219027</v>
      </c>
      <c r="R76" s="89">
        <v>11</v>
      </c>
      <c r="S76" s="89">
        <v>13</v>
      </c>
      <c r="T76" s="89">
        <v>76</v>
      </c>
      <c r="U76" s="89">
        <v>22</v>
      </c>
      <c r="V76" s="12">
        <v>-31605</v>
      </c>
      <c r="W76" s="11">
        <v>1.1271894713247299</v>
      </c>
      <c r="X76" s="89">
        <v>1</v>
      </c>
      <c r="Y76" s="12">
        <v>31605</v>
      </c>
      <c r="Z76" s="11">
        <v>251.35263407688657</v>
      </c>
      <c r="AA76" s="14">
        <v>1302.0066445182724</v>
      </c>
      <c r="AB76" s="11">
        <v>6.3987041417230004E-3</v>
      </c>
      <c r="AC76" s="11">
        <v>0.67574393730964299</v>
      </c>
      <c r="AD76" s="15">
        <v>51789.166701067705</v>
      </c>
      <c r="AE76" s="11">
        <v>141.16410330126342</v>
      </c>
      <c r="AF76" s="11">
        <f>(Opti_Medias__30_OOS_1[[#This Row],[All: TS Index]]-AA$114) /ABS(AA$114)</f>
        <v>-0.84580917197723249</v>
      </c>
      <c r="AG76" s="11">
        <f>(Opti_Medias__30_OOS_1[[#This Row],[All: Expectancy Score]]-AB$114) /ABS(AB$114)</f>
        <v>-0.98735325268462637</v>
      </c>
      <c r="AH76" s="11"/>
      <c r="AI76" s="11">
        <f>(Opti_Medias__30_OOS_1[[#This Row],[All: Perfect Profit Correlation]]-AD$114) /ABS(AD$114)</f>
        <v>-0.75095560578381948</v>
      </c>
      <c r="AJ76" s="11">
        <f>(Opti_Medias__30_OOS_1[[#This Row],[All: Robustness Index]]-AE$114) /ABS(AE$114)</f>
        <v>-0.83044001313685178</v>
      </c>
      <c r="AK76" s="11">
        <f>SUM(Opti_Medias__30_OOS_1[[#This Row],[VAR TS Index]:[VAR Robustness Index]])</f>
        <v>-3.41455804358253</v>
      </c>
      <c r="AL76" s="11">
        <f>Opti_Medias__30_OOS_1[[#This Row],[SUMA]]-Opti_Medias__30_OOS_1[[#This Row],[VAR Robustness Index]]</f>
        <v>-2.5841180304456781</v>
      </c>
    </row>
    <row r="77" spans="1:38" x14ac:dyDescent="0.25">
      <c r="A77" s="11"/>
      <c r="B77" s="89">
        <v>35</v>
      </c>
      <c r="C77" s="89">
        <v>8</v>
      </c>
      <c r="D77" s="89">
        <v>350</v>
      </c>
      <c r="E77" s="10">
        <v>60010</v>
      </c>
      <c r="F77" s="10">
        <v>720940</v>
      </c>
      <c r="G77" s="10">
        <v>-660930</v>
      </c>
      <c r="H77" s="89">
        <v>1734</v>
      </c>
      <c r="I77" s="11">
        <v>30.91118800461361</v>
      </c>
      <c r="J77" s="89">
        <v>536</v>
      </c>
      <c r="K77" s="89">
        <v>1188</v>
      </c>
      <c r="L77" s="12">
        <v>17160</v>
      </c>
      <c r="M77" s="12">
        <v>-3340</v>
      </c>
      <c r="N77" s="12">
        <v>1345.037353515625</v>
      </c>
      <c r="O77" s="12">
        <v>-556.33837890625</v>
      </c>
      <c r="P77" s="11">
        <v>2.417660554283422</v>
      </c>
      <c r="Q77" s="13">
        <v>34.607843137254903</v>
      </c>
      <c r="R77" s="89">
        <v>7</v>
      </c>
      <c r="S77" s="89">
        <v>20</v>
      </c>
      <c r="T77" s="89">
        <v>74</v>
      </c>
      <c r="U77" s="89">
        <v>19</v>
      </c>
      <c r="V77" s="12">
        <v>-39605</v>
      </c>
      <c r="W77" s="11">
        <v>1.0907963021802609</v>
      </c>
      <c r="X77" s="89">
        <v>1</v>
      </c>
      <c r="Y77" s="12">
        <v>39605</v>
      </c>
      <c r="Z77" s="11">
        <v>151.52127256659512</v>
      </c>
      <c r="AA77" s="14">
        <v>812.15402095694992</v>
      </c>
      <c r="AB77" s="11">
        <v>9.6644320370398995E-2</v>
      </c>
      <c r="AC77" s="11">
        <v>0.480456590548686</v>
      </c>
      <c r="AD77" s="15">
        <v>26330.623779191279</v>
      </c>
      <c r="AE77" s="11">
        <v>110.44745650272236</v>
      </c>
      <c r="AF77" s="11">
        <f>(Opti_Medias__30_OOS_1[[#This Row],[All: TS Index]]-AA$114) /ABS(AA$114)</f>
        <v>-0.90382022895151615</v>
      </c>
      <c r="AG77" s="11">
        <f>(Opti_Medias__30_OOS_1[[#This Row],[All: Expectancy Score]]-AB$114) /ABS(AB$114)</f>
        <v>-0.8089869023290498</v>
      </c>
      <c r="AH77" s="11"/>
      <c r="AI77" s="11">
        <f>(Opti_Medias__30_OOS_1[[#This Row],[All: Perfect Profit Correlation]]-AD$114) /ABS(AD$114)</f>
        <v>-0.87338096621107331</v>
      </c>
      <c r="AJ77" s="11">
        <f>(Opti_Medias__30_OOS_1[[#This Row],[All: Robustness Index]]-AE$114) /ABS(AE$114)</f>
        <v>-0.8673354710177078</v>
      </c>
      <c r="AK77" s="11">
        <f>SUM(Opti_Medias__30_OOS_1[[#This Row],[VAR TS Index]:[VAR Robustness Index]])</f>
        <v>-3.4535235685093468</v>
      </c>
      <c r="AL77" s="11">
        <f>Opti_Medias__30_OOS_1[[#This Row],[SUMA]]-Opti_Medias__30_OOS_1[[#This Row],[VAR Robustness Index]]</f>
        <v>-2.5861880974916391</v>
      </c>
    </row>
    <row r="78" spans="1:38" x14ac:dyDescent="0.25">
      <c r="A78" s="11"/>
      <c r="B78" s="89">
        <v>39</v>
      </c>
      <c r="C78" s="89">
        <v>11</v>
      </c>
      <c r="D78" s="89">
        <v>489</v>
      </c>
      <c r="E78" s="10">
        <v>50870</v>
      </c>
      <c r="F78" s="10">
        <v>688990</v>
      </c>
      <c r="G78" s="10">
        <v>-638120</v>
      </c>
      <c r="H78" s="89">
        <v>1602</v>
      </c>
      <c r="I78" s="11">
        <v>33.770287141073659</v>
      </c>
      <c r="J78" s="89">
        <v>541</v>
      </c>
      <c r="K78" s="89">
        <v>1057</v>
      </c>
      <c r="L78" s="12">
        <v>16830</v>
      </c>
      <c r="M78" s="12">
        <v>-4440</v>
      </c>
      <c r="N78" s="12">
        <v>1273.5489501953125</v>
      </c>
      <c r="O78" s="12">
        <v>-603.7086181640625</v>
      </c>
      <c r="P78" s="11">
        <v>2.1095424379865579</v>
      </c>
      <c r="Q78" s="13">
        <v>31.754057428214733</v>
      </c>
      <c r="R78" s="89">
        <v>6</v>
      </c>
      <c r="S78" s="89">
        <v>16</v>
      </c>
      <c r="T78" s="89">
        <v>74</v>
      </c>
      <c r="U78" s="89">
        <v>22</v>
      </c>
      <c r="V78" s="12">
        <v>-26775</v>
      </c>
      <c r="W78" s="11">
        <v>1.0797185482354421</v>
      </c>
      <c r="X78" s="89">
        <v>1</v>
      </c>
      <c r="Y78" s="12">
        <v>26775</v>
      </c>
      <c r="Z78" s="11">
        <v>189.99066293183941</v>
      </c>
      <c r="AA78" s="14">
        <v>1027.8494864612512</v>
      </c>
      <c r="AB78" s="11">
        <v>4.2378347738738997E-2</v>
      </c>
      <c r="AC78" s="11">
        <v>0.40875500678334598</v>
      </c>
      <c r="AD78" s="15">
        <v>42789.341623172222</v>
      </c>
      <c r="AE78" s="11">
        <v>163.27141867840191</v>
      </c>
      <c r="AF78" s="11">
        <f>(Opti_Medias__30_OOS_1[[#This Row],[All: TS Index]]-AA$114) /ABS(AA$114)</f>
        <v>-0.87827637895129618</v>
      </c>
      <c r="AG78" s="11">
        <f>(Opti_Medias__30_OOS_1[[#This Row],[All: Expectancy Score]]-AB$114) /ABS(AB$114)</f>
        <v>-0.91624112576166872</v>
      </c>
      <c r="AH78" s="11"/>
      <c r="AI78" s="11">
        <f>(Opti_Medias__30_OOS_1[[#This Row],[All: Perfect Profit Correlation]]-AD$114) /ABS(AD$114)</f>
        <v>-0.79423407746716213</v>
      </c>
      <c r="AJ78" s="11">
        <f>(Opti_Medias__30_OOS_1[[#This Row],[All: Robustness Index]]-AE$114) /ABS(AE$114)</f>
        <v>-0.80388569785935349</v>
      </c>
      <c r="AK78" s="11">
        <f>SUM(Opti_Medias__30_OOS_1[[#This Row],[VAR TS Index]:[VAR Robustness Index]])</f>
        <v>-3.3926372800394806</v>
      </c>
      <c r="AL78" s="11">
        <f>Opti_Medias__30_OOS_1[[#This Row],[SUMA]]-Opti_Medias__30_OOS_1[[#This Row],[VAR Robustness Index]]</f>
        <v>-2.588751582180127</v>
      </c>
    </row>
    <row r="79" spans="1:38" x14ac:dyDescent="0.25">
      <c r="A79" s="11"/>
      <c r="B79" s="89">
        <v>37</v>
      </c>
      <c r="C79" s="89">
        <v>12</v>
      </c>
      <c r="D79" s="89">
        <v>532</v>
      </c>
      <c r="E79" s="10">
        <v>59130</v>
      </c>
      <c r="F79" s="10">
        <v>586800</v>
      </c>
      <c r="G79" s="10">
        <v>-527670</v>
      </c>
      <c r="H79" s="89">
        <v>1258</v>
      </c>
      <c r="I79" s="11">
        <v>33.704292527821941</v>
      </c>
      <c r="J79" s="89">
        <v>424</v>
      </c>
      <c r="K79" s="89">
        <v>828</v>
      </c>
      <c r="L79" s="12">
        <v>16210</v>
      </c>
      <c r="M79" s="12">
        <v>-4440</v>
      </c>
      <c r="N79" s="12">
        <v>1383.9622802734375</v>
      </c>
      <c r="O79" s="12">
        <v>-637.2825927734375</v>
      </c>
      <c r="P79" s="11">
        <v>2.171661827840722</v>
      </c>
      <c r="Q79" s="13">
        <v>47.003179650238472</v>
      </c>
      <c r="R79" s="89">
        <v>6</v>
      </c>
      <c r="S79" s="89">
        <v>13</v>
      </c>
      <c r="T79" s="89">
        <v>96</v>
      </c>
      <c r="U79" s="89">
        <v>26</v>
      </c>
      <c r="V79" s="12">
        <v>-35035</v>
      </c>
      <c r="W79" s="11">
        <v>1.112058673034283</v>
      </c>
      <c r="X79" s="89">
        <v>1</v>
      </c>
      <c r="Y79" s="12">
        <v>35035</v>
      </c>
      <c r="Z79" s="11">
        <v>168.77408305979733</v>
      </c>
      <c r="AA79" s="14">
        <v>715.60211217354072</v>
      </c>
      <c r="AB79" s="11">
        <v>4.8727942056146001E-2</v>
      </c>
      <c r="AC79" s="11">
        <v>0.48970272942687398</v>
      </c>
      <c r="AD79" s="15">
        <v>46792.046516243478</v>
      </c>
      <c r="AE79" s="11">
        <v>182.57499456920766</v>
      </c>
      <c r="AF79" s="11">
        <f>(Opti_Medias__30_OOS_1[[#This Row],[All: TS Index]]-AA$114) /ABS(AA$114)</f>
        <v>-0.91525444000195266</v>
      </c>
      <c r="AG79" s="11">
        <f>(Opti_Medias__30_OOS_1[[#This Row],[All: Expectancy Score]]-AB$114) /ABS(AB$114)</f>
        <v>-0.90369144177741201</v>
      </c>
      <c r="AH79" s="11"/>
      <c r="AI79" s="11">
        <f>(Opti_Medias__30_OOS_1[[#This Row],[All: Perfect Profit Correlation]]-AD$114) /ABS(AD$114)</f>
        <v>-0.77498581998746563</v>
      </c>
      <c r="AJ79" s="11">
        <f>(Opti_Medias__30_OOS_1[[#This Row],[All: Robustness Index]]-AE$114) /ABS(AE$114)</f>
        <v>-0.78069910864926562</v>
      </c>
      <c r="AK79" s="11">
        <f>SUM(Opti_Medias__30_OOS_1[[#This Row],[VAR TS Index]:[VAR Robustness Index]])</f>
        <v>-3.3746308104160958</v>
      </c>
      <c r="AL79" s="11">
        <f>Opti_Medias__30_OOS_1[[#This Row],[SUMA]]-Opti_Medias__30_OOS_1[[#This Row],[VAR Robustness Index]]</f>
        <v>-2.59393170176683</v>
      </c>
    </row>
    <row r="80" spans="1:38" x14ac:dyDescent="0.25">
      <c r="A80" s="11"/>
      <c r="B80" s="89">
        <v>35</v>
      </c>
      <c r="C80" s="89">
        <v>2</v>
      </c>
      <c r="D80" s="89">
        <v>80</v>
      </c>
      <c r="E80" s="10">
        <v>61550</v>
      </c>
      <c r="F80" s="10">
        <v>658370</v>
      </c>
      <c r="G80" s="10">
        <v>-596820</v>
      </c>
      <c r="H80" s="89">
        <v>1550</v>
      </c>
      <c r="I80" s="11">
        <v>27.419354838709676</v>
      </c>
      <c r="J80" s="89">
        <v>425</v>
      </c>
      <c r="K80" s="89">
        <v>1122</v>
      </c>
      <c r="L80" s="12">
        <v>16210</v>
      </c>
      <c r="M80" s="12">
        <v>-3640</v>
      </c>
      <c r="N80" s="12">
        <v>1549.1058349609375</v>
      </c>
      <c r="O80" s="12">
        <v>-531.92510986328125</v>
      </c>
      <c r="P80" s="11">
        <v>2.9122630352214398</v>
      </c>
      <c r="Q80" s="13">
        <v>39.70967741935484</v>
      </c>
      <c r="R80" s="89">
        <v>5</v>
      </c>
      <c r="S80" s="89">
        <v>15</v>
      </c>
      <c r="T80" s="89">
        <v>96</v>
      </c>
      <c r="U80" s="89">
        <v>20</v>
      </c>
      <c r="V80" s="12">
        <v>-47305</v>
      </c>
      <c r="W80" s="11">
        <v>1.103129921919507</v>
      </c>
      <c r="X80" s="89">
        <v>1</v>
      </c>
      <c r="Y80" s="12">
        <v>47305</v>
      </c>
      <c r="Z80" s="11">
        <v>130.11309586724448</v>
      </c>
      <c r="AA80" s="14">
        <v>552.980657435789</v>
      </c>
      <c r="AB80" s="11">
        <v>0.101936149439697</v>
      </c>
      <c r="AC80" s="11">
        <v>0.474318711817517</v>
      </c>
      <c r="AD80" s="15">
        <v>27017.793272364997</v>
      </c>
      <c r="AE80" s="11">
        <v>141.74760045499752</v>
      </c>
      <c r="AF80" s="11">
        <f>(Opti_Medias__30_OOS_1[[#This Row],[All: TS Index]]-AA$114) /ABS(AA$114)</f>
        <v>-0.93451297210380557</v>
      </c>
      <c r="AG80" s="11">
        <f>(Opti_Medias__30_OOS_1[[#This Row],[All: Expectancy Score]]-AB$114) /ABS(AB$114)</f>
        <v>-0.79852784318312409</v>
      </c>
      <c r="AH80" s="11"/>
      <c r="AI80" s="11">
        <f>(Opti_Medias__30_OOS_1[[#This Row],[All: Perfect Profit Correlation]]-AD$114) /ABS(AD$114)</f>
        <v>-0.87007649693588485</v>
      </c>
      <c r="AJ80" s="11">
        <f>(Opti_Medias__30_OOS_1[[#This Row],[All: Robustness Index]]-AE$114) /ABS(AE$114)</f>
        <v>-0.82973914253725822</v>
      </c>
      <c r="AK80" s="11">
        <f>SUM(Opti_Medias__30_OOS_1[[#This Row],[VAR TS Index]:[VAR Robustness Index]])</f>
        <v>-3.4328564547600724</v>
      </c>
      <c r="AL80" s="11">
        <f>Opti_Medias__30_OOS_1[[#This Row],[SUMA]]-Opti_Medias__30_OOS_1[[#This Row],[VAR Robustness Index]]</f>
        <v>-2.603117312222814</v>
      </c>
    </row>
    <row r="81" spans="1:38" x14ac:dyDescent="0.25">
      <c r="A81" s="11"/>
      <c r="B81" s="89">
        <v>27</v>
      </c>
      <c r="C81" s="89">
        <v>11</v>
      </c>
      <c r="D81" s="89">
        <v>477</v>
      </c>
      <c r="E81" s="10">
        <v>50640</v>
      </c>
      <c r="F81" s="10">
        <v>700610</v>
      </c>
      <c r="G81" s="10">
        <v>-649970</v>
      </c>
      <c r="H81" s="89">
        <v>1534</v>
      </c>
      <c r="I81" s="11">
        <v>42.046936114732723</v>
      </c>
      <c r="J81" s="89">
        <v>645</v>
      </c>
      <c r="K81" s="89">
        <v>883</v>
      </c>
      <c r="L81" s="12">
        <v>11330</v>
      </c>
      <c r="M81" s="12">
        <v>-5240</v>
      </c>
      <c r="N81" s="12">
        <v>1086.217041015625</v>
      </c>
      <c r="O81" s="12">
        <v>-736.0928955078125</v>
      </c>
      <c r="P81" s="11">
        <v>1.475652118971031</v>
      </c>
      <c r="Q81" s="13">
        <v>33.011734028683179</v>
      </c>
      <c r="R81" s="89">
        <v>8</v>
      </c>
      <c r="S81" s="89">
        <v>10</v>
      </c>
      <c r="T81" s="89">
        <v>62</v>
      </c>
      <c r="U81" s="89">
        <v>26</v>
      </c>
      <c r="V81" s="12">
        <v>-24735</v>
      </c>
      <c r="W81" s="11">
        <v>1.077911288213302</v>
      </c>
      <c r="X81" s="89">
        <v>1</v>
      </c>
      <c r="Y81" s="12">
        <v>24735</v>
      </c>
      <c r="Z81" s="11">
        <v>204.73013947847181</v>
      </c>
      <c r="AA81" s="14">
        <v>1320.5093996361431</v>
      </c>
      <c r="AB81" s="11">
        <v>2.2935075240152002E-2</v>
      </c>
      <c r="AC81" s="11">
        <v>0.44926740223960099</v>
      </c>
      <c r="AD81" s="15">
        <v>36264.672596305769</v>
      </c>
      <c r="AE81" s="11">
        <v>75.851615888452912</v>
      </c>
      <c r="AF81" s="11">
        <f>(Opti_Medias__30_OOS_1[[#This Row],[All: TS Index]]-AA$114) /ABS(AA$114)</f>
        <v>-0.84361797338055988</v>
      </c>
      <c r="AG81" s="11">
        <f>(Opti_Medias__30_OOS_1[[#This Row],[All: Expectancy Score]]-AB$114) /ABS(AB$114)</f>
        <v>-0.95466986833631295</v>
      </c>
      <c r="AH81" s="11"/>
      <c r="AI81" s="11">
        <f>(Opti_Medias__30_OOS_1[[#This Row],[All: Perfect Profit Correlation]]-AD$114) /ABS(AD$114)</f>
        <v>-0.82560998769634775</v>
      </c>
      <c r="AJ81" s="11">
        <f>(Opti_Medias__30_OOS_1[[#This Row],[All: Robustness Index]]-AE$114) /ABS(AE$114)</f>
        <v>-0.90889044245089234</v>
      </c>
      <c r="AK81" s="11">
        <f>SUM(Opti_Medias__30_OOS_1[[#This Row],[VAR TS Index]:[VAR Robustness Index]])</f>
        <v>-3.532788271864113</v>
      </c>
      <c r="AL81" s="11">
        <f>Opti_Medias__30_OOS_1[[#This Row],[SUMA]]-Opti_Medias__30_OOS_1[[#This Row],[VAR Robustness Index]]</f>
        <v>-2.6238978294132207</v>
      </c>
    </row>
    <row r="82" spans="1:38" x14ac:dyDescent="0.25">
      <c r="A82" s="11"/>
      <c r="B82" s="89">
        <v>40</v>
      </c>
      <c r="C82" s="89">
        <v>11</v>
      </c>
      <c r="D82" s="89">
        <v>490</v>
      </c>
      <c r="E82" s="10">
        <v>51180</v>
      </c>
      <c r="F82" s="10">
        <v>692360</v>
      </c>
      <c r="G82" s="10">
        <v>-641180</v>
      </c>
      <c r="H82" s="89">
        <v>1626</v>
      </c>
      <c r="I82" s="11">
        <v>33.333333333333336</v>
      </c>
      <c r="J82" s="89">
        <v>542</v>
      </c>
      <c r="K82" s="89">
        <v>1083</v>
      </c>
      <c r="L82" s="12">
        <v>16660</v>
      </c>
      <c r="M82" s="12">
        <v>-3840</v>
      </c>
      <c r="N82" s="12">
        <v>1277.4169921875</v>
      </c>
      <c r="O82" s="12">
        <v>-592.0406494140625</v>
      </c>
      <c r="P82" s="11">
        <v>2.1576508191654549</v>
      </c>
      <c r="Q82" s="13">
        <v>31.476014760147603</v>
      </c>
      <c r="R82" s="89">
        <v>6</v>
      </c>
      <c r="S82" s="89">
        <v>16</v>
      </c>
      <c r="T82" s="89">
        <v>73</v>
      </c>
      <c r="U82" s="89">
        <v>22</v>
      </c>
      <c r="V82" s="12">
        <v>-34195</v>
      </c>
      <c r="W82" s="11">
        <v>1.0798215789637851</v>
      </c>
      <c r="X82" s="89">
        <v>1</v>
      </c>
      <c r="Y82" s="12">
        <v>34195</v>
      </c>
      <c r="Z82" s="11">
        <v>149.67100453282643</v>
      </c>
      <c r="AA82" s="14">
        <v>811.21684456791934</v>
      </c>
      <c r="AB82" s="11">
        <v>3.9482125491857999E-2</v>
      </c>
      <c r="AC82" s="11">
        <v>0.409240360336866</v>
      </c>
      <c r="AD82" s="15">
        <v>35744.812608069333</v>
      </c>
      <c r="AE82" s="11">
        <v>111.69254096173941</v>
      </c>
      <c r="AF82" s="11">
        <f>(Opti_Medias__30_OOS_1[[#This Row],[All: TS Index]]-AA$114) /ABS(AA$114)</f>
        <v>-0.90393121456286962</v>
      </c>
      <c r="AG82" s="11">
        <f>(Opti_Medias__30_OOS_1[[#This Row],[All: Expectancy Score]]-AB$114) /ABS(AB$114)</f>
        <v>-0.92196537712791571</v>
      </c>
      <c r="AH82" s="11"/>
      <c r="AI82" s="11">
        <f>(Opti_Medias__30_OOS_1[[#This Row],[All: Perfect Profit Correlation]]-AD$114) /ABS(AD$114)</f>
        <v>-0.82810989692630077</v>
      </c>
      <c r="AJ82" s="11">
        <f>(Opti_Medias__30_OOS_1[[#This Row],[All: Robustness Index]]-AE$114) /ABS(AE$114)</f>
        <v>-0.86583993143237936</v>
      </c>
      <c r="AK82" s="11">
        <f>SUM(Opti_Medias__30_OOS_1[[#This Row],[VAR TS Index]:[VAR Robustness Index]])</f>
        <v>-3.5198464200494657</v>
      </c>
      <c r="AL82" s="11">
        <f>Opti_Medias__30_OOS_1[[#This Row],[SUMA]]-Opti_Medias__30_OOS_1[[#This Row],[VAR Robustness Index]]</f>
        <v>-2.6540064886170862</v>
      </c>
    </row>
    <row r="83" spans="1:38" x14ac:dyDescent="0.25">
      <c r="A83" s="11"/>
      <c r="B83" s="89">
        <v>34</v>
      </c>
      <c r="C83" s="89">
        <v>8</v>
      </c>
      <c r="D83" s="89">
        <v>349</v>
      </c>
      <c r="E83" s="10">
        <v>64330</v>
      </c>
      <c r="F83" s="10">
        <v>716920</v>
      </c>
      <c r="G83" s="10">
        <v>-652590</v>
      </c>
      <c r="H83" s="89">
        <v>1696</v>
      </c>
      <c r="I83" s="11">
        <v>31.308962264150942</v>
      </c>
      <c r="J83" s="89">
        <v>531</v>
      </c>
      <c r="K83" s="89">
        <v>1158</v>
      </c>
      <c r="L83" s="12">
        <v>16600</v>
      </c>
      <c r="M83" s="12">
        <v>-4100</v>
      </c>
      <c r="N83" s="12">
        <v>1350.1318359375</v>
      </c>
      <c r="O83" s="12">
        <v>-563.5491943359375</v>
      </c>
      <c r="P83" s="11">
        <v>2.3957657104424359</v>
      </c>
      <c r="Q83" s="13">
        <v>37.930424528301884</v>
      </c>
      <c r="R83" s="89">
        <v>11</v>
      </c>
      <c r="S83" s="89">
        <v>14</v>
      </c>
      <c r="T83" s="89">
        <v>74</v>
      </c>
      <c r="U83" s="89">
        <v>20</v>
      </c>
      <c r="V83" s="12">
        <v>-34345</v>
      </c>
      <c r="W83" s="11">
        <v>1.0985764415636159</v>
      </c>
      <c r="X83" s="89">
        <v>1</v>
      </c>
      <c r="Y83" s="12">
        <v>34345</v>
      </c>
      <c r="Z83" s="11">
        <v>187.30528461202505</v>
      </c>
      <c r="AA83" s="14">
        <v>994.59106128985297</v>
      </c>
      <c r="AB83" s="11">
        <v>2.6110667751006001E-2</v>
      </c>
      <c r="AC83" s="11">
        <v>0.523955633692339</v>
      </c>
      <c r="AD83" s="15">
        <v>35084.301165209174</v>
      </c>
      <c r="AE83" s="11">
        <v>116.324725570544</v>
      </c>
      <c r="AF83" s="11">
        <f>(Opti_Medias__30_OOS_1[[#This Row],[All: TS Index]]-AA$114) /ABS(AA$114)</f>
        <v>-0.8822150256068273</v>
      </c>
      <c r="AG83" s="11">
        <f>(Opti_Medias__30_OOS_1[[#This Row],[All: Expectancy Score]]-AB$114) /ABS(AB$114)</f>
        <v>-0.94839345436688227</v>
      </c>
      <c r="AH83" s="11"/>
      <c r="AI83" s="11">
        <f>(Opti_Medias__30_OOS_1[[#This Row],[All: Perfect Profit Correlation]]-AD$114) /ABS(AD$114)</f>
        <v>-0.83128617263487614</v>
      </c>
      <c r="AJ83" s="11">
        <f>(Opti_Medias__30_OOS_1[[#This Row],[All: Robustness Index]]-AE$114) /ABS(AE$114)</f>
        <v>-0.86027595912604615</v>
      </c>
      <c r="AK83" s="11">
        <f>SUM(Opti_Medias__30_OOS_1[[#This Row],[VAR TS Index]:[VAR Robustness Index]])</f>
        <v>-3.5221706117346319</v>
      </c>
      <c r="AL83" s="11">
        <f>Opti_Medias__30_OOS_1[[#This Row],[SUMA]]-Opti_Medias__30_OOS_1[[#This Row],[VAR Robustness Index]]</f>
        <v>-2.6618946526085856</v>
      </c>
    </row>
    <row r="84" spans="1:38" x14ac:dyDescent="0.25">
      <c r="A84" s="11"/>
      <c r="B84" s="89">
        <v>38</v>
      </c>
      <c r="C84" s="89">
        <v>1</v>
      </c>
      <c r="D84" s="89">
        <v>38</v>
      </c>
      <c r="E84" s="10">
        <v>64620</v>
      </c>
      <c r="F84" s="10">
        <v>736220</v>
      </c>
      <c r="G84" s="10">
        <v>-671600</v>
      </c>
      <c r="H84" s="89">
        <v>1807</v>
      </c>
      <c r="I84" s="11">
        <v>32.097399003873825</v>
      </c>
      <c r="J84" s="89">
        <v>580</v>
      </c>
      <c r="K84" s="89">
        <v>1219</v>
      </c>
      <c r="L84" s="12">
        <v>16600</v>
      </c>
      <c r="M84" s="12">
        <v>-4080</v>
      </c>
      <c r="N84" s="12">
        <v>1269.3448486328125</v>
      </c>
      <c r="O84" s="12">
        <v>-550.94342041015625</v>
      </c>
      <c r="P84" s="11">
        <v>2.30394774056442</v>
      </c>
      <c r="Q84" s="13">
        <v>35.760929717764249</v>
      </c>
      <c r="R84" s="89">
        <v>5</v>
      </c>
      <c r="S84" s="89">
        <v>14</v>
      </c>
      <c r="T84" s="89">
        <v>68</v>
      </c>
      <c r="U84" s="89">
        <v>19</v>
      </c>
      <c r="V84" s="12">
        <v>-42295</v>
      </c>
      <c r="W84" s="11">
        <v>1.0962179868969619</v>
      </c>
      <c r="X84" s="89">
        <v>1</v>
      </c>
      <c r="Y84" s="12">
        <v>42295</v>
      </c>
      <c r="Z84" s="11">
        <v>152.78401702328881</v>
      </c>
      <c r="AA84" s="14">
        <v>886.14729873507508</v>
      </c>
      <c r="AB84" s="11">
        <v>2.8874561131997999E-2</v>
      </c>
      <c r="AC84" s="11">
        <v>0.53285865592277804</v>
      </c>
      <c r="AD84" s="15">
        <v>34307.686906053132</v>
      </c>
      <c r="AE84" s="11">
        <v>145.45832720055154</v>
      </c>
      <c r="AF84" s="11">
        <f>(Opti_Medias__30_OOS_1[[#This Row],[All: TS Index]]-AA$114) /ABS(AA$114)</f>
        <v>-0.89505753575270453</v>
      </c>
      <c r="AG84" s="11">
        <f>(Opti_Medias__30_OOS_1[[#This Row],[All: Expectancy Score]]-AB$114) /ABS(AB$114)</f>
        <v>-0.94293074497731721</v>
      </c>
      <c r="AH84" s="11"/>
      <c r="AI84" s="11">
        <f>(Opti_Medias__30_OOS_1[[#This Row],[All: Perfect Profit Correlation]]-AD$114) /ABS(AD$114)</f>
        <v>-0.83502076502226785</v>
      </c>
      <c r="AJ84" s="11">
        <f>(Opti_Medias__30_OOS_1[[#This Row],[All: Robustness Index]]-AE$114) /ABS(AE$114)</f>
        <v>-0.82528198407051889</v>
      </c>
      <c r="AK84" s="11">
        <f>SUM(Opti_Medias__30_OOS_1[[#This Row],[VAR TS Index]:[VAR Robustness Index]])</f>
        <v>-3.4982910298228083</v>
      </c>
      <c r="AL84" s="11">
        <f>Opti_Medias__30_OOS_1[[#This Row],[SUMA]]-Opti_Medias__30_OOS_1[[#This Row],[VAR Robustness Index]]</f>
        <v>-2.6730090457522895</v>
      </c>
    </row>
    <row r="85" spans="1:38" x14ac:dyDescent="0.25">
      <c r="A85" s="11"/>
      <c r="B85" s="89">
        <v>37</v>
      </c>
      <c r="C85" s="89">
        <v>2</v>
      </c>
      <c r="D85" s="89">
        <v>82</v>
      </c>
      <c r="E85" s="10">
        <v>48960</v>
      </c>
      <c r="F85" s="10">
        <v>674200</v>
      </c>
      <c r="G85" s="10">
        <v>-625240</v>
      </c>
      <c r="H85" s="89">
        <v>1748</v>
      </c>
      <c r="I85" s="11">
        <v>25.572082379862699</v>
      </c>
      <c r="J85" s="89">
        <v>447</v>
      </c>
      <c r="K85" s="89">
        <v>1297</v>
      </c>
      <c r="L85" s="12">
        <v>16090</v>
      </c>
      <c r="M85" s="12">
        <v>-3560</v>
      </c>
      <c r="N85" s="12">
        <v>1508.2774658203125</v>
      </c>
      <c r="O85" s="12">
        <v>-482.06631469726563</v>
      </c>
      <c r="P85" s="11">
        <v>3.1287758962529888</v>
      </c>
      <c r="Q85" s="13">
        <v>28.009153318077804</v>
      </c>
      <c r="R85" s="89">
        <v>5</v>
      </c>
      <c r="S85" s="89">
        <v>21</v>
      </c>
      <c r="T85" s="89">
        <v>91</v>
      </c>
      <c r="U85" s="89">
        <v>17</v>
      </c>
      <c r="V85" s="12">
        <v>-57095</v>
      </c>
      <c r="W85" s="11">
        <v>1.078305930522679</v>
      </c>
      <c r="X85" s="89">
        <v>1</v>
      </c>
      <c r="Y85" s="12">
        <v>57095</v>
      </c>
      <c r="Z85" s="11">
        <v>85.751817146860489</v>
      </c>
      <c r="AA85" s="14">
        <v>383.31062264646641</v>
      </c>
      <c r="AB85" s="11">
        <v>9.6606297288045997E-2</v>
      </c>
      <c r="AC85" s="11">
        <v>0.34432515358718602</v>
      </c>
      <c r="AD85" s="15">
        <v>16679.956004317948</v>
      </c>
      <c r="AE85" s="11">
        <v>121.75380217793558</v>
      </c>
      <c r="AF85" s="11">
        <f>(Opti_Medias__30_OOS_1[[#This Row],[All: TS Index]]-AA$114) /ABS(AA$114)</f>
        <v>-0.95460623603987171</v>
      </c>
      <c r="AG85" s="11">
        <f>(Opti_Medias__30_OOS_1[[#This Row],[All: Expectancy Score]]-AB$114) /ABS(AB$114)</f>
        <v>-0.80906205321960811</v>
      </c>
      <c r="AH85" s="11"/>
      <c r="AI85" s="11">
        <f>(Opti_Medias__30_OOS_1[[#This Row],[All: Perfect Profit Correlation]]-AD$114) /ABS(AD$114)</f>
        <v>-0.91978921841655614</v>
      </c>
      <c r="AJ85" s="11">
        <f>(Opti_Medias__30_OOS_1[[#This Row],[All: Robustness Index]]-AE$114) /ABS(AE$114)</f>
        <v>-0.85375479590749237</v>
      </c>
      <c r="AK85" s="11">
        <f>SUM(Opti_Medias__30_OOS_1[[#This Row],[VAR TS Index]:[VAR Robustness Index]])</f>
        <v>-3.5372123035835283</v>
      </c>
      <c r="AL85" s="11">
        <f>Opti_Medias__30_OOS_1[[#This Row],[SUMA]]-Opti_Medias__30_OOS_1[[#This Row],[VAR Robustness Index]]</f>
        <v>-2.6834575076760361</v>
      </c>
    </row>
    <row r="86" spans="1:38" x14ac:dyDescent="0.25">
      <c r="A86" s="11"/>
      <c r="B86" s="89">
        <v>34</v>
      </c>
      <c r="C86" s="89">
        <v>2</v>
      </c>
      <c r="D86" s="89">
        <v>79</v>
      </c>
      <c r="E86" s="10">
        <v>59790</v>
      </c>
      <c r="F86" s="10">
        <v>638710</v>
      </c>
      <c r="G86" s="10">
        <v>-578920</v>
      </c>
      <c r="H86" s="89">
        <v>1494</v>
      </c>
      <c r="I86" s="11">
        <v>27.777777777777779</v>
      </c>
      <c r="J86" s="89">
        <v>415</v>
      </c>
      <c r="K86" s="89">
        <v>1075</v>
      </c>
      <c r="L86" s="12">
        <v>15990</v>
      </c>
      <c r="M86" s="12">
        <v>-3340</v>
      </c>
      <c r="N86" s="12">
        <v>1539.0601806640625</v>
      </c>
      <c r="O86" s="12">
        <v>-538.53021240234375</v>
      </c>
      <c r="P86" s="11">
        <v>2.8578901335886582</v>
      </c>
      <c r="Q86" s="13">
        <v>40.020080321285143</v>
      </c>
      <c r="R86" s="89">
        <v>5</v>
      </c>
      <c r="S86" s="89">
        <v>17</v>
      </c>
      <c r="T86" s="89">
        <v>99</v>
      </c>
      <c r="U86" s="89">
        <v>20</v>
      </c>
      <c r="V86" s="12">
        <v>-46175</v>
      </c>
      <c r="W86" s="11">
        <v>1.10327851862088</v>
      </c>
      <c r="X86" s="89">
        <v>1</v>
      </c>
      <c r="Y86" s="12">
        <v>46175</v>
      </c>
      <c r="Z86" s="11">
        <v>129.48565240931239</v>
      </c>
      <c r="AA86" s="14">
        <v>537.36545749864649</v>
      </c>
      <c r="AB86" s="11">
        <v>5.5865075559286E-2</v>
      </c>
      <c r="AC86" s="11">
        <v>0.46093853681749902</v>
      </c>
      <c r="AD86" s="15">
        <v>26303.50402307681</v>
      </c>
      <c r="AE86" s="11">
        <v>147.94479837179335</v>
      </c>
      <c r="AF86" s="11">
        <f>(Opti_Medias__30_OOS_1[[#This Row],[All: TS Index]]-AA$114) /ABS(AA$114)</f>
        <v>-0.93636221044539625</v>
      </c>
      <c r="AG86" s="11">
        <f>(Opti_Medias__30_OOS_1[[#This Row],[All: Expectancy Score]]-AB$114) /ABS(AB$114)</f>
        <v>-0.88958522246001226</v>
      </c>
      <c r="AH86" s="11"/>
      <c r="AI86" s="11">
        <f>(Opti_Medias__30_OOS_1[[#This Row],[All: Perfect Profit Correlation]]-AD$114) /ABS(AD$114)</f>
        <v>-0.87351138003433093</v>
      </c>
      <c r="AJ86" s="11">
        <f>(Opti_Medias__30_OOS_1[[#This Row],[All: Robustness Index]]-AE$114) /ABS(AE$114)</f>
        <v>-0.82229534646739133</v>
      </c>
      <c r="AK86" s="11">
        <f>SUM(Opti_Medias__30_OOS_1[[#This Row],[VAR TS Index]:[VAR Robustness Index]])</f>
        <v>-3.5217541594071307</v>
      </c>
      <c r="AL86" s="11">
        <f>Opti_Medias__30_OOS_1[[#This Row],[SUMA]]-Opti_Medias__30_OOS_1[[#This Row],[VAR Robustness Index]]</f>
        <v>-2.6994588129397394</v>
      </c>
    </row>
    <row r="87" spans="1:38" x14ac:dyDescent="0.25">
      <c r="A87" s="11"/>
      <c r="B87" s="89">
        <v>33</v>
      </c>
      <c r="C87" s="89">
        <v>2</v>
      </c>
      <c r="D87" s="89">
        <v>78</v>
      </c>
      <c r="E87" s="10">
        <v>55650</v>
      </c>
      <c r="F87" s="10">
        <v>628630</v>
      </c>
      <c r="G87" s="10">
        <v>-572980</v>
      </c>
      <c r="H87" s="89">
        <v>1444</v>
      </c>
      <c r="I87" s="11">
        <v>28.531855955678669</v>
      </c>
      <c r="J87" s="89">
        <v>412</v>
      </c>
      <c r="K87" s="89">
        <v>1029</v>
      </c>
      <c r="L87" s="12">
        <v>14530</v>
      </c>
      <c r="M87" s="12">
        <v>-3770</v>
      </c>
      <c r="N87" s="12">
        <v>1525.801025390625</v>
      </c>
      <c r="O87" s="12">
        <v>-556.83184814453125</v>
      </c>
      <c r="P87" s="11">
        <v>2.7401468333301731</v>
      </c>
      <c r="Q87" s="13">
        <v>38.538781163434905</v>
      </c>
      <c r="R87" s="89">
        <v>5</v>
      </c>
      <c r="S87" s="89">
        <v>14</v>
      </c>
      <c r="T87" s="89">
        <v>100</v>
      </c>
      <c r="U87" s="89">
        <v>21</v>
      </c>
      <c r="V87" s="12">
        <v>-46475</v>
      </c>
      <c r="W87" s="11">
        <v>1.0971238088589479</v>
      </c>
      <c r="X87" s="89">
        <v>1</v>
      </c>
      <c r="Y87" s="12">
        <v>46475</v>
      </c>
      <c r="Z87" s="11">
        <v>119.74179666487359</v>
      </c>
      <c r="AA87" s="14">
        <v>493.33620225927916</v>
      </c>
      <c r="AB87" s="11">
        <v>6.4038019970164006E-2</v>
      </c>
      <c r="AC87" s="11">
        <v>0.42541692328724501</v>
      </c>
      <c r="AD87" s="15">
        <v>23762.77786455812</v>
      </c>
      <c r="AE87" s="11">
        <v>103.3358349495537</v>
      </c>
      <c r="AF87" s="11">
        <f>(Opti_Medias__30_OOS_1[[#This Row],[All: TS Index]]-AA$114) /ABS(AA$114)</f>
        <v>-0.9415763983692188</v>
      </c>
      <c r="AG87" s="11">
        <f>(Opti_Medias__30_OOS_1[[#This Row],[All: Expectancy Score]]-AB$114) /ABS(AB$114)</f>
        <v>-0.87343177005814254</v>
      </c>
      <c r="AH87" s="11"/>
      <c r="AI87" s="11">
        <f>(Opti_Medias__30_OOS_1[[#This Row],[All: Perfect Profit Correlation]]-AD$114) /ABS(AD$114)</f>
        <v>-0.88572925584356743</v>
      </c>
      <c r="AJ87" s="11">
        <f>(Opti_Medias__30_OOS_1[[#This Row],[All: Robustness Index]]-AE$114) /ABS(AE$114)</f>
        <v>-0.87587763172946842</v>
      </c>
      <c r="AK87" s="11">
        <f>SUM(Opti_Medias__30_OOS_1[[#This Row],[VAR TS Index]:[VAR Robustness Index]])</f>
        <v>-3.5766150560003971</v>
      </c>
      <c r="AL87" s="11">
        <f>Opti_Medias__30_OOS_1[[#This Row],[SUMA]]-Opti_Medias__30_OOS_1[[#This Row],[VAR Robustness Index]]</f>
        <v>-2.7007374242709288</v>
      </c>
    </row>
    <row r="88" spans="1:38" x14ac:dyDescent="0.25">
      <c r="A88" s="11"/>
      <c r="B88" s="89">
        <v>37</v>
      </c>
      <c r="C88" s="89">
        <v>8</v>
      </c>
      <c r="D88" s="89">
        <v>352</v>
      </c>
      <c r="E88" s="10">
        <v>52390</v>
      </c>
      <c r="F88" s="10">
        <v>727280</v>
      </c>
      <c r="G88" s="10">
        <v>-674890</v>
      </c>
      <c r="H88" s="89">
        <v>1800</v>
      </c>
      <c r="I88" s="11">
        <v>30.888888888888889</v>
      </c>
      <c r="J88" s="89">
        <v>556</v>
      </c>
      <c r="K88" s="89">
        <v>1237</v>
      </c>
      <c r="L88" s="12">
        <v>17240</v>
      </c>
      <c r="M88" s="12">
        <v>-3440</v>
      </c>
      <c r="N88" s="12">
        <v>1308.0574951171875</v>
      </c>
      <c r="O88" s="12">
        <v>-545.58612060546875</v>
      </c>
      <c r="P88" s="11">
        <v>2.3975270735728391</v>
      </c>
      <c r="Q88" s="13">
        <v>29.105555555555554</v>
      </c>
      <c r="R88" s="89">
        <v>5</v>
      </c>
      <c r="S88" s="89">
        <v>14</v>
      </c>
      <c r="T88" s="89">
        <v>72</v>
      </c>
      <c r="U88" s="89">
        <v>18</v>
      </c>
      <c r="V88" s="12">
        <v>-56085</v>
      </c>
      <c r="W88" s="11">
        <v>1.0776274652165541</v>
      </c>
      <c r="X88" s="89">
        <v>1</v>
      </c>
      <c r="Y88" s="12">
        <v>56085</v>
      </c>
      <c r="Z88" s="11">
        <v>93.411785682446293</v>
      </c>
      <c r="AA88" s="14">
        <v>519.3695283944013</v>
      </c>
      <c r="AB88" s="11">
        <v>7.5982795484294999E-2</v>
      </c>
      <c r="AC88" s="11">
        <v>0.40735272209101597</v>
      </c>
      <c r="AD88" s="15">
        <v>12305.440876529165</v>
      </c>
      <c r="AE88" s="11">
        <v>121.29890602184798</v>
      </c>
      <c r="AF88" s="11">
        <f>(Opti_Medias__30_OOS_1[[#This Row],[All: TS Index]]-AA$114) /ABS(AA$114)</f>
        <v>-0.93849338790236636</v>
      </c>
      <c r="AG88" s="11">
        <f>(Opti_Medias__30_OOS_1[[#This Row],[All: Expectancy Score]]-AB$114) /ABS(AB$114)</f>
        <v>-0.84982346526388475</v>
      </c>
      <c r="AH88" s="11"/>
      <c r="AI88" s="11">
        <f>(Opti_Medias__30_OOS_1[[#This Row],[All: Perfect Profit Correlation]]-AD$114) /ABS(AD$114)</f>
        <v>-0.94082544161508874</v>
      </c>
      <c r="AJ88" s="11">
        <f>(Opti_Medias__30_OOS_1[[#This Row],[All: Robustness Index]]-AE$114) /ABS(AE$114)</f>
        <v>-0.8543011967590296</v>
      </c>
      <c r="AK88" s="11">
        <f>SUM(Opti_Medias__30_OOS_1[[#This Row],[VAR TS Index]:[VAR Robustness Index]])</f>
        <v>-3.5834434915403692</v>
      </c>
      <c r="AL88" s="11">
        <f>Opti_Medias__30_OOS_1[[#This Row],[SUMA]]-Opti_Medias__30_OOS_1[[#This Row],[VAR Robustness Index]]</f>
        <v>-2.7291422947813397</v>
      </c>
    </row>
    <row r="89" spans="1:38" x14ac:dyDescent="0.25">
      <c r="A89" s="11"/>
      <c r="B89" s="89">
        <v>25</v>
      </c>
      <c r="C89" s="89">
        <v>11</v>
      </c>
      <c r="D89" s="89">
        <v>475</v>
      </c>
      <c r="E89" s="10">
        <v>44010</v>
      </c>
      <c r="F89" s="10">
        <v>696600</v>
      </c>
      <c r="G89" s="10">
        <v>-652590</v>
      </c>
      <c r="H89" s="89">
        <v>1554</v>
      </c>
      <c r="I89" s="11">
        <v>42.792792792792795</v>
      </c>
      <c r="J89" s="89">
        <v>665</v>
      </c>
      <c r="K89" s="89">
        <v>874</v>
      </c>
      <c r="L89" s="12">
        <v>8520</v>
      </c>
      <c r="M89" s="12">
        <v>-4750</v>
      </c>
      <c r="N89" s="12">
        <v>1047.518798828125</v>
      </c>
      <c r="O89" s="12">
        <v>-746.67047119140625</v>
      </c>
      <c r="P89" s="11">
        <v>1.4029198143548891</v>
      </c>
      <c r="Q89" s="13">
        <v>28.320463320463322</v>
      </c>
      <c r="R89" s="89">
        <v>9</v>
      </c>
      <c r="S89" s="89">
        <v>9</v>
      </c>
      <c r="T89" s="89">
        <v>60</v>
      </c>
      <c r="U89" s="89">
        <v>26</v>
      </c>
      <c r="V89" s="12">
        <v>-34435</v>
      </c>
      <c r="W89" s="11">
        <v>1.0674389739346299</v>
      </c>
      <c r="X89" s="89">
        <v>1</v>
      </c>
      <c r="Y89" s="12">
        <v>34435</v>
      </c>
      <c r="Z89" s="11">
        <v>127.80601132568607</v>
      </c>
      <c r="AA89" s="14">
        <v>849.9099753158124</v>
      </c>
      <c r="AB89" s="11">
        <v>1.4757758360236E-2</v>
      </c>
      <c r="AC89" s="11">
        <v>0.39071196673633801</v>
      </c>
      <c r="AD89" s="15">
        <v>25985.025152546481</v>
      </c>
      <c r="AE89" s="11">
        <v>82.06123666986997</v>
      </c>
      <c r="AF89" s="11">
        <f>(Opti_Medias__30_OOS_1[[#This Row],[All: TS Index]]-AA$114) /ABS(AA$114)</f>
        <v>-0.89934896001453102</v>
      </c>
      <c r="AG89" s="11">
        <f>(Opti_Medias__30_OOS_1[[#This Row],[All: Expectancy Score]]-AB$114) /ABS(AB$114)</f>
        <v>-0.97083196272409766</v>
      </c>
      <c r="AH89" s="11"/>
      <c r="AI89" s="11">
        <f>(Opti_Medias__30_OOS_1[[#This Row],[All: Perfect Profit Correlation]]-AD$114) /ABS(AD$114)</f>
        <v>-0.87504288522034224</v>
      </c>
      <c r="AJ89" s="11">
        <f>(Opti_Medias__30_OOS_1[[#This Row],[All: Robustness Index]]-AE$114) /ABS(AE$114)</f>
        <v>-0.90143172459345544</v>
      </c>
      <c r="AK89" s="11">
        <f>SUM(Opti_Medias__30_OOS_1[[#This Row],[VAR TS Index]:[VAR Robustness Index]])</f>
        <v>-3.6466555325524266</v>
      </c>
      <c r="AL89" s="11">
        <f>Opti_Medias__30_OOS_1[[#This Row],[SUMA]]-Opti_Medias__30_OOS_1[[#This Row],[VAR Robustness Index]]</f>
        <v>-2.745223807958971</v>
      </c>
    </row>
    <row r="90" spans="1:38" x14ac:dyDescent="0.25">
      <c r="A90" s="11"/>
      <c r="B90" s="89">
        <v>39</v>
      </c>
      <c r="C90" s="89">
        <v>5</v>
      </c>
      <c r="D90" s="89">
        <v>219</v>
      </c>
      <c r="E90" s="10">
        <v>36990</v>
      </c>
      <c r="F90" s="10">
        <v>689670</v>
      </c>
      <c r="G90" s="10">
        <v>-652680</v>
      </c>
      <c r="H90" s="89">
        <v>1921</v>
      </c>
      <c r="I90" s="11">
        <v>28.110359187922956</v>
      </c>
      <c r="J90" s="89">
        <v>540</v>
      </c>
      <c r="K90" s="89">
        <v>1371</v>
      </c>
      <c r="L90" s="12">
        <v>15420</v>
      </c>
      <c r="M90" s="12">
        <v>-3640</v>
      </c>
      <c r="N90" s="12">
        <v>1277.1666259765625</v>
      </c>
      <c r="O90" s="12">
        <v>-476.061279296875</v>
      </c>
      <c r="P90" s="11">
        <v>2.6827777883193749</v>
      </c>
      <c r="Q90" s="13">
        <v>19.255596043727227</v>
      </c>
      <c r="R90" s="89">
        <v>5</v>
      </c>
      <c r="S90" s="89">
        <v>16</v>
      </c>
      <c r="T90" s="89">
        <v>74</v>
      </c>
      <c r="U90" s="89">
        <v>17</v>
      </c>
      <c r="V90" s="12">
        <v>-37785</v>
      </c>
      <c r="W90" s="11">
        <v>1.0566740209597349</v>
      </c>
      <c r="X90" s="89">
        <v>1</v>
      </c>
      <c r="Y90" s="12">
        <v>37785</v>
      </c>
      <c r="Z90" s="11">
        <v>97.895990472409693</v>
      </c>
      <c r="AA90" s="14">
        <v>528.63834855101231</v>
      </c>
      <c r="AB90" s="11">
        <v>3.3037110897756003E-2</v>
      </c>
      <c r="AC90" s="11">
        <v>0.24938457401413799</v>
      </c>
      <c r="AD90" s="15">
        <v>25998.652792598659</v>
      </c>
      <c r="AE90" s="11">
        <v>89.136841082616584</v>
      </c>
      <c r="AF90" s="11">
        <f>(Opti_Medias__30_OOS_1[[#This Row],[All: TS Index]]-AA$114) /ABS(AA$114)</f>
        <v>-0.93739572295514118</v>
      </c>
      <c r="AG90" s="11">
        <f>(Opti_Medias__30_OOS_1[[#This Row],[All: Expectancy Score]]-AB$114) /ABS(AB$114)</f>
        <v>-0.93470365494326635</v>
      </c>
      <c r="AH90" s="11"/>
      <c r="AI90" s="11">
        <f>(Opti_Medias__30_OOS_1[[#This Row],[All: Perfect Profit Correlation]]-AD$114) /ABS(AD$114)</f>
        <v>-0.87497735245398245</v>
      </c>
      <c r="AJ90" s="11">
        <f>(Opti_Medias__30_OOS_1[[#This Row],[All: Robustness Index]]-AE$114) /ABS(AE$114)</f>
        <v>-0.89293282605468349</v>
      </c>
      <c r="AK90" s="11">
        <f>SUM(Opti_Medias__30_OOS_1[[#This Row],[VAR TS Index]:[VAR Robustness Index]])</f>
        <v>-3.6400095564070734</v>
      </c>
      <c r="AL90" s="11">
        <f>Opti_Medias__30_OOS_1[[#This Row],[SUMA]]-Opti_Medias__30_OOS_1[[#This Row],[VAR Robustness Index]]</f>
        <v>-2.74707673035239</v>
      </c>
    </row>
    <row r="91" spans="1:38" x14ac:dyDescent="0.25">
      <c r="A91" s="11"/>
      <c r="B91" s="89">
        <v>36</v>
      </c>
      <c r="C91" s="89">
        <v>8</v>
      </c>
      <c r="D91" s="89">
        <v>351</v>
      </c>
      <c r="E91" s="10">
        <v>43850</v>
      </c>
      <c r="F91" s="10">
        <v>721820</v>
      </c>
      <c r="G91" s="10">
        <v>-677970</v>
      </c>
      <c r="H91" s="89">
        <v>1778</v>
      </c>
      <c r="I91" s="11">
        <v>30.989876265466815</v>
      </c>
      <c r="J91" s="89">
        <v>551</v>
      </c>
      <c r="K91" s="89">
        <v>1218</v>
      </c>
      <c r="L91" s="12">
        <v>17240</v>
      </c>
      <c r="M91" s="12">
        <v>-3340</v>
      </c>
      <c r="N91" s="12">
        <v>1310.0181884765625</v>
      </c>
      <c r="O91" s="12">
        <v>-556.6256103515625</v>
      </c>
      <c r="P91" s="11">
        <v>2.3534996667673269</v>
      </c>
      <c r="Q91" s="13">
        <v>24.66254218222722</v>
      </c>
      <c r="R91" s="89">
        <v>6</v>
      </c>
      <c r="S91" s="89">
        <v>14</v>
      </c>
      <c r="T91" s="89">
        <v>73</v>
      </c>
      <c r="U91" s="89">
        <v>19</v>
      </c>
      <c r="V91" s="12">
        <v>-51545</v>
      </c>
      <c r="W91" s="11">
        <v>1.0646783780993261</v>
      </c>
      <c r="X91" s="89">
        <v>1</v>
      </c>
      <c r="Y91" s="12">
        <v>51545</v>
      </c>
      <c r="Z91" s="11">
        <v>85.071296925016981</v>
      </c>
      <c r="AA91" s="14">
        <v>468.74284605684352</v>
      </c>
      <c r="AB91" s="11">
        <v>8.0172667996118996E-2</v>
      </c>
      <c r="AC91" s="11">
        <v>0.325255883927906</v>
      </c>
      <c r="AD91" s="15">
        <v>5172.8781261450886</v>
      </c>
      <c r="AE91" s="11">
        <v>86.975597612054173</v>
      </c>
      <c r="AF91" s="11">
        <f>(Opti_Medias__30_OOS_1[[#This Row],[All: TS Index]]-AA$114) /ABS(AA$114)</f>
        <v>-0.9444888796324119</v>
      </c>
      <c r="AG91" s="11">
        <f>(Opti_Medias__30_OOS_1[[#This Row],[All: Expectancy Score]]-AB$114) /ABS(AB$114)</f>
        <v>-0.84154237306661372</v>
      </c>
      <c r="AH91" s="11"/>
      <c r="AI91" s="11">
        <f>(Opti_Medias__30_OOS_1[[#This Row],[All: Perfect Profit Correlation]]-AD$114) /ABS(AD$114)</f>
        <v>-0.97512459880430225</v>
      </c>
      <c r="AJ91" s="11">
        <f>(Opti_Medias__30_OOS_1[[#This Row],[All: Robustness Index]]-AE$114) /ABS(AE$114)</f>
        <v>-0.89552881473669677</v>
      </c>
      <c r="AK91" s="11">
        <f>SUM(Opti_Medias__30_OOS_1[[#This Row],[VAR TS Index]:[VAR Robustness Index]])</f>
        <v>-3.6566846662400248</v>
      </c>
      <c r="AL91" s="11">
        <f>Opti_Medias__30_OOS_1[[#This Row],[SUMA]]-Opti_Medias__30_OOS_1[[#This Row],[VAR Robustness Index]]</f>
        <v>-2.7611558515033279</v>
      </c>
    </row>
    <row r="92" spans="1:38" x14ac:dyDescent="0.25">
      <c r="A92" s="11"/>
      <c r="B92" s="89">
        <v>30</v>
      </c>
      <c r="C92" s="89">
        <v>2</v>
      </c>
      <c r="D92" s="89">
        <v>75</v>
      </c>
      <c r="E92" s="10">
        <v>51780</v>
      </c>
      <c r="F92" s="10">
        <v>604790</v>
      </c>
      <c r="G92" s="10">
        <v>-553010</v>
      </c>
      <c r="H92" s="89">
        <v>1292</v>
      </c>
      <c r="I92" s="11">
        <v>28.94736842105263</v>
      </c>
      <c r="J92" s="89">
        <v>374</v>
      </c>
      <c r="K92" s="89">
        <v>917</v>
      </c>
      <c r="L92" s="12">
        <v>13830</v>
      </c>
      <c r="M92" s="12">
        <v>-3770</v>
      </c>
      <c r="N92" s="12">
        <v>1617.0855712890625</v>
      </c>
      <c r="O92" s="12">
        <v>-603.0643310546875</v>
      </c>
      <c r="P92" s="11">
        <v>2.6814478788041951</v>
      </c>
      <c r="Q92" s="13">
        <v>40.077399380804955</v>
      </c>
      <c r="R92" s="89">
        <v>5</v>
      </c>
      <c r="S92" s="89">
        <v>20</v>
      </c>
      <c r="T92" s="89">
        <v>109</v>
      </c>
      <c r="U92" s="89">
        <v>24</v>
      </c>
      <c r="V92" s="12">
        <v>-46685</v>
      </c>
      <c r="W92" s="11">
        <v>1.0936330265275489</v>
      </c>
      <c r="X92" s="89">
        <v>1</v>
      </c>
      <c r="Y92" s="12">
        <v>46685</v>
      </c>
      <c r="Z92" s="11">
        <v>110.91356966905859</v>
      </c>
      <c r="AA92" s="14">
        <v>414.81675056227908</v>
      </c>
      <c r="AB92" s="11">
        <v>2.0147078101676999E-2</v>
      </c>
      <c r="AC92" s="11">
        <v>0.38769052687692301</v>
      </c>
      <c r="AD92" s="15">
        <v>29800.494236197948</v>
      </c>
      <c r="AE92" s="11">
        <v>120.32833812692674</v>
      </c>
      <c r="AF92" s="11">
        <f>(Opti_Medias__30_OOS_1[[#This Row],[All: TS Index]]-AA$114) /ABS(AA$114)</f>
        <v>-0.95087510611700732</v>
      </c>
      <c r="AG92" s="11">
        <f>(Opti_Medias__30_OOS_1[[#This Row],[All: Expectancy Score]]-AB$114) /ABS(AB$114)</f>
        <v>-0.96018021770476858</v>
      </c>
      <c r="AH92" s="11"/>
      <c r="AI92" s="11">
        <f>(Opti_Medias__30_OOS_1[[#This Row],[All: Perfect Profit Correlation]]-AD$114) /ABS(AD$114)</f>
        <v>-0.85669500964873235</v>
      </c>
      <c r="AJ92" s="11">
        <f>(Opti_Medias__30_OOS_1[[#This Row],[All: Robustness Index]]-AE$114) /ABS(AE$114)</f>
        <v>-0.85546699936510306</v>
      </c>
      <c r="AK92" s="11">
        <f>SUM(Opti_Medias__30_OOS_1[[#This Row],[VAR TS Index]:[VAR Robustness Index]])</f>
        <v>-3.623217332835611</v>
      </c>
      <c r="AL92" s="11">
        <f>Opti_Medias__30_OOS_1[[#This Row],[SUMA]]-Opti_Medias__30_OOS_1[[#This Row],[VAR Robustness Index]]</f>
        <v>-2.767750333470508</v>
      </c>
    </row>
    <row r="93" spans="1:38" x14ac:dyDescent="0.25">
      <c r="A93" s="11"/>
      <c r="B93" s="89">
        <v>41</v>
      </c>
      <c r="C93" s="89">
        <v>11</v>
      </c>
      <c r="D93" s="89">
        <v>491</v>
      </c>
      <c r="E93" s="10">
        <v>40160</v>
      </c>
      <c r="F93" s="10">
        <v>704170</v>
      </c>
      <c r="G93" s="10">
        <v>-664010</v>
      </c>
      <c r="H93" s="89">
        <v>1750</v>
      </c>
      <c r="I93" s="11">
        <v>32.342857142857142</v>
      </c>
      <c r="J93" s="89">
        <v>566</v>
      </c>
      <c r="K93" s="89">
        <v>1177</v>
      </c>
      <c r="L93" s="12">
        <v>16920</v>
      </c>
      <c r="M93" s="12">
        <v>-3840</v>
      </c>
      <c r="N93" s="12">
        <v>1244.1165771484375</v>
      </c>
      <c r="O93" s="12">
        <v>-564.15460205078125</v>
      </c>
      <c r="P93" s="11">
        <v>2.2052759520633161</v>
      </c>
      <c r="Q93" s="13">
        <v>22.94857142857143</v>
      </c>
      <c r="R93" s="89">
        <v>6</v>
      </c>
      <c r="S93" s="89">
        <v>16</v>
      </c>
      <c r="T93" s="89">
        <v>71</v>
      </c>
      <c r="U93" s="89">
        <v>19</v>
      </c>
      <c r="V93" s="12">
        <v>-36195</v>
      </c>
      <c r="W93" s="11">
        <v>1.0604810168521559</v>
      </c>
      <c r="X93" s="89">
        <v>1</v>
      </c>
      <c r="Y93" s="12">
        <v>36195</v>
      </c>
      <c r="Z93" s="11">
        <v>110.95455173366487</v>
      </c>
      <c r="AA93" s="14">
        <v>628.00276281254321</v>
      </c>
      <c r="AB93" s="11">
        <v>2.3698955574108001E-2</v>
      </c>
      <c r="AC93" s="11">
        <v>0.29916224728037799</v>
      </c>
      <c r="AD93" s="15">
        <v>17734.178975407747</v>
      </c>
      <c r="AE93" s="11">
        <v>82.912734915541591</v>
      </c>
      <c r="AF93" s="11">
        <f>(Opti_Medias__30_OOS_1[[#This Row],[All: TS Index]]-AA$114) /ABS(AA$114)</f>
        <v>-0.92562843945049256</v>
      </c>
      <c r="AG93" s="11">
        <f>(Opti_Medias__30_OOS_1[[#This Row],[All: Expectancy Score]]-AB$114) /ABS(AB$114)</f>
        <v>-0.95316009364619514</v>
      </c>
      <c r="AH93" s="11"/>
      <c r="AI93" s="11">
        <f>(Opti_Medias__30_OOS_1[[#This Row],[All: Perfect Profit Correlation]]-AD$114) /ABS(AD$114)</f>
        <v>-0.91471965777428332</v>
      </c>
      <c r="AJ93" s="11">
        <f>(Opti_Medias__30_OOS_1[[#This Row],[All: Robustness Index]]-AE$114) /ABS(AE$114)</f>
        <v>-0.90040894310741459</v>
      </c>
      <c r="AK93" s="11">
        <f>SUM(Opti_Medias__30_OOS_1[[#This Row],[VAR TS Index]:[VAR Robustness Index]])</f>
        <v>-3.6939171339783856</v>
      </c>
      <c r="AL93" s="11">
        <f>Opti_Medias__30_OOS_1[[#This Row],[SUMA]]-Opti_Medias__30_OOS_1[[#This Row],[VAR Robustness Index]]</f>
        <v>-2.7935081908709711</v>
      </c>
    </row>
    <row r="94" spans="1:38" x14ac:dyDescent="0.25">
      <c r="A94" s="11"/>
      <c r="B94" s="89">
        <v>36</v>
      </c>
      <c r="C94" s="89">
        <v>2</v>
      </c>
      <c r="D94" s="89">
        <v>81</v>
      </c>
      <c r="E94" s="10">
        <v>39900</v>
      </c>
      <c r="F94" s="10">
        <v>661160</v>
      </c>
      <c r="G94" s="10">
        <v>-621260</v>
      </c>
      <c r="H94" s="89">
        <v>1658</v>
      </c>
      <c r="I94" s="11">
        <v>26.11580217129071</v>
      </c>
      <c r="J94" s="89">
        <v>433</v>
      </c>
      <c r="K94" s="89">
        <v>1221</v>
      </c>
      <c r="L94" s="12">
        <v>16720</v>
      </c>
      <c r="M94" s="12">
        <v>-3560</v>
      </c>
      <c r="N94" s="12">
        <v>1526.928466796875</v>
      </c>
      <c r="O94" s="12">
        <v>-508.81243896484375</v>
      </c>
      <c r="P94" s="11">
        <v>3.0009652867436629</v>
      </c>
      <c r="Q94" s="13">
        <v>24.065138721351026</v>
      </c>
      <c r="R94" s="89">
        <v>5</v>
      </c>
      <c r="S94" s="89">
        <v>19</v>
      </c>
      <c r="T94" s="89">
        <v>93</v>
      </c>
      <c r="U94" s="89">
        <v>18</v>
      </c>
      <c r="V94" s="12">
        <v>-53345</v>
      </c>
      <c r="W94" s="11">
        <v>1.064224318320832</v>
      </c>
      <c r="X94" s="89">
        <v>1</v>
      </c>
      <c r="Y94" s="12">
        <v>53345</v>
      </c>
      <c r="Z94" s="11">
        <v>74.796138344737088</v>
      </c>
      <c r="AA94" s="14">
        <v>323.86727903271162</v>
      </c>
      <c r="AB94" s="11">
        <v>6.2458440567506997E-2</v>
      </c>
      <c r="AC94" s="11">
        <v>0.25906015027478901</v>
      </c>
      <c r="AD94" s="15">
        <v>5978.5227667604095</v>
      </c>
      <c r="AE94" s="11">
        <v>92.481670683948664</v>
      </c>
      <c r="AF94" s="11">
        <f>(Opti_Medias__30_OOS_1[[#This Row],[All: TS Index]]-AA$114) /ABS(AA$114)</f>
        <v>-0.96164584556170929</v>
      </c>
      <c r="AG94" s="11">
        <f>(Opti_Medias__30_OOS_1[[#This Row],[All: Expectancy Score]]-AB$114) /ABS(AB$114)</f>
        <v>-0.87655373680758386</v>
      </c>
      <c r="AH94" s="11"/>
      <c r="AI94" s="11">
        <f>(Opti_Medias__30_OOS_1[[#This Row],[All: Perfect Profit Correlation]]-AD$114) /ABS(AD$114)</f>
        <v>-0.97125040475453739</v>
      </c>
      <c r="AJ94" s="11">
        <f>(Opti_Medias__30_OOS_1[[#This Row],[All: Robustness Index]]-AE$114) /ABS(AE$114)</f>
        <v>-0.88891516681980731</v>
      </c>
      <c r="AK94" s="11">
        <f>SUM(Opti_Medias__30_OOS_1[[#This Row],[VAR TS Index]:[VAR Robustness Index]])</f>
        <v>-3.6983651539436377</v>
      </c>
      <c r="AL94" s="11">
        <f>Opti_Medias__30_OOS_1[[#This Row],[SUMA]]-Opti_Medias__30_OOS_1[[#This Row],[VAR Robustness Index]]</f>
        <v>-2.8094499871238305</v>
      </c>
    </row>
    <row r="95" spans="1:38" x14ac:dyDescent="0.25">
      <c r="A95" s="11"/>
      <c r="B95" s="89">
        <v>26</v>
      </c>
      <c r="C95" s="89">
        <v>11</v>
      </c>
      <c r="D95" s="89">
        <v>476</v>
      </c>
      <c r="E95" s="10">
        <v>38470</v>
      </c>
      <c r="F95" s="10">
        <v>702800</v>
      </c>
      <c r="G95" s="10">
        <v>-664330</v>
      </c>
      <c r="H95" s="89">
        <v>1550</v>
      </c>
      <c r="I95" s="11">
        <v>42.12903225806452</v>
      </c>
      <c r="J95" s="89">
        <v>653</v>
      </c>
      <c r="K95" s="89">
        <v>890</v>
      </c>
      <c r="L95" s="12">
        <v>10620</v>
      </c>
      <c r="M95" s="12">
        <v>-4570</v>
      </c>
      <c r="N95" s="12">
        <v>1076.263427734375</v>
      </c>
      <c r="O95" s="12">
        <v>-746.438232421875</v>
      </c>
      <c r="P95" s="11">
        <v>1.441865356015269</v>
      </c>
      <c r="Q95" s="13">
        <v>24.819354838709678</v>
      </c>
      <c r="R95" s="89">
        <v>9</v>
      </c>
      <c r="S95" s="89">
        <v>14</v>
      </c>
      <c r="T95" s="89">
        <v>61</v>
      </c>
      <c r="U95" s="89">
        <v>26</v>
      </c>
      <c r="V95" s="12">
        <v>-42205</v>
      </c>
      <c r="W95" s="11">
        <v>1.057907967425828</v>
      </c>
      <c r="X95" s="89">
        <v>1</v>
      </c>
      <c r="Y95" s="12">
        <v>42205</v>
      </c>
      <c r="Z95" s="11">
        <v>91.150337637720654</v>
      </c>
      <c r="AA95" s="14">
        <v>595.21170477431588</v>
      </c>
      <c r="AB95" s="11">
        <v>5.5364630160609999E-3</v>
      </c>
      <c r="AC95" s="11">
        <v>0.33235702919798099</v>
      </c>
      <c r="AD95" s="15">
        <v>17421.552546486666</v>
      </c>
      <c r="AE95" s="11">
        <v>58.900646125626096</v>
      </c>
      <c r="AF95" s="11">
        <f>(Opti_Medias__30_OOS_1[[#This Row],[All: TS Index]]-AA$114) /ABS(AA$114)</f>
        <v>-0.92951173790518493</v>
      </c>
      <c r="AG95" s="11">
        <f>(Opti_Medias__30_OOS_1[[#This Row],[All: Expectancy Score]]-AB$114) /ABS(AB$114)</f>
        <v>-0.98905743299983528</v>
      </c>
      <c r="AH95" s="11"/>
      <c r="AI95" s="11">
        <f>(Opti_Medias__30_OOS_1[[#This Row],[All: Perfect Profit Correlation]]-AD$114) /ABS(AD$114)</f>
        <v>-0.91622301966570008</v>
      </c>
      <c r="AJ95" s="11">
        <f>(Opti_Medias__30_OOS_1[[#This Row],[All: Robustness Index]]-AE$114) /ABS(AE$114)</f>
        <v>-0.9292511867413058</v>
      </c>
      <c r="AK95" s="11">
        <f>SUM(Opti_Medias__30_OOS_1[[#This Row],[VAR TS Index]:[VAR Robustness Index]])</f>
        <v>-3.7640433773120261</v>
      </c>
      <c r="AL95" s="11">
        <f>Opti_Medias__30_OOS_1[[#This Row],[SUMA]]-Opti_Medias__30_OOS_1[[#This Row],[VAR Robustness Index]]</f>
        <v>-2.8347921905707203</v>
      </c>
    </row>
    <row r="96" spans="1:38" x14ac:dyDescent="0.25">
      <c r="A96" s="11"/>
      <c r="B96" s="89">
        <v>38</v>
      </c>
      <c r="C96" s="89">
        <v>2</v>
      </c>
      <c r="D96" s="89">
        <v>83</v>
      </c>
      <c r="E96" s="10">
        <v>32990</v>
      </c>
      <c r="F96" s="10">
        <v>678240</v>
      </c>
      <c r="G96" s="10">
        <v>-645250</v>
      </c>
      <c r="H96" s="89">
        <v>1840</v>
      </c>
      <c r="I96" s="11">
        <v>25.380434782608695</v>
      </c>
      <c r="J96" s="89">
        <v>467</v>
      </c>
      <c r="K96" s="89">
        <v>1367</v>
      </c>
      <c r="L96" s="12">
        <v>16090</v>
      </c>
      <c r="M96" s="12">
        <v>-3600</v>
      </c>
      <c r="N96" s="12">
        <v>1452.3341064453125</v>
      </c>
      <c r="O96" s="12">
        <v>-472.01901245117188</v>
      </c>
      <c r="P96" s="11">
        <v>3.0768551014574852</v>
      </c>
      <c r="Q96" s="13">
        <v>17.929347826086957</v>
      </c>
      <c r="R96" s="89">
        <v>5</v>
      </c>
      <c r="S96" s="89">
        <v>21</v>
      </c>
      <c r="T96" s="89">
        <v>87</v>
      </c>
      <c r="U96" s="89">
        <v>16</v>
      </c>
      <c r="V96" s="12">
        <v>-60385</v>
      </c>
      <c r="W96" s="11">
        <v>1.051127469972879</v>
      </c>
      <c r="X96" s="89">
        <v>1</v>
      </c>
      <c r="Y96" s="12">
        <v>60385</v>
      </c>
      <c r="Z96" s="11">
        <v>54.632773039662169</v>
      </c>
      <c r="AA96" s="14">
        <v>255.13505009522231</v>
      </c>
      <c r="AB96" s="11">
        <v>6.2904818293878006E-2</v>
      </c>
      <c r="AC96" s="11">
        <v>0.19056737574376001</v>
      </c>
      <c r="AD96" s="15">
        <v>1873.2013479312593</v>
      </c>
      <c r="AE96" s="11">
        <v>95.163480991381618</v>
      </c>
      <c r="AF96" s="11">
        <f>(Opti_Medias__30_OOS_1[[#This Row],[All: TS Index]]-AA$114) /ABS(AA$114)</f>
        <v>-0.96978549625884003</v>
      </c>
      <c r="AG96" s="11">
        <f>(Opti_Medias__30_OOS_1[[#This Row],[All: Expectancy Score]]-AB$114) /ABS(AB$114)</f>
        <v>-0.87567149156111046</v>
      </c>
      <c r="AH96" s="11"/>
      <c r="AI96" s="11">
        <f>(Opti_Medias__30_OOS_1[[#This Row],[All: Perfect Profit Correlation]]-AD$114) /ABS(AD$114)</f>
        <v>-0.9909921258700064</v>
      </c>
      <c r="AJ96" s="11">
        <f>(Opti_Medias__30_OOS_1[[#This Row],[All: Robustness Index]]-AE$114) /ABS(AE$114)</f>
        <v>-0.88569389661113851</v>
      </c>
      <c r="AK96" s="11">
        <f>SUM(Opti_Medias__30_OOS_1[[#This Row],[VAR TS Index]:[VAR Robustness Index]])</f>
        <v>-3.7221430103010955</v>
      </c>
      <c r="AL96" s="11">
        <f>Opti_Medias__30_OOS_1[[#This Row],[SUMA]]-Opti_Medias__30_OOS_1[[#This Row],[VAR Robustness Index]]</f>
        <v>-2.836449113689957</v>
      </c>
    </row>
    <row r="97" spans="1:38" x14ac:dyDescent="0.25">
      <c r="A97" s="11"/>
      <c r="B97" s="89">
        <v>31</v>
      </c>
      <c r="C97" s="89">
        <v>2</v>
      </c>
      <c r="D97" s="89">
        <v>76</v>
      </c>
      <c r="E97" s="10">
        <v>45380</v>
      </c>
      <c r="F97" s="10">
        <v>606200</v>
      </c>
      <c r="G97" s="10">
        <v>-560820</v>
      </c>
      <c r="H97" s="89">
        <v>1348</v>
      </c>
      <c r="I97" s="11">
        <v>28.783382789317507</v>
      </c>
      <c r="J97" s="89">
        <v>388</v>
      </c>
      <c r="K97" s="89">
        <v>958</v>
      </c>
      <c r="L97" s="12">
        <v>13830</v>
      </c>
      <c r="M97" s="12">
        <v>-3770</v>
      </c>
      <c r="N97" s="12">
        <v>1562.37109375</v>
      </c>
      <c r="O97" s="12">
        <v>-585.4071044921875</v>
      </c>
      <c r="P97" s="11">
        <v>2.668862543281366</v>
      </c>
      <c r="Q97" s="13">
        <v>33.664688427299701</v>
      </c>
      <c r="R97" s="89">
        <v>5</v>
      </c>
      <c r="S97" s="89">
        <v>20</v>
      </c>
      <c r="T97" s="89">
        <v>105</v>
      </c>
      <c r="U97" s="89">
        <v>23</v>
      </c>
      <c r="V97" s="12">
        <v>-53055</v>
      </c>
      <c r="W97" s="11">
        <v>1.0809172283442099</v>
      </c>
      <c r="X97" s="89">
        <v>1</v>
      </c>
      <c r="Y97" s="12">
        <v>53055</v>
      </c>
      <c r="Z97" s="11">
        <v>85.533879935915564</v>
      </c>
      <c r="AA97" s="14">
        <v>331.8714541513524</v>
      </c>
      <c r="AB97" s="11">
        <v>2.696799368082E-2</v>
      </c>
      <c r="AC97" s="11">
        <v>0.32724129485294501</v>
      </c>
      <c r="AD97" s="15">
        <v>14721.665491479989</v>
      </c>
      <c r="AE97" s="11">
        <v>108.68125094843137</v>
      </c>
      <c r="AF97" s="11">
        <f>(Opti_Medias__30_OOS_1[[#This Row],[All: TS Index]]-AA$114) /ABS(AA$114)</f>
        <v>-0.96069794687441867</v>
      </c>
      <c r="AG97" s="11">
        <f>(Opti_Medias__30_OOS_1[[#This Row],[All: Expectancy Score]]-AB$114) /ABS(AB$114)</f>
        <v>-0.94669898871241065</v>
      </c>
      <c r="AH97" s="11"/>
      <c r="AI97" s="11">
        <f>(Opti_Medias__30_OOS_1[[#This Row],[All: Perfect Profit Correlation]]-AD$114) /ABS(AD$114)</f>
        <v>-0.92920627038968562</v>
      </c>
      <c r="AJ97" s="11">
        <f>(Opti_Medias__30_OOS_1[[#This Row],[All: Robustness Index]]-AE$114) /ABS(AE$114)</f>
        <v>-0.86945695788001642</v>
      </c>
      <c r="AK97" s="11">
        <f>SUM(Opti_Medias__30_OOS_1[[#This Row],[VAR TS Index]:[VAR Robustness Index]])</f>
        <v>-3.7060601638565309</v>
      </c>
      <c r="AL97" s="11">
        <f>Opti_Medias__30_OOS_1[[#This Row],[SUMA]]-Opti_Medias__30_OOS_1[[#This Row],[VAR Robustness Index]]</f>
        <v>-2.8366032059765143</v>
      </c>
    </row>
    <row r="98" spans="1:38" x14ac:dyDescent="0.25">
      <c r="A98" s="11"/>
      <c r="B98" s="89">
        <v>40</v>
      </c>
      <c r="C98" s="89">
        <v>5</v>
      </c>
      <c r="D98" s="89">
        <v>220</v>
      </c>
      <c r="E98" s="10">
        <v>17940</v>
      </c>
      <c r="F98" s="10">
        <v>709890</v>
      </c>
      <c r="G98" s="10">
        <v>-691950</v>
      </c>
      <c r="H98" s="89">
        <v>2085</v>
      </c>
      <c r="I98" s="11">
        <v>27.913669064748202</v>
      </c>
      <c r="J98" s="89">
        <v>582</v>
      </c>
      <c r="K98" s="89">
        <v>1500</v>
      </c>
      <c r="L98" s="12">
        <v>15420</v>
      </c>
      <c r="M98" s="12">
        <v>-3640</v>
      </c>
      <c r="N98" s="12">
        <v>1219.7423095703125</v>
      </c>
      <c r="O98" s="12">
        <v>-461.29998779296875</v>
      </c>
      <c r="P98" s="11">
        <v>2.6441412136297999</v>
      </c>
      <c r="Q98" s="13">
        <v>8.6043165467625897</v>
      </c>
      <c r="R98" s="89">
        <v>4</v>
      </c>
      <c r="S98" s="89">
        <v>16</v>
      </c>
      <c r="T98" s="89">
        <v>69</v>
      </c>
      <c r="U98" s="89">
        <v>15</v>
      </c>
      <c r="V98" s="12">
        <v>-41235</v>
      </c>
      <c r="W98" s="11">
        <v>1.025926728809885</v>
      </c>
      <c r="X98" s="89">
        <v>1</v>
      </c>
      <c r="Y98" s="12">
        <v>41235</v>
      </c>
      <c r="Z98" s="11">
        <v>43.506729719898146</v>
      </c>
      <c r="AA98" s="14">
        <v>253.2091669698072</v>
      </c>
      <c r="AB98" s="11">
        <v>8.6840664476369994E-3</v>
      </c>
      <c r="AC98" s="11">
        <v>6.3801849564688998E-2</v>
      </c>
      <c r="AD98" s="15">
        <v>6520.3049582616259</v>
      </c>
      <c r="AE98" s="11">
        <v>45.127839108414314</v>
      </c>
      <c r="AF98" s="11">
        <f>(Opti_Medias__30_OOS_1[[#This Row],[All: TS Index]]-AA$114) /ABS(AA$114)</f>
        <v>-0.97001356999028598</v>
      </c>
      <c r="AG98" s="11">
        <f>(Opti_Medias__30_OOS_1[[#This Row],[All: Expectancy Score]]-AB$114) /ABS(AB$114)</f>
        <v>-0.98283633817087124</v>
      </c>
      <c r="AH98" s="11"/>
      <c r="AI98" s="11">
        <f>(Opti_Medias__30_OOS_1[[#This Row],[All: Perfect Profit Correlation]]-AD$114) /ABS(AD$114)</f>
        <v>-0.96864507575864223</v>
      </c>
      <c r="AJ98" s="11">
        <f>(Opti_Medias__30_OOS_1[[#This Row],[All: Robustness Index]]-AE$114) /ABS(AE$114)</f>
        <v>-0.94579446454560157</v>
      </c>
      <c r="AK98" s="11">
        <f>SUM(Opti_Medias__30_OOS_1[[#This Row],[VAR TS Index]:[VAR Robustness Index]])</f>
        <v>-3.8672894484654012</v>
      </c>
      <c r="AL98" s="11">
        <f>Opti_Medias__30_OOS_1[[#This Row],[SUMA]]-Opti_Medias__30_OOS_1[[#This Row],[VAR Robustness Index]]</f>
        <v>-2.9214949839197999</v>
      </c>
    </row>
    <row r="99" spans="1:38" x14ac:dyDescent="0.25">
      <c r="A99" s="11"/>
      <c r="B99" s="89">
        <v>42</v>
      </c>
      <c r="C99" s="89">
        <v>12</v>
      </c>
      <c r="D99" s="89">
        <v>537</v>
      </c>
      <c r="E99" s="10">
        <v>19740</v>
      </c>
      <c r="F99" s="10">
        <v>652430</v>
      </c>
      <c r="G99" s="10">
        <v>-632690</v>
      </c>
      <c r="H99" s="89">
        <v>1722</v>
      </c>
      <c r="I99" s="11">
        <v>27.40998838559814</v>
      </c>
      <c r="J99" s="89">
        <v>472</v>
      </c>
      <c r="K99" s="89">
        <v>1244</v>
      </c>
      <c r="L99" s="12">
        <v>16330</v>
      </c>
      <c r="M99" s="12">
        <v>-3670</v>
      </c>
      <c r="N99" s="12">
        <v>1382.2669677734375</v>
      </c>
      <c r="O99" s="12">
        <v>-508.59326171875</v>
      </c>
      <c r="P99" s="11">
        <v>2.717823989846381</v>
      </c>
      <c r="Q99" s="13">
        <v>11.463414634146341</v>
      </c>
      <c r="R99" s="89">
        <v>6</v>
      </c>
      <c r="S99" s="89">
        <v>18</v>
      </c>
      <c r="T99" s="89">
        <v>87</v>
      </c>
      <c r="U99" s="89">
        <v>18</v>
      </c>
      <c r="V99" s="12">
        <v>-56675</v>
      </c>
      <c r="W99" s="11">
        <v>1.031200113799807</v>
      </c>
      <c r="X99" s="89">
        <v>1</v>
      </c>
      <c r="Y99" s="12">
        <v>56675</v>
      </c>
      <c r="Z99" s="11">
        <v>34.830172033524484</v>
      </c>
      <c r="AA99" s="14">
        <v>164.39841199823556</v>
      </c>
      <c r="AB99" s="11">
        <v>1.1496580294802E-2</v>
      </c>
      <c r="AC99" s="11">
        <v>7.6477543345506993E-2</v>
      </c>
      <c r="AD99" s="15">
        <v>3859.124204410798</v>
      </c>
      <c r="AE99" s="11">
        <v>55.770241079829489</v>
      </c>
      <c r="AF99" s="11">
        <f>(Opti_Medias__30_OOS_1[[#This Row],[All: TS Index]]-AA$114) /ABS(AA$114)</f>
        <v>-0.98053103079130999</v>
      </c>
      <c r="AG99" s="11">
        <f>(Opti_Medias__30_OOS_1[[#This Row],[All: Expectancy Score]]-AB$114) /ABS(AB$114)</f>
        <v>-0.97727753264427175</v>
      </c>
      <c r="AH99" s="11"/>
      <c r="AI99" s="11">
        <f>(Opti_Medias__30_OOS_1[[#This Row],[All: Perfect Profit Correlation]]-AD$114) /ABS(AD$114)</f>
        <v>-0.9814421951362915</v>
      </c>
      <c r="AJ99" s="11">
        <f>(Opti_Medias__30_OOS_1[[#This Row],[All: Robustness Index]]-AE$114) /ABS(AE$114)</f>
        <v>-0.93301128882128592</v>
      </c>
      <c r="AK99" s="11">
        <f>SUM(Opti_Medias__30_OOS_1[[#This Row],[VAR TS Index]:[VAR Robustness Index]])</f>
        <v>-3.8722620473931593</v>
      </c>
      <c r="AL99" s="11">
        <f>Opti_Medias__30_OOS_1[[#This Row],[SUMA]]-Opti_Medias__30_OOS_1[[#This Row],[VAR Robustness Index]]</f>
        <v>-2.9392507585718732</v>
      </c>
    </row>
    <row r="100" spans="1:38" x14ac:dyDescent="0.25">
      <c r="A100" s="11"/>
      <c r="B100" s="89">
        <v>43</v>
      </c>
      <c r="C100" s="89">
        <v>12</v>
      </c>
      <c r="D100" s="89">
        <v>538</v>
      </c>
      <c r="E100" s="10">
        <v>11340</v>
      </c>
      <c r="F100" s="10">
        <v>682040</v>
      </c>
      <c r="G100" s="10">
        <v>-670700</v>
      </c>
      <c r="H100" s="89">
        <v>1964</v>
      </c>
      <c r="I100" s="11">
        <v>25.509164969450101</v>
      </c>
      <c r="J100" s="89">
        <v>501</v>
      </c>
      <c r="K100" s="89">
        <v>1451</v>
      </c>
      <c r="L100" s="12">
        <v>16330</v>
      </c>
      <c r="M100" s="12">
        <v>-3430</v>
      </c>
      <c r="N100" s="12">
        <v>1361.3572998046875</v>
      </c>
      <c r="O100" s="12">
        <v>-462.23294067382813</v>
      </c>
      <c r="P100" s="11">
        <v>2.9451758626724982</v>
      </c>
      <c r="Q100" s="13">
        <v>5.7739307535641551</v>
      </c>
      <c r="R100" s="89">
        <v>3</v>
      </c>
      <c r="S100" s="89">
        <v>18</v>
      </c>
      <c r="T100" s="89">
        <v>81</v>
      </c>
      <c r="U100" s="89">
        <v>16</v>
      </c>
      <c r="V100" s="12">
        <v>-58695</v>
      </c>
      <c r="W100" s="11">
        <v>1.0169077083643949</v>
      </c>
      <c r="X100" s="89">
        <v>1</v>
      </c>
      <c r="Y100" s="12">
        <v>58695</v>
      </c>
      <c r="Z100" s="11">
        <v>19.320214669051879</v>
      </c>
      <c r="AA100" s="14">
        <v>96.794275491949904</v>
      </c>
      <c r="AB100" s="11">
        <v>-1.8449820144561001E-2</v>
      </c>
      <c r="AC100" s="11">
        <v>-1.5239255460986E-2</v>
      </c>
      <c r="AD100" s="15">
        <v>-2429.8717152566192</v>
      </c>
      <c r="AE100" s="11">
        <v>35.308738818329608</v>
      </c>
      <c r="AF100" s="11">
        <f>(Opti_Medias__30_OOS_1[[#This Row],[All: TS Index]]-AA$114) /ABS(AA$114)</f>
        <v>-0.98853708654344885</v>
      </c>
      <c r="AG100" s="11">
        <f>(Opti_Medias__30_OOS_1[[#This Row],[All: Expectancy Score]]-AB$114) /ABS(AB$114)</f>
        <v>-1.0364652292424201</v>
      </c>
      <c r="AH100" s="11"/>
      <c r="AI100" s="11">
        <f>(Opti_Medias__30_OOS_1[[#This Row],[All: Perfect Profit Correlation]]-AD$114) /ABS(AD$114)</f>
        <v>-1.0116847975724745</v>
      </c>
      <c r="AJ100" s="11">
        <f>(Opti_Medias__30_OOS_1[[#This Row],[All: Robustness Index]]-AE$114) /ABS(AE$114)</f>
        <v>-0.95758872723178545</v>
      </c>
      <c r="AK100" s="11">
        <f>SUM(Opti_Medias__30_OOS_1[[#This Row],[VAR TS Index]:[VAR Robustness Index]])</f>
        <v>-3.9942758405901291</v>
      </c>
      <c r="AL100" s="11">
        <f>Opti_Medias__30_OOS_1[[#This Row],[SUMA]]-Opti_Medias__30_OOS_1[[#This Row],[VAR Robustness Index]]</f>
        <v>-3.0366871133583437</v>
      </c>
    </row>
    <row r="101" spans="1:38" x14ac:dyDescent="0.25">
      <c r="A101" s="11"/>
      <c r="B101" s="89">
        <v>42</v>
      </c>
      <c r="C101" s="89">
        <v>11</v>
      </c>
      <c r="D101" s="89">
        <v>492</v>
      </c>
      <c r="E101" s="10">
        <v>3130</v>
      </c>
      <c r="F101" s="10">
        <v>712140</v>
      </c>
      <c r="G101" s="10">
        <v>-709010</v>
      </c>
      <c r="H101" s="89">
        <v>1900</v>
      </c>
      <c r="I101" s="11">
        <v>29.94736842105263</v>
      </c>
      <c r="J101" s="89">
        <v>569</v>
      </c>
      <c r="K101" s="89">
        <v>1324</v>
      </c>
      <c r="L101" s="12">
        <v>16920</v>
      </c>
      <c r="M101" s="12">
        <v>-4440</v>
      </c>
      <c r="N101" s="12">
        <v>1251.5640869140625</v>
      </c>
      <c r="O101" s="12">
        <v>-535.50604248046875</v>
      </c>
      <c r="P101" s="11">
        <v>2.3371614652876871</v>
      </c>
      <c r="Q101" s="13">
        <v>1.647368421052632</v>
      </c>
      <c r="R101" s="89">
        <v>6</v>
      </c>
      <c r="S101" s="89">
        <v>14</v>
      </c>
      <c r="T101" s="89">
        <v>70</v>
      </c>
      <c r="U101" s="89">
        <v>18</v>
      </c>
      <c r="V101" s="12">
        <v>-61275</v>
      </c>
      <c r="W101" s="11">
        <v>1.004414606281999</v>
      </c>
      <c r="X101" s="89">
        <v>1</v>
      </c>
      <c r="Y101" s="12">
        <v>61275</v>
      </c>
      <c r="Z101" s="11">
        <v>5.1081191350469197</v>
      </c>
      <c r="AA101" s="14">
        <v>29.065197878416974</v>
      </c>
      <c r="AB101" s="11">
        <v>-4.0203277139302003E-2</v>
      </c>
      <c r="AC101" s="11">
        <v>-7.2391048037675002E-2</v>
      </c>
      <c r="AD101" s="15">
        <v>-1146.3246470421209</v>
      </c>
      <c r="AE101" s="11">
        <v>9.1820909564794668</v>
      </c>
      <c r="AF101" s="11">
        <f>(Opti_Medias__30_OOS_1[[#This Row],[All: TS Index]]-AA$114) /ABS(AA$114)</f>
        <v>-0.99655793851253593</v>
      </c>
      <c r="AG101" s="11">
        <f>(Opti_Medias__30_OOS_1[[#This Row],[All: Expectancy Score]]-AB$114) /ABS(AB$114)</f>
        <v>-1.0794599462593342</v>
      </c>
      <c r="AH101" s="11"/>
      <c r="AI101" s="11">
        <f>(Opti_Medias__30_OOS_1[[#This Row],[All: Perfect Profit Correlation]]-AD$114) /ABS(AD$114)</f>
        <v>-1.0055124603364547</v>
      </c>
      <c r="AJ101" s="11">
        <f>(Opti_Medias__30_OOS_1[[#This Row],[All: Robustness Index]]-AE$114) /ABS(AE$114)</f>
        <v>-0.98897088434278357</v>
      </c>
      <c r="AK101" s="11">
        <f>SUM(Opti_Medias__30_OOS_1[[#This Row],[VAR TS Index]:[VAR Robustness Index]])</f>
        <v>-4.0705012294511089</v>
      </c>
      <c r="AL101" s="11">
        <f>Opti_Medias__30_OOS_1[[#This Row],[SUMA]]-Opti_Medias__30_OOS_1[[#This Row],[VAR Robustness Index]]</f>
        <v>-3.0815303451083254</v>
      </c>
    </row>
    <row r="104" spans="1:38" ht="30" customHeight="1" x14ac:dyDescent="0.25">
      <c r="A104" s="42" t="s">
        <v>38</v>
      </c>
      <c r="B104" s="43">
        <v>26.27</v>
      </c>
      <c r="C104" s="43">
        <v>6.86</v>
      </c>
      <c r="D104" s="50"/>
      <c r="E104" s="51">
        <v>96724.3</v>
      </c>
      <c r="F104" s="51">
        <v>707253.4</v>
      </c>
      <c r="G104" s="51">
        <v>-610529.1</v>
      </c>
      <c r="H104" s="43">
        <v>1570.13</v>
      </c>
      <c r="I104" s="43">
        <v>36.123305757707818</v>
      </c>
      <c r="J104" s="43">
        <v>565.16999999999996</v>
      </c>
      <c r="K104" s="43">
        <v>998.24</v>
      </c>
      <c r="L104" s="52">
        <v>14442.5</v>
      </c>
      <c r="M104" s="52">
        <v>-4522.2</v>
      </c>
      <c r="N104" s="52">
        <v>1272.9416442871093</v>
      </c>
      <c r="O104" s="52">
        <v>-621.79184173583985</v>
      </c>
      <c r="P104" s="53">
        <v>2.0960074771883699</v>
      </c>
      <c r="Q104" s="52">
        <v>62.653614311490067</v>
      </c>
      <c r="R104" s="43">
        <v>7.14</v>
      </c>
      <c r="S104" s="43">
        <v>12.61</v>
      </c>
      <c r="T104" s="43">
        <v>72.38</v>
      </c>
      <c r="U104" s="43">
        <v>23.69</v>
      </c>
      <c r="V104" s="52">
        <v>-32945.699999999997</v>
      </c>
      <c r="W104" s="53">
        <v>1.1600723433047444</v>
      </c>
      <c r="X104" s="50"/>
      <c r="Y104" s="50"/>
      <c r="Z104" s="43">
        <v>351.04251423021947</v>
      </c>
      <c r="AA104" s="50">
        <v>2109.8700028474027</v>
      </c>
      <c r="AB104" s="53">
        <v>7.4370203688421996E-2</v>
      </c>
      <c r="AC104" s="53">
        <v>0.86259320673727946</v>
      </c>
      <c r="AD104" s="53">
        <v>81870.584702839027</v>
      </c>
      <c r="AE104" s="53">
        <v>216.87475398420935</v>
      </c>
    </row>
    <row r="105" spans="1:38" ht="30" customHeight="1" x14ac:dyDescent="0.25">
      <c r="A105" s="44" t="s">
        <v>39</v>
      </c>
      <c r="B105" s="45">
        <v>1.077956821533641</v>
      </c>
      <c r="C105" s="45">
        <v>0.3714617589790884</v>
      </c>
      <c r="D105" s="54"/>
      <c r="E105" s="55">
        <v>4387.4706094270141</v>
      </c>
      <c r="F105" s="55">
        <v>5021.3299482197808</v>
      </c>
      <c r="G105" s="55">
        <v>3816.1891062745394</v>
      </c>
      <c r="H105" s="45">
        <v>15.257299329445001</v>
      </c>
      <c r="I105" s="45">
        <v>0.56898098294581212</v>
      </c>
      <c r="J105" s="45">
        <v>9.1259432057151955</v>
      </c>
      <c r="K105" s="45">
        <v>15.25899052752807</v>
      </c>
      <c r="L105" s="56">
        <v>309.52920832787464</v>
      </c>
      <c r="M105" s="56">
        <v>96.631820260557475</v>
      </c>
      <c r="N105" s="56">
        <v>14.236862888931782</v>
      </c>
      <c r="O105" s="56">
        <v>7.7066000055653436</v>
      </c>
      <c r="P105" s="57">
        <v>4.3740193732604307E-2</v>
      </c>
      <c r="Q105" s="56">
        <v>2.8685700357263135</v>
      </c>
      <c r="R105" s="45">
        <v>0.19950443654721114</v>
      </c>
      <c r="S105" s="45">
        <v>0.32995102177092417</v>
      </c>
      <c r="T105" s="45">
        <v>1.404234577082742</v>
      </c>
      <c r="U105" s="45">
        <v>0.3881307183739191</v>
      </c>
      <c r="V105" s="56">
        <v>1005.4340261345302</v>
      </c>
      <c r="W105" s="57">
        <v>7.3712823506779336E-3</v>
      </c>
      <c r="X105" s="54"/>
      <c r="Y105" s="54"/>
      <c r="Z105" s="45">
        <v>24.632715500336666</v>
      </c>
      <c r="AA105" s="54">
        <v>174.45600606278759</v>
      </c>
      <c r="AB105" s="57">
        <v>8.1408703301189111E-3</v>
      </c>
      <c r="AC105" s="57">
        <v>4.4484157961152314E-2</v>
      </c>
      <c r="AD105" s="58">
        <v>5030.0222324601718</v>
      </c>
      <c r="AE105" s="57">
        <v>13.110495973017374</v>
      </c>
    </row>
    <row r="106" spans="1:38" ht="30" customHeight="1" x14ac:dyDescent="0.25">
      <c r="A106" s="46" t="s">
        <v>40</v>
      </c>
      <c r="B106" s="47">
        <v>29</v>
      </c>
      <c r="C106" s="47">
        <v>8</v>
      </c>
      <c r="D106" s="59"/>
      <c r="E106" s="60">
        <v>96885</v>
      </c>
      <c r="F106" s="60">
        <v>703175</v>
      </c>
      <c r="G106" s="60">
        <v>-614860</v>
      </c>
      <c r="H106" s="47">
        <v>1548</v>
      </c>
      <c r="I106" s="47">
        <v>36.462775676635005</v>
      </c>
      <c r="J106" s="47">
        <v>558</v>
      </c>
      <c r="K106" s="47">
        <v>967.5</v>
      </c>
      <c r="L106" s="61">
        <v>15955</v>
      </c>
      <c r="M106" s="61">
        <v>-4105</v>
      </c>
      <c r="N106" s="61">
        <v>1263.4581909179688</v>
      </c>
      <c r="O106" s="61">
        <v>-617.75579833984375</v>
      </c>
      <c r="P106" s="62">
        <v>2.1038648420368125</v>
      </c>
      <c r="Q106" s="61">
        <v>61.934430429482816</v>
      </c>
      <c r="R106" s="47">
        <v>7</v>
      </c>
      <c r="S106" s="47">
        <v>12</v>
      </c>
      <c r="T106" s="47">
        <v>71</v>
      </c>
      <c r="U106" s="47">
        <v>24</v>
      </c>
      <c r="V106" s="61">
        <v>-31445</v>
      </c>
      <c r="W106" s="62">
        <v>1.1601366359325365</v>
      </c>
      <c r="X106" s="59"/>
      <c r="Y106" s="59"/>
      <c r="Z106" s="47">
        <v>325.30353312874047</v>
      </c>
      <c r="AA106" s="63">
        <v>1856.7103382260254</v>
      </c>
      <c r="AB106" s="64">
        <v>5.8899013018704496E-2</v>
      </c>
      <c r="AC106" s="62">
        <v>0.86459552671886253</v>
      </c>
      <c r="AD106" s="65">
        <v>80064.390230750432</v>
      </c>
      <c r="AE106" s="66">
        <v>190.28256554567344</v>
      </c>
    </row>
    <row r="107" spans="1:38" ht="30" customHeight="1" x14ac:dyDescent="0.25">
      <c r="A107" s="44" t="s">
        <v>41</v>
      </c>
      <c r="B107" s="45">
        <v>37</v>
      </c>
      <c r="C107" s="45">
        <v>8</v>
      </c>
      <c r="D107" s="54"/>
      <c r="E107" s="55" t="e">
        <v>#N/A</v>
      </c>
      <c r="F107" s="55" t="e">
        <v>#N/A</v>
      </c>
      <c r="G107" s="55">
        <v>-585460</v>
      </c>
      <c r="H107" s="45">
        <v>1524</v>
      </c>
      <c r="I107" s="45" t="e">
        <v>#N/A</v>
      </c>
      <c r="J107" s="45">
        <v>690</v>
      </c>
      <c r="K107" s="45">
        <v>959</v>
      </c>
      <c r="L107" s="56">
        <v>16430</v>
      </c>
      <c r="M107" s="56">
        <v>-4100</v>
      </c>
      <c r="N107" s="56" t="e">
        <v>#N/A</v>
      </c>
      <c r="O107" s="56" t="e">
        <v>#N/A</v>
      </c>
      <c r="P107" s="57" t="e">
        <v>#N/A</v>
      </c>
      <c r="Q107" s="56" t="e">
        <v>#N/A</v>
      </c>
      <c r="R107" s="45">
        <v>7</v>
      </c>
      <c r="S107" s="45">
        <v>10</v>
      </c>
      <c r="T107" s="45">
        <v>72</v>
      </c>
      <c r="U107" s="45">
        <v>24</v>
      </c>
      <c r="V107" s="56" t="e">
        <v>#N/A</v>
      </c>
      <c r="W107" s="57" t="e">
        <v>#N/A</v>
      </c>
      <c r="X107" s="54"/>
      <c r="Y107" s="54"/>
      <c r="Z107" s="45" t="e">
        <v>#N/A</v>
      </c>
      <c r="AA107" s="54" t="e">
        <v>#N/A</v>
      </c>
      <c r="AB107" s="57" t="e">
        <v>#N/A</v>
      </c>
      <c r="AC107" s="57" t="e">
        <v>#N/A</v>
      </c>
      <c r="AD107" s="58" t="e">
        <v>#N/A</v>
      </c>
      <c r="AE107" s="57" t="e">
        <v>#N/A</v>
      </c>
    </row>
    <row r="108" spans="1:38" ht="30" customHeight="1" x14ac:dyDescent="0.25">
      <c r="A108" s="46" t="s">
        <v>42</v>
      </c>
      <c r="B108" s="47">
        <v>10.779568215336409</v>
      </c>
      <c r="C108" s="47">
        <v>3.7146175897908842</v>
      </c>
      <c r="D108" s="62"/>
      <c r="E108" s="60">
        <v>43874.706094270143</v>
      </c>
      <c r="F108" s="60">
        <v>50213.299482197806</v>
      </c>
      <c r="G108" s="60">
        <v>38161.891062745395</v>
      </c>
      <c r="H108" s="47">
        <v>152.57299329445001</v>
      </c>
      <c r="I108" s="47">
        <v>5.6898098294581212</v>
      </c>
      <c r="J108" s="47">
        <v>91.259432057151955</v>
      </c>
      <c r="K108" s="47">
        <v>152.5899052752807</v>
      </c>
      <c r="L108" s="61">
        <v>3095.2920832787463</v>
      </c>
      <c r="M108" s="61">
        <v>966.31820260557481</v>
      </c>
      <c r="N108" s="61">
        <v>142.36862888931782</v>
      </c>
      <c r="O108" s="61">
        <v>77.066000055653433</v>
      </c>
      <c r="P108" s="62">
        <v>0.4374019373260431</v>
      </c>
      <c r="Q108" s="61">
        <v>28.685700357263137</v>
      </c>
      <c r="R108" s="47">
        <v>1.9950443654721115</v>
      </c>
      <c r="S108" s="47">
        <v>3.2995102177092415</v>
      </c>
      <c r="T108" s="47">
        <v>14.042345770827421</v>
      </c>
      <c r="U108" s="47">
        <v>3.881307183739191</v>
      </c>
      <c r="V108" s="61">
        <v>10054.340261345302</v>
      </c>
      <c r="W108" s="62">
        <v>7.3712823506779337E-2</v>
      </c>
      <c r="X108" s="62"/>
      <c r="Y108" s="62"/>
      <c r="Z108" s="47">
        <v>246.32715500336667</v>
      </c>
      <c r="AA108" s="62">
        <v>1744.5600606278761</v>
      </c>
      <c r="AB108" s="62">
        <v>8.1408703301189114E-2</v>
      </c>
      <c r="AC108" s="62">
        <v>0.44484157961152315</v>
      </c>
      <c r="AD108" s="53">
        <v>50300.222324601717</v>
      </c>
      <c r="AE108" s="62">
        <v>131.10495973017373</v>
      </c>
    </row>
    <row r="109" spans="1:38" ht="30" customHeight="1" x14ac:dyDescent="0.25">
      <c r="A109" s="44" t="s">
        <v>43</v>
      </c>
      <c r="B109" s="45">
        <v>116.19909090909097</v>
      </c>
      <c r="C109" s="45">
        <v>13.798383838383838</v>
      </c>
      <c r="D109" s="57"/>
      <c r="E109" s="55">
        <v>1924989834.8585858</v>
      </c>
      <c r="F109" s="55">
        <v>2521375444.8888865</v>
      </c>
      <c r="G109" s="55">
        <v>1456329929.4848466</v>
      </c>
      <c r="H109" s="45">
        <v>23278.518282828289</v>
      </c>
      <c r="I109" s="45">
        <v>32.373935895398255</v>
      </c>
      <c r="J109" s="45">
        <v>8328.2839393939339</v>
      </c>
      <c r="K109" s="45">
        <v>23283.679191919138</v>
      </c>
      <c r="L109" s="55">
        <v>9580833.0808080807</v>
      </c>
      <c r="M109" s="55">
        <v>933770.86868686869</v>
      </c>
      <c r="N109" s="55">
        <v>20268.826491824304</v>
      </c>
      <c r="O109" s="55">
        <v>5939.168364577974</v>
      </c>
      <c r="P109" s="57">
        <v>0.19132045477657572</v>
      </c>
      <c r="Q109" s="55">
        <v>822.8694049866865</v>
      </c>
      <c r="R109" s="45">
        <v>3.9802020202020199</v>
      </c>
      <c r="S109" s="45">
        <v>10.886767676767686</v>
      </c>
      <c r="T109" s="45">
        <v>197.18747474747474</v>
      </c>
      <c r="U109" s="45">
        <v>15.064545454545449</v>
      </c>
      <c r="V109" s="55">
        <v>101089758.09090909</v>
      </c>
      <c r="W109" s="57">
        <v>5.4335803493416011E-3</v>
      </c>
      <c r="X109" s="54"/>
      <c r="Y109" s="54"/>
      <c r="Z109" s="45">
        <v>60677.067292052634</v>
      </c>
      <c r="AA109" s="54">
        <v>3043489.8051379388</v>
      </c>
      <c r="AB109" s="57">
        <v>6.62737697318104E-3</v>
      </c>
      <c r="AC109" s="57">
        <v>0.1978840309512751</v>
      </c>
      <c r="AD109" s="67">
        <v>2530112365.9043608</v>
      </c>
      <c r="AE109" s="57">
        <v>17188.510465850479</v>
      </c>
    </row>
    <row r="110" spans="1:38" ht="30" customHeight="1" x14ac:dyDescent="0.25">
      <c r="A110" s="46" t="s">
        <v>44</v>
      </c>
      <c r="B110" s="47">
        <v>-0.48690903673130226</v>
      </c>
      <c r="C110" s="47">
        <v>-1.2620010086143714</v>
      </c>
      <c r="D110" s="62"/>
      <c r="E110" s="60">
        <v>6.7174296483758056E-2</v>
      </c>
      <c r="F110" s="60">
        <v>0.83541570808088883</v>
      </c>
      <c r="G110" s="60">
        <v>-0.18509666320928275</v>
      </c>
      <c r="H110" s="47">
        <v>1.7726170689925831</v>
      </c>
      <c r="I110" s="47">
        <v>-0.69189663703842097</v>
      </c>
      <c r="J110" s="47">
        <v>-0.10278411669848664</v>
      </c>
      <c r="K110" s="47">
        <v>1.3207360743212839</v>
      </c>
      <c r="L110" s="61">
        <v>0.67365322273010797</v>
      </c>
      <c r="M110" s="61">
        <v>0.87765674146768013</v>
      </c>
      <c r="N110" s="61">
        <v>0.75031657070598312</v>
      </c>
      <c r="O110" s="61">
        <v>1.2226926134259575E-2</v>
      </c>
      <c r="P110" s="62">
        <v>-0.50095627794361164</v>
      </c>
      <c r="Q110" s="61">
        <v>0.39581261888231012</v>
      </c>
      <c r="R110" s="47">
        <v>-0.30911643803180455</v>
      </c>
      <c r="S110" s="47">
        <v>-0.18247802207380381</v>
      </c>
      <c r="T110" s="47">
        <v>1.6244009812705342</v>
      </c>
      <c r="U110" s="47">
        <v>3.7659560378816734</v>
      </c>
      <c r="V110" s="61">
        <v>0.95212632546071374</v>
      </c>
      <c r="W110" s="62">
        <v>0.34464546861126077</v>
      </c>
      <c r="X110" s="62"/>
      <c r="Y110" s="62"/>
      <c r="Z110" s="47">
        <v>2.7155204395229053</v>
      </c>
      <c r="AA110" s="62">
        <v>3.3326411273355103</v>
      </c>
      <c r="AB110" s="62">
        <v>12.925464288092801</v>
      </c>
      <c r="AC110" s="62">
        <v>5.2399109796624099E-2</v>
      </c>
      <c r="AD110" s="53">
        <v>-0.38303239023917568</v>
      </c>
      <c r="AE110" s="62">
        <v>6.7829203728363279</v>
      </c>
    </row>
    <row r="111" spans="1:38" ht="30" customHeight="1" x14ac:dyDescent="0.25">
      <c r="A111" s="44" t="s">
        <v>45</v>
      </c>
      <c r="B111" s="45">
        <v>-0.68222196081678732</v>
      </c>
      <c r="C111" s="45">
        <v>-0.40741164399043833</v>
      </c>
      <c r="D111" s="57"/>
      <c r="E111" s="55">
        <v>0.41874460800568675</v>
      </c>
      <c r="F111" s="55">
        <v>0.13865282807207319</v>
      </c>
      <c r="G111" s="55">
        <v>2.368235307938639E-2</v>
      </c>
      <c r="H111" s="45">
        <v>0.2514980857581271</v>
      </c>
      <c r="I111" s="45">
        <v>0.12965721322049736</v>
      </c>
      <c r="J111" s="45">
        <v>-0.12071294225201862</v>
      </c>
      <c r="K111" s="45">
        <v>1.0207621605469257</v>
      </c>
      <c r="L111" s="56">
        <v>-0.14995590932999517</v>
      </c>
      <c r="M111" s="56">
        <v>-1.3262137899109072</v>
      </c>
      <c r="N111" s="56">
        <v>0.78224899618771171</v>
      </c>
      <c r="O111" s="56">
        <v>-0.2655214779292715</v>
      </c>
      <c r="P111" s="57">
        <v>0.25870023543038456</v>
      </c>
      <c r="Q111" s="56">
        <v>0.37127385017717168</v>
      </c>
      <c r="R111" s="45">
        <v>0.71420744732211416</v>
      </c>
      <c r="S111" s="45">
        <v>0.75865253029687096</v>
      </c>
      <c r="T111" s="45">
        <v>1.1565629879212938</v>
      </c>
      <c r="U111" s="45">
        <v>0.92176662894292316</v>
      </c>
      <c r="V111" s="56">
        <v>-0.9747340609528562</v>
      </c>
      <c r="W111" s="57">
        <v>0.42777120096122956</v>
      </c>
      <c r="X111" s="57"/>
      <c r="Y111" s="57"/>
      <c r="Z111" s="45">
        <v>1.5120764202810102</v>
      </c>
      <c r="AA111" s="57">
        <v>1.7723649328442053</v>
      </c>
      <c r="AB111" s="57">
        <v>3.0410995588261649</v>
      </c>
      <c r="AC111" s="57">
        <v>0.40486817927934809</v>
      </c>
      <c r="AD111" s="58">
        <v>0.38098230633212693</v>
      </c>
      <c r="AE111" s="57">
        <v>2.1576443312322655</v>
      </c>
    </row>
    <row r="112" spans="1:38" ht="30" customHeight="1" x14ac:dyDescent="0.25">
      <c r="A112" s="46" t="s">
        <v>46</v>
      </c>
      <c r="B112" s="47">
        <v>42</v>
      </c>
      <c r="C112" s="47">
        <v>11</v>
      </c>
      <c r="D112" s="59"/>
      <c r="E112" s="60">
        <v>211910</v>
      </c>
      <c r="F112" s="60">
        <v>236920</v>
      </c>
      <c r="G112" s="60">
        <v>192750</v>
      </c>
      <c r="H112" s="47">
        <v>919</v>
      </c>
      <c r="I112" s="47">
        <v>22.677498067950886</v>
      </c>
      <c r="J112" s="47">
        <v>412</v>
      </c>
      <c r="K112" s="47">
        <v>829</v>
      </c>
      <c r="L112" s="61">
        <v>17500</v>
      </c>
      <c r="M112" s="61">
        <v>3760</v>
      </c>
      <c r="N112" s="61">
        <v>642.788818359375</v>
      </c>
      <c r="O112" s="61">
        <v>351.65081787109375</v>
      </c>
      <c r="P112" s="62">
        <v>1.7900239662822288</v>
      </c>
      <c r="Q112" s="61">
        <v>151.62419251978844</v>
      </c>
      <c r="R112" s="47">
        <v>8</v>
      </c>
      <c r="S112" s="47">
        <v>14</v>
      </c>
      <c r="T112" s="47">
        <v>70</v>
      </c>
      <c r="U112" s="47">
        <v>25</v>
      </c>
      <c r="V112" s="61">
        <v>46920</v>
      </c>
      <c r="W112" s="62">
        <v>0.38123127524810307</v>
      </c>
      <c r="X112" s="59"/>
      <c r="Y112" s="59"/>
      <c r="Z112" s="47">
        <v>1218.6781304576541</v>
      </c>
      <c r="AA112" s="59">
        <v>8415.059924311221</v>
      </c>
      <c r="AB112" s="62">
        <v>0.54615978770740903</v>
      </c>
      <c r="AC112" s="62">
        <v>2.1315732130427318</v>
      </c>
      <c r="AD112" s="53">
        <v>210381.41731845794</v>
      </c>
      <c r="AE112" s="62">
        <v>823.34984014821475</v>
      </c>
    </row>
    <row r="113" spans="1:31" ht="30" customHeight="1" x14ac:dyDescent="0.25">
      <c r="A113" s="44" t="s">
        <v>47</v>
      </c>
      <c r="B113" s="45">
        <v>1</v>
      </c>
      <c r="C113" s="45">
        <v>1</v>
      </c>
      <c r="D113" s="54"/>
      <c r="E113" s="55">
        <v>3130</v>
      </c>
      <c r="F113" s="55">
        <v>586800</v>
      </c>
      <c r="G113" s="55">
        <v>-709010</v>
      </c>
      <c r="H113" s="45">
        <v>1166</v>
      </c>
      <c r="I113" s="45">
        <v>25.380434782608695</v>
      </c>
      <c r="J113" s="45">
        <v>351</v>
      </c>
      <c r="K113" s="45">
        <v>671</v>
      </c>
      <c r="L113" s="56">
        <v>8520</v>
      </c>
      <c r="M113" s="56">
        <v>-7100</v>
      </c>
      <c r="N113" s="56">
        <v>1036.3564453125</v>
      </c>
      <c r="O113" s="56">
        <v>-812.9508056640625</v>
      </c>
      <c r="P113" s="57">
        <v>1.33875192997076</v>
      </c>
      <c r="Q113" s="56">
        <v>1.647368421052632</v>
      </c>
      <c r="R113" s="45">
        <v>3</v>
      </c>
      <c r="S113" s="45">
        <v>7</v>
      </c>
      <c r="T113" s="45">
        <v>46</v>
      </c>
      <c r="U113" s="45">
        <v>15</v>
      </c>
      <c r="V113" s="56">
        <v>-61275</v>
      </c>
      <c r="W113" s="57">
        <v>1.004414606281999</v>
      </c>
      <c r="X113" s="54"/>
      <c r="Y113" s="54"/>
      <c r="Z113" s="54">
        <v>5.1081191350469197</v>
      </c>
      <c r="AA113" s="63">
        <v>29.065197878416974</v>
      </c>
      <c r="AB113" s="64">
        <v>-4.0203277139302003E-2</v>
      </c>
      <c r="AC113" s="57">
        <v>-7.2391048037675002E-2</v>
      </c>
      <c r="AD113" s="65">
        <v>-2429.8717152566192</v>
      </c>
      <c r="AE113" s="66">
        <v>9.1820909564794668</v>
      </c>
    </row>
    <row r="114" spans="1:31" ht="30" customHeight="1" x14ac:dyDescent="0.25">
      <c r="A114" s="46" t="s">
        <v>48</v>
      </c>
      <c r="B114" s="47">
        <v>43</v>
      </c>
      <c r="C114" s="47">
        <v>12</v>
      </c>
      <c r="D114" s="59"/>
      <c r="E114" s="60">
        <v>215040</v>
      </c>
      <c r="F114" s="60">
        <v>823720</v>
      </c>
      <c r="G114" s="60">
        <v>-516260</v>
      </c>
      <c r="H114" s="47">
        <v>2085</v>
      </c>
      <c r="I114" s="47">
        <v>48.057932850559581</v>
      </c>
      <c r="J114" s="47">
        <v>763</v>
      </c>
      <c r="K114" s="47">
        <v>1500</v>
      </c>
      <c r="L114" s="61">
        <v>26020</v>
      </c>
      <c r="M114" s="61">
        <v>-3340</v>
      </c>
      <c r="N114" s="61">
        <v>1679.145263671875</v>
      </c>
      <c r="O114" s="61">
        <v>-461.29998779296875</v>
      </c>
      <c r="P114" s="62">
        <v>3.1287758962529888</v>
      </c>
      <c r="Q114" s="61">
        <v>153.27156094084106</v>
      </c>
      <c r="R114" s="47">
        <v>11</v>
      </c>
      <c r="S114" s="47">
        <v>21</v>
      </c>
      <c r="T114" s="47">
        <v>116</v>
      </c>
      <c r="U114" s="47">
        <v>40</v>
      </c>
      <c r="V114" s="61">
        <v>-14355</v>
      </c>
      <c r="W114" s="62">
        <v>1.385645881530102</v>
      </c>
      <c r="X114" s="59"/>
      <c r="Y114" s="59"/>
      <c r="Z114" s="47">
        <v>1223.7862495927011</v>
      </c>
      <c r="AA114" s="63">
        <v>8444.1251221896382</v>
      </c>
      <c r="AB114" s="64">
        <v>0.50595651056810698</v>
      </c>
      <c r="AC114" s="62">
        <v>2.059182165005057</v>
      </c>
      <c r="AD114" s="65">
        <v>207951.54560320132</v>
      </c>
      <c r="AE114" s="68">
        <v>832.53193110469419</v>
      </c>
    </row>
    <row r="115" spans="1:31" ht="30" customHeight="1" x14ac:dyDescent="0.25">
      <c r="A115" s="48" t="s">
        <v>49</v>
      </c>
      <c r="B115" s="49">
        <v>2.1389001983652642</v>
      </c>
      <c r="C115" s="49">
        <v>0.73706071903241499</v>
      </c>
      <c r="D115" s="69"/>
      <c r="E115" s="70">
        <v>8705.6935578122666</v>
      </c>
      <c r="F115" s="70">
        <v>9963.408002766233</v>
      </c>
      <c r="G115" s="70">
        <v>7572.1471151293581</v>
      </c>
      <c r="H115" s="49">
        <v>30.273791964912835</v>
      </c>
      <c r="I115" s="49">
        <v>1.1289817114913823</v>
      </c>
      <c r="J115" s="49">
        <v>18.107851207994976</v>
      </c>
      <c r="K115" s="49">
        <v>30.277147668817754</v>
      </c>
      <c r="L115" s="71">
        <v>614.17310217529223</v>
      </c>
      <c r="M115" s="71">
        <v>191.73849582364988</v>
      </c>
      <c r="N115" s="71">
        <v>28.249024681630004</v>
      </c>
      <c r="O115" s="71">
        <v>15.291566370138726</v>
      </c>
      <c r="P115" s="69">
        <v>8.6790033869907399E-2</v>
      </c>
      <c r="Q115" s="71">
        <v>5.6918652917010037</v>
      </c>
      <c r="R115" s="49">
        <v>0.39586008491367297</v>
      </c>
      <c r="S115" s="49">
        <v>0.65469441059112654</v>
      </c>
      <c r="T115" s="49">
        <v>2.7863060518513594</v>
      </c>
      <c r="U115" s="49">
        <v>0.77013555082894369</v>
      </c>
      <c r="V115" s="71">
        <v>1994.9992383579149</v>
      </c>
      <c r="W115" s="69">
        <v>1.4626223395144924E-2</v>
      </c>
      <c r="X115" s="69"/>
      <c r="Y115" s="69"/>
      <c r="Z115" s="49">
        <v>48.876651659373486</v>
      </c>
      <c r="AA115" s="69">
        <v>346.15856453584581</v>
      </c>
      <c r="AB115" s="69">
        <v>1.6153252909688848E-2</v>
      </c>
      <c r="AC115" s="69">
        <v>8.8266220303566262E-2</v>
      </c>
      <c r="AD115" s="72">
        <v>9980.6553805040239</v>
      </c>
      <c r="AE115" s="69">
        <v>26.014068353366522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6454-8044-4BF7-8AE3-BC9EE86CA525}">
  <dimension ref="A1:AL115"/>
  <sheetViews>
    <sheetView tabSelected="1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C19" sqref="C19"/>
    </sheetView>
  </sheetViews>
  <sheetFormatPr baseColWidth="10" defaultColWidth="1.375" defaultRowHeight="15" x14ac:dyDescent="0.25"/>
  <cols>
    <col min="1" max="1" width="11.125" customWidth="1"/>
    <col min="2" max="2" width="12.75" bestFit="1" customWidth="1"/>
    <col min="3" max="3" width="11.75" bestFit="1" customWidth="1"/>
    <col min="4" max="4" width="4.875" bestFit="1" customWidth="1"/>
    <col min="5" max="5" width="8.75" bestFit="1" customWidth="1"/>
    <col min="6" max="6" width="10.125" bestFit="1" customWidth="1"/>
    <col min="7" max="7" width="10.625" bestFit="1" customWidth="1"/>
    <col min="8" max="8" width="7.625" bestFit="1" customWidth="1"/>
    <col min="9" max="9" width="7.5" bestFit="1" customWidth="1"/>
    <col min="10" max="10" width="8.375" bestFit="1" customWidth="1"/>
    <col min="11" max="11" width="7.625" bestFit="1" customWidth="1"/>
    <col min="12" max="15" width="9.25" bestFit="1" customWidth="1"/>
    <col min="16" max="16" width="8.625" bestFit="1" customWidth="1"/>
    <col min="17" max="17" width="7.375" bestFit="1" customWidth="1"/>
    <col min="18" max="18" width="11" bestFit="1" customWidth="1"/>
    <col min="19" max="19" width="9.875" bestFit="1" customWidth="1"/>
    <col min="20" max="20" width="10" bestFit="1" customWidth="1"/>
    <col min="21" max="21" width="9.125" bestFit="1" customWidth="1"/>
    <col min="22" max="22" width="11" bestFit="1" customWidth="1"/>
    <col min="23" max="23" width="7.5" bestFit="1" customWidth="1"/>
    <col min="24" max="24" width="8.625" bestFit="1" customWidth="1"/>
    <col min="25" max="25" width="10.125" bestFit="1" customWidth="1"/>
    <col min="26" max="26" width="8.875" bestFit="1" customWidth="1"/>
    <col min="27" max="27" width="7.375" bestFit="1" customWidth="1"/>
    <col min="28" max="28" width="9.25" bestFit="1" customWidth="1"/>
    <col min="29" max="29" width="12.375" bestFit="1" customWidth="1"/>
    <col min="30" max="30" width="10.125" bestFit="1" customWidth="1"/>
    <col min="31" max="31" width="9.25" bestFit="1" customWidth="1"/>
    <col min="32" max="32" width="10.125" bestFit="1" customWidth="1"/>
    <col min="33" max="33" width="13.875" bestFit="1" customWidth="1"/>
    <col min="34" max="34" width="13" bestFit="1" customWidth="1"/>
    <col min="35" max="35" width="14" bestFit="1" customWidth="1"/>
    <col min="36" max="36" width="13.125" bestFit="1" customWidth="1"/>
    <col min="37" max="37" width="9.625" bestFit="1" customWidth="1"/>
    <col min="38" max="38" width="12.625" bestFit="1" customWidth="1"/>
  </cols>
  <sheetData>
    <row r="1" spans="1:38" ht="83.25" customHeight="1" x14ac:dyDescent="0.25">
      <c r="A1" s="1" t="s">
        <v>30</v>
      </c>
      <c r="B1" s="88" t="s">
        <v>0</v>
      </c>
      <c r="C1" s="88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88" t="s">
        <v>7</v>
      </c>
      <c r="J1" s="88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88" t="s">
        <v>15</v>
      </c>
      <c r="R1" s="88" t="s">
        <v>16</v>
      </c>
      <c r="S1" s="88" t="s">
        <v>17</v>
      </c>
      <c r="T1" s="88" t="s">
        <v>18</v>
      </c>
      <c r="U1" s="2" t="s">
        <v>19</v>
      </c>
      <c r="V1" s="2" t="s">
        <v>20</v>
      </c>
      <c r="W1" s="88" t="s">
        <v>21</v>
      </c>
      <c r="X1" s="2" t="s">
        <v>22</v>
      </c>
      <c r="Y1" s="2" t="s">
        <v>23</v>
      </c>
      <c r="Z1" s="1" t="s">
        <v>24</v>
      </c>
      <c r="AA1" s="16" t="s">
        <v>25</v>
      </c>
      <c r="AB1" s="17" t="s">
        <v>26</v>
      </c>
      <c r="AC1" s="18" t="s">
        <v>27</v>
      </c>
      <c r="AD1" s="19" t="s">
        <v>28</v>
      </c>
      <c r="AE1" s="20" t="s">
        <v>29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73" t="s">
        <v>70</v>
      </c>
      <c r="B2" s="21">
        <v>4</v>
      </c>
      <c r="C2" s="21">
        <v>8</v>
      </c>
      <c r="D2" s="21">
        <v>319</v>
      </c>
      <c r="E2" s="22">
        <v>330350</v>
      </c>
      <c r="F2" s="22">
        <v>2596180</v>
      </c>
      <c r="G2" s="22">
        <v>-2265830</v>
      </c>
      <c r="H2" s="21">
        <v>5715</v>
      </c>
      <c r="I2" s="23">
        <v>39.615048118985129</v>
      </c>
      <c r="J2" s="21">
        <v>2264</v>
      </c>
      <c r="K2" s="21">
        <v>3429</v>
      </c>
      <c r="L2" s="24">
        <v>17990</v>
      </c>
      <c r="M2" s="24">
        <v>-6470</v>
      </c>
      <c r="N2" s="24">
        <v>1146.72265625</v>
      </c>
      <c r="O2" s="24">
        <v>-660.78448486328125</v>
      </c>
      <c r="P2" s="23">
        <v>1.7353958552571971</v>
      </c>
      <c r="Q2" s="25">
        <v>57.804024496937885</v>
      </c>
      <c r="R2" s="21">
        <v>9</v>
      </c>
      <c r="S2" s="21">
        <v>19</v>
      </c>
      <c r="T2" s="21">
        <v>54</v>
      </c>
      <c r="U2" s="21">
        <v>25</v>
      </c>
      <c r="V2" s="24">
        <v>-55055</v>
      </c>
      <c r="W2" s="23">
        <v>1.145796463106235</v>
      </c>
      <c r="X2" s="21">
        <v>1</v>
      </c>
      <c r="Y2" s="24">
        <v>55055</v>
      </c>
      <c r="Z2" s="23">
        <v>600.03632730905463</v>
      </c>
      <c r="AA2" s="26">
        <v>13584.822450276995</v>
      </c>
      <c r="AB2" s="23">
        <v>1.9162519409647689</v>
      </c>
      <c r="AC2" s="23">
        <v>3.1448120335687002</v>
      </c>
      <c r="AD2" s="27">
        <v>308230.48170832533</v>
      </c>
      <c r="AE2" s="23">
        <v>230.79359952056859</v>
      </c>
      <c r="AF2" s="11">
        <f>(Opti_Medias__30_ALL_DATA_1[[#This Row],[All: TS Index]]-AA$114) /ABS(AA$114)</f>
        <v>-0.14511455863983616</v>
      </c>
      <c r="AG2" s="11">
        <f>(Opti_Medias__30_ALL_DATA_1[[#This Row],[All: Expectancy Score]]-AB$114) /ABS(AB$114)</f>
        <v>-0.34223811330178633</v>
      </c>
      <c r="AH2" s="11"/>
      <c r="AI2" s="11">
        <f>(Opti_Medias__30_ALL_DATA_1[[#This Row],[All: Perfect Profit Correlation]]-AD$114) /ABS(AD$114)</f>
        <v>0</v>
      </c>
      <c r="AJ2" s="11">
        <f>(Opti_Medias__30_ALL_DATA_1[[#This Row],[All: Robustness Index]]-AE$114) /ABS(AE$114)</f>
        <v>-0.72278108394674245</v>
      </c>
      <c r="AK2" s="11">
        <f>SUM(Opti_Medias__30_ALL_DATA_1[[#This Row],[VAR TS Index]:[VAR Robustness Index]])</f>
        <v>-1.2101337558883649</v>
      </c>
      <c r="AL2" s="11">
        <f>Opti_Medias__30_ALL_DATA_1[[#This Row],[SUMA]]-Opti_Medias__30_ALL_DATA_1[[#This Row],[VAR Robustness Index]]</f>
        <v>-0.48735267194162246</v>
      </c>
    </row>
    <row r="3" spans="1:38" x14ac:dyDescent="0.25">
      <c r="A3" s="73" t="s">
        <v>71</v>
      </c>
      <c r="B3" s="75">
        <v>10</v>
      </c>
      <c r="C3" s="75">
        <v>8</v>
      </c>
      <c r="D3" s="75">
        <v>325</v>
      </c>
      <c r="E3" s="76">
        <v>280500</v>
      </c>
      <c r="F3" s="76">
        <v>2471130</v>
      </c>
      <c r="G3" s="76">
        <v>-2190630</v>
      </c>
      <c r="H3" s="75">
        <v>5539</v>
      </c>
      <c r="I3" s="74">
        <v>37.06445206716014</v>
      </c>
      <c r="J3" s="75">
        <v>2053</v>
      </c>
      <c r="K3" s="75">
        <v>3465</v>
      </c>
      <c r="L3" s="77">
        <v>18490</v>
      </c>
      <c r="M3" s="77">
        <v>-6520</v>
      </c>
      <c r="N3" s="77">
        <v>1203.6678466796875</v>
      </c>
      <c r="O3" s="77">
        <v>-632.2164306640625</v>
      </c>
      <c r="P3" s="74">
        <v>1.903885739596151</v>
      </c>
      <c r="Q3" s="78">
        <v>50.640909911536376</v>
      </c>
      <c r="R3" s="75">
        <v>7</v>
      </c>
      <c r="S3" s="75">
        <v>16</v>
      </c>
      <c r="T3" s="75">
        <v>61</v>
      </c>
      <c r="U3" s="75">
        <v>24</v>
      </c>
      <c r="V3" s="77">
        <v>-53305</v>
      </c>
      <c r="W3" s="74">
        <v>1.1280453568151629</v>
      </c>
      <c r="X3" s="75">
        <v>1</v>
      </c>
      <c r="Y3" s="77">
        <v>53305</v>
      </c>
      <c r="Z3" s="74">
        <v>526.21705280930496</v>
      </c>
      <c r="AA3" s="79">
        <v>10803.23609417503</v>
      </c>
      <c r="AB3" s="74">
        <v>2.375835437845319</v>
      </c>
      <c r="AC3" s="74">
        <v>2.6317670760024989</v>
      </c>
      <c r="AD3" s="80">
        <v>257565.0420354942</v>
      </c>
      <c r="AE3" s="74">
        <v>299.17429511701573</v>
      </c>
      <c r="AF3" s="11">
        <f>(Opti_Medias__30_ALL_DATA_1[[#This Row],[All: TS Index]]-AA$114) /ABS(AA$114)</f>
        <v>-0.32015826557243227</v>
      </c>
      <c r="AG3" s="11">
        <f>(Opti_Medias__30_ALL_DATA_1[[#This Row],[All: Expectancy Score]]-AB$114) /ABS(AB$114)</f>
        <v>-0.18448406147741245</v>
      </c>
      <c r="AH3" s="11"/>
      <c r="AI3" s="11">
        <f>(Opti_Medias__30_ALL_DATA_1[[#This Row],[All: Perfect Profit Correlation]]-AD$114) /ABS(AD$114)</f>
        <v>-0.16437517597878332</v>
      </c>
      <c r="AJ3" s="11">
        <f>(Opti_Medias__30_ALL_DATA_1[[#This Row],[All: Robustness Index]]-AE$114) /ABS(AE$114)</f>
        <v>-0.64064526063278004</v>
      </c>
      <c r="AK3" s="11">
        <f>SUM(Opti_Medias__30_ALL_DATA_1[[#This Row],[VAR TS Index]:[VAR Robustness Index]])</f>
        <v>-1.3096627636614082</v>
      </c>
      <c r="AL3" s="11">
        <f>Opti_Medias__30_ALL_DATA_1[[#This Row],[SUMA]]-Opti_Medias__30_ALL_DATA_1[[#This Row],[VAR Robustness Index]]</f>
        <v>-0.66901750302862817</v>
      </c>
    </row>
    <row r="4" spans="1:38" x14ac:dyDescent="0.25">
      <c r="A4" s="73" t="s">
        <v>72</v>
      </c>
      <c r="B4" s="28">
        <v>2</v>
      </c>
      <c r="C4" s="28">
        <v>8</v>
      </c>
      <c r="D4" s="28">
        <v>317</v>
      </c>
      <c r="E4" s="29">
        <v>327960</v>
      </c>
      <c r="F4" s="29">
        <v>2633160</v>
      </c>
      <c r="G4" s="29">
        <v>-2305200</v>
      </c>
      <c r="H4" s="28">
        <v>5719</v>
      </c>
      <c r="I4" s="30">
        <v>40.951215247420876</v>
      </c>
      <c r="J4" s="28">
        <v>2342</v>
      </c>
      <c r="K4" s="28">
        <v>3359</v>
      </c>
      <c r="L4" s="31">
        <v>19180</v>
      </c>
      <c r="M4" s="31">
        <v>-7200</v>
      </c>
      <c r="N4" s="31">
        <v>1124.321044921875</v>
      </c>
      <c r="O4" s="31">
        <v>-686.27569580078125</v>
      </c>
      <c r="P4" s="30">
        <v>1.638293548498698</v>
      </c>
      <c r="Q4" s="32">
        <v>57.345689805910126</v>
      </c>
      <c r="R4" s="28">
        <v>9</v>
      </c>
      <c r="S4" s="28">
        <v>15</v>
      </c>
      <c r="T4" s="28">
        <v>53</v>
      </c>
      <c r="U4" s="28">
        <v>26</v>
      </c>
      <c r="V4" s="31">
        <v>-48335</v>
      </c>
      <c r="W4" s="30">
        <v>1.142269651223321</v>
      </c>
      <c r="X4" s="28">
        <v>1</v>
      </c>
      <c r="Y4" s="31">
        <v>48335</v>
      </c>
      <c r="Z4" s="30">
        <v>678.51453398158685</v>
      </c>
      <c r="AA4" s="33">
        <v>15890.810385848763</v>
      </c>
      <c r="AB4" s="30">
        <v>0.97644587259665505</v>
      </c>
      <c r="AC4" s="30">
        <v>3.1332376125495789</v>
      </c>
      <c r="AD4" s="34">
        <v>304670.53740420414</v>
      </c>
      <c r="AE4" s="30">
        <v>206.89275743382316</v>
      </c>
      <c r="AF4" s="11">
        <f>(Opti_Medias__30_ALL_DATA_1[[#This Row],[All: TS Index]]-AA$114) /ABS(AA$114)</f>
        <v>0</v>
      </c>
      <c r="AG4" s="11">
        <f>(Opti_Medias__30_ALL_DATA_1[[#This Row],[All: Expectancy Score]]-AB$114) /ABS(AB$114)</f>
        <v>-0.66483066986771144</v>
      </c>
      <c r="AH4" s="11"/>
      <c r="AI4" s="11">
        <f>(Opti_Medias__30_ALL_DATA_1[[#This Row],[All: Perfect Profit Correlation]]-AD$114) /ABS(AD$114)</f>
        <v>-1.1549617949498985E-2</v>
      </c>
      <c r="AJ4" s="11">
        <f>(Opti_Medias__30_ALL_DATA_1[[#This Row],[All: Robustness Index]]-AE$114) /ABS(AE$114)</f>
        <v>-0.75148970303241669</v>
      </c>
      <c r="AK4" s="11">
        <f>SUM(Opti_Medias__30_ALL_DATA_1[[#This Row],[VAR TS Index]:[VAR Robustness Index]])</f>
        <v>-1.4278699908496271</v>
      </c>
      <c r="AL4" s="11">
        <f>Opti_Medias__30_ALL_DATA_1[[#This Row],[SUMA]]-Opti_Medias__30_ALL_DATA_1[[#This Row],[VAR Robustness Index]]</f>
        <v>-0.67638028781721038</v>
      </c>
    </row>
    <row r="5" spans="1:38" x14ac:dyDescent="0.25">
      <c r="A5" s="73" t="s">
        <v>73</v>
      </c>
      <c r="B5" s="75">
        <v>3</v>
      </c>
      <c r="C5" s="75">
        <v>8</v>
      </c>
      <c r="D5" s="75">
        <v>318</v>
      </c>
      <c r="E5" s="76">
        <v>297930</v>
      </c>
      <c r="F5" s="76">
        <v>2602250</v>
      </c>
      <c r="G5" s="76">
        <v>-2304320</v>
      </c>
      <c r="H5" s="75">
        <v>5743</v>
      </c>
      <c r="I5" s="74">
        <v>39.735329966916247</v>
      </c>
      <c r="J5" s="75">
        <v>2282</v>
      </c>
      <c r="K5" s="75">
        <v>3439</v>
      </c>
      <c r="L5" s="77">
        <v>18060</v>
      </c>
      <c r="M5" s="77">
        <v>-7100</v>
      </c>
      <c r="N5" s="77">
        <v>1140.33740234375</v>
      </c>
      <c r="O5" s="77">
        <v>-670.05523681640625</v>
      </c>
      <c r="P5" s="74">
        <v>1.701855816785744</v>
      </c>
      <c r="Q5" s="78">
        <v>51.877067734633464</v>
      </c>
      <c r="R5" s="75">
        <v>9</v>
      </c>
      <c r="S5" s="75">
        <v>16</v>
      </c>
      <c r="T5" s="75">
        <v>54</v>
      </c>
      <c r="U5" s="75">
        <v>25</v>
      </c>
      <c r="V5" s="77">
        <v>-53635</v>
      </c>
      <c r="W5" s="74">
        <v>1.1292919386196361</v>
      </c>
      <c r="X5" s="75">
        <v>1</v>
      </c>
      <c r="Y5" s="77">
        <v>53635</v>
      </c>
      <c r="Z5" s="74">
        <v>555.47683415680058</v>
      </c>
      <c r="AA5" s="79">
        <v>12675.981355458189</v>
      </c>
      <c r="AB5" s="74">
        <v>1.577117579203223</v>
      </c>
      <c r="AC5" s="74">
        <v>2.8274979949826049</v>
      </c>
      <c r="AD5" s="80">
        <v>276944.96981585037</v>
      </c>
      <c r="AE5" s="74">
        <v>223.53755365687661</v>
      </c>
      <c r="AF5" s="11">
        <f>(Opti_Medias__30_ALL_DATA_1[[#This Row],[All: TS Index]]-AA$114) /ABS(AA$114)</f>
        <v>-0.20230743129711462</v>
      </c>
      <c r="AG5" s="11">
        <f>(Opti_Medias__30_ALL_DATA_1[[#This Row],[All: Expectancy Score]]-AB$114) /ABS(AB$114)</f>
        <v>-0.45864747100042008</v>
      </c>
      <c r="AH5" s="11"/>
      <c r="AI5" s="11">
        <f>(Opti_Medias__30_ALL_DATA_1[[#This Row],[All: Perfect Profit Correlation]]-AD$114) /ABS(AD$114)</f>
        <v>-0.10150038282741954</v>
      </c>
      <c r="AJ5" s="11">
        <f>(Opti_Medias__30_ALL_DATA_1[[#This Row],[All: Robustness Index]]-AE$114) /ABS(AE$114)</f>
        <v>-0.73149672065999605</v>
      </c>
      <c r="AK5" s="11">
        <f>SUM(Opti_Medias__30_ALL_DATA_1[[#This Row],[VAR TS Index]:[VAR Robustness Index]])</f>
        <v>-1.4939520057849505</v>
      </c>
      <c r="AL5" s="11">
        <f>Opti_Medias__30_ALL_DATA_1[[#This Row],[SUMA]]-Opti_Medias__30_ALL_DATA_1[[#This Row],[VAR Robustness Index]]</f>
        <v>-0.76245528512495442</v>
      </c>
    </row>
    <row r="6" spans="1:38" x14ac:dyDescent="0.25">
      <c r="A6" s="73" t="s">
        <v>74</v>
      </c>
      <c r="B6" s="35">
        <v>7</v>
      </c>
      <c r="C6" s="35">
        <v>3</v>
      </c>
      <c r="D6" s="35">
        <v>97</v>
      </c>
      <c r="E6" s="36">
        <v>271190</v>
      </c>
      <c r="F6" s="36">
        <v>2451340</v>
      </c>
      <c r="G6" s="36">
        <v>-2180150</v>
      </c>
      <c r="H6" s="35">
        <v>5406</v>
      </c>
      <c r="I6" s="37">
        <v>45.190529041805398</v>
      </c>
      <c r="J6" s="35">
        <v>2443</v>
      </c>
      <c r="K6" s="35">
        <v>2914</v>
      </c>
      <c r="L6" s="38">
        <v>17590</v>
      </c>
      <c r="M6" s="38">
        <v>-6560</v>
      </c>
      <c r="N6" s="38">
        <v>1003.413818359375</v>
      </c>
      <c r="O6" s="38">
        <v>-748.1640625</v>
      </c>
      <c r="P6" s="37">
        <v>1.3411681590351381</v>
      </c>
      <c r="Q6" s="39">
        <v>50.164631890492046</v>
      </c>
      <c r="R6" s="35">
        <v>11</v>
      </c>
      <c r="S6" s="35">
        <v>15</v>
      </c>
      <c r="T6" s="35">
        <v>47</v>
      </c>
      <c r="U6" s="35">
        <v>32</v>
      </c>
      <c r="V6" s="38">
        <v>-94315</v>
      </c>
      <c r="W6" s="37">
        <v>1.124390523587826</v>
      </c>
      <c r="X6" s="35">
        <v>1</v>
      </c>
      <c r="Y6" s="38">
        <v>94315</v>
      </c>
      <c r="Z6" s="37">
        <v>287.53644701267029</v>
      </c>
      <c r="AA6" s="40">
        <v>7024.5154005195354</v>
      </c>
      <c r="AB6" s="37">
        <v>2.913291237629827</v>
      </c>
      <c r="AC6" s="37">
        <v>2.6198155256980749</v>
      </c>
      <c r="AD6" s="41">
        <v>243980.64195540917</v>
      </c>
      <c r="AE6" s="37">
        <v>703.70693228473169</v>
      </c>
      <c r="AF6" s="11">
        <f>(Opti_Medias__30_ALL_DATA_1[[#This Row],[All: TS Index]]-AA$114) /ABS(AA$114)</f>
        <v>-0.55795109060170556</v>
      </c>
      <c r="AG6" s="11">
        <f>(Opti_Medias__30_ALL_DATA_1[[#This Row],[All: Expectancy Score]]-AB$114) /ABS(AB$114)</f>
        <v>0</v>
      </c>
      <c r="AH6" s="11"/>
      <c r="AI6" s="11">
        <f>(Opti_Medias__30_ALL_DATA_1[[#This Row],[All: Perfect Profit Correlation]]-AD$114) /ABS(AD$114)</f>
        <v>-0.20844739104588295</v>
      </c>
      <c r="AJ6" s="11">
        <f>(Opti_Medias__30_ALL_DATA_1[[#This Row],[All: Robustness Index]]-AE$114) /ABS(AE$114)</f>
        <v>-0.15473880821486743</v>
      </c>
      <c r="AK6" s="11">
        <f>SUM(Opti_Medias__30_ALL_DATA_1[[#This Row],[VAR TS Index]:[VAR Robustness Index]])</f>
        <v>-0.92113728986245591</v>
      </c>
      <c r="AL6" s="11">
        <f>Opti_Medias__30_ALL_DATA_1[[#This Row],[SUMA]]-Opti_Medias__30_ALL_DATA_1[[#This Row],[VAR Robustness Index]]</f>
        <v>-0.7663984816475885</v>
      </c>
    </row>
    <row r="7" spans="1:38" x14ac:dyDescent="0.25">
      <c r="A7" s="73" t="s">
        <v>75</v>
      </c>
      <c r="B7" s="75">
        <v>22</v>
      </c>
      <c r="C7" s="75">
        <v>8</v>
      </c>
      <c r="D7" s="75">
        <v>337</v>
      </c>
      <c r="E7" s="76">
        <v>258460</v>
      </c>
      <c r="F7" s="76">
        <v>2285760</v>
      </c>
      <c r="G7" s="76">
        <v>-2027300</v>
      </c>
      <c r="H7" s="75">
        <v>5029</v>
      </c>
      <c r="I7" s="74">
        <v>34.718631934778287</v>
      </c>
      <c r="J7" s="75">
        <v>1746</v>
      </c>
      <c r="K7" s="75">
        <v>3267</v>
      </c>
      <c r="L7" s="77">
        <v>17090</v>
      </c>
      <c r="M7" s="77">
        <v>-5240</v>
      </c>
      <c r="N7" s="77">
        <v>1309.140869140625</v>
      </c>
      <c r="O7" s="77">
        <v>-620.5386962890625</v>
      </c>
      <c r="P7" s="74">
        <v>2.1096844998861992</v>
      </c>
      <c r="Q7" s="78">
        <v>51.3939152913104</v>
      </c>
      <c r="R7" s="75">
        <v>11</v>
      </c>
      <c r="S7" s="75">
        <v>15</v>
      </c>
      <c r="T7" s="75">
        <v>74</v>
      </c>
      <c r="U7" s="75">
        <v>25</v>
      </c>
      <c r="V7" s="77">
        <v>-35235</v>
      </c>
      <c r="W7" s="74">
        <v>1.127489764711685</v>
      </c>
      <c r="X7" s="75">
        <v>1</v>
      </c>
      <c r="Y7" s="77">
        <v>35235</v>
      </c>
      <c r="Z7" s="74">
        <v>733.53199943238258</v>
      </c>
      <c r="AA7" s="79">
        <v>12807.468710089399</v>
      </c>
      <c r="AB7" s="74">
        <v>1.692641599764551</v>
      </c>
      <c r="AC7" s="74">
        <v>2.392258835158132</v>
      </c>
      <c r="AD7" s="80">
        <v>244195.43581624306</v>
      </c>
      <c r="AE7" s="74">
        <v>195.20156532740464</v>
      </c>
      <c r="AF7" s="11">
        <f>(Opti_Medias__30_ALL_DATA_1[[#This Row],[All: TS Index]]-AA$114) /ABS(AA$114)</f>
        <v>-0.19403300403767773</v>
      </c>
      <c r="AG7" s="11">
        <f>(Opti_Medias__30_ALL_DATA_1[[#This Row],[All: Expectancy Score]]-AB$114) /ABS(AB$114)</f>
        <v>-0.41899334405658761</v>
      </c>
      <c r="AH7" s="11"/>
      <c r="AI7" s="11">
        <f>(Opti_Medias__30_ALL_DATA_1[[#This Row],[All: Perfect Profit Correlation]]-AD$114) /ABS(AD$114)</f>
        <v>-0.20775052985407796</v>
      </c>
      <c r="AJ7" s="11">
        <f>(Opti_Medias__30_ALL_DATA_1[[#This Row],[All: Robustness Index]]-AE$114) /ABS(AE$114)</f>
        <v>-0.76553263840776664</v>
      </c>
      <c r="AK7" s="11">
        <f>SUM(Opti_Medias__30_ALL_DATA_1[[#This Row],[VAR TS Index]:[VAR Robustness Index]])</f>
        <v>-1.5863095163561098</v>
      </c>
      <c r="AL7" s="11">
        <f>Opti_Medias__30_ALL_DATA_1[[#This Row],[SUMA]]-Opti_Medias__30_ALL_DATA_1[[#This Row],[VAR Robustness Index]]</f>
        <v>-0.8207768779483432</v>
      </c>
    </row>
    <row r="8" spans="1:38" x14ac:dyDescent="0.25">
      <c r="A8" s="73" t="s">
        <v>76</v>
      </c>
      <c r="B8" s="75">
        <v>5</v>
      </c>
      <c r="C8" s="75">
        <v>8</v>
      </c>
      <c r="D8" s="75">
        <v>320</v>
      </c>
      <c r="E8" s="76">
        <v>309150</v>
      </c>
      <c r="F8" s="76">
        <v>2572380</v>
      </c>
      <c r="G8" s="76">
        <v>-2263230</v>
      </c>
      <c r="H8" s="75">
        <v>5703</v>
      </c>
      <c r="I8" s="74">
        <v>38.821672803787479</v>
      </c>
      <c r="J8" s="75">
        <v>2214</v>
      </c>
      <c r="K8" s="75">
        <v>3457</v>
      </c>
      <c r="L8" s="77">
        <v>18050</v>
      </c>
      <c r="M8" s="77">
        <v>-6450</v>
      </c>
      <c r="N8" s="77">
        <v>1161.869873046875</v>
      </c>
      <c r="O8" s="77">
        <v>-654.68035888671875</v>
      </c>
      <c r="P8" s="74">
        <v>1.7747131974795001</v>
      </c>
      <c r="Q8" s="78">
        <v>54.208311415044712</v>
      </c>
      <c r="R8" s="75">
        <v>9</v>
      </c>
      <c r="S8" s="75">
        <v>17</v>
      </c>
      <c r="T8" s="75">
        <v>55</v>
      </c>
      <c r="U8" s="75">
        <v>25</v>
      </c>
      <c r="V8" s="77">
        <v>-55455</v>
      </c>
      <c r="W8" s="74">
        <v>1.136596810752774</v>
      </c>
      <c r="X8" s="75">
        <v>1</v>
      </c>
      <c r="Y8" s="77">
        <v>55455</v>
      </c>
      <c r="Z8" s="74">
        <v>557.47903705707336</v>
      </c>
      <c r="AA8" s="79">
        <v>12342.585880443603</v>
      </c>
      <c r="AB8" s="74">
        <v>1.398277667452527</v>
      </c>
      <c r="AC8" s="74">
        <v>2.9297310269051842</v>
      </c>
      <c r="AD8" s="80">
        <v>274617.358646765</v>
      </c>
      <c r="AE8" s="74">
        <v>367.39630533914743</v>
      </c>
      <c r="AF8" s="11">
        <f>(Opti_Medias__30_ALL_DATA_1[[#This Row],[All: TS Index]]-AA$114) /ABS(AA$114)</f>
        <v>-0.22328782606108993</v>
      </c>
      <c r="AG8" s="11">
        <f>(Opti_Medias__30_ALL_DATA_1[[#This Row],[All: Expectancy Score]]-AB$114) /ABS(AB$114)</f>
        <v>-0.52003505540691253</v>
      </c>
      <c r="AH8" s="11"/>
      <c r="AI8" s="11">
        <f>(Opti_Medias__30_ALL_DATA_1[[#This Row],[All: Perfect Profit Correlation]]-AD$114) /ABS(AD$114)</f>
        <v>-0.10905191100913895</v>
      </c>
      <c r="AJ8" s="11">
        <f>(Opti_Medias__30_ALL_DATA_1[[#This Row],[All: Robustness Index]]-AE$114) /ABS(AE$114)</f>
        <v>-0.5587000430702449</v>
      </c>
      <c r="AK8" s="11">
        <f>SUM(Opti_Medias__30_ALL_DATA_1[[#This Row],[VAR TS Index]:[VAR Robustness Index]])</f>
        <v>-1.4110748355473861</v>
      </c>
      <c r="AL8" s="11">
        <f>Opti_Medias__30_ALL_DATA_1[[#This Row],[SUMA]]-Opti_Medias__30_ALL_DATA_1[[#This Row],[VAR Robustness Index]]</f>
        <v>-0.85237479247714121</v>
      </c>
    </row>
    <row r="9" spans="1:38" x14ac:dyDescent="0.25">
      <c r="A9" s="73" t="s">
        <v>77</v>
      </c>
      <c r="B9" s="81">
        <v>35</v>
      </c>
      <c r="C9" s="81">
        <v>1</v>
      </c>
      <c r="D9" s="81">
        <v>35</v>
      </c>
      <c r="E9" s="90">
        <v>233450</v>
      </c>
      <c r="F9" s="90">
        <v>2349460</v>
      </c>
      <c r="G9" s="90">
        <v>-2116010</v>
      </c>
      <c r="H9" s="81">
        <v>5622</v>
      </c>
      <c r="I9" s="73">
        <v>33.5823550337958</v>
      </c>
      <c r="J9" s="81">
        <v>1888</v>
      </c>
      <c r="K9" s="81">
        <v>3709</v>
      </c>
      <c r="L9" s="91">
        <v>18070</v>
      </c>
      <c r="M9" s="91">
        <v>-5370</v>
      </c>
      <c r="N9" s="91">
        <v>1244.4173583984375</v>
      </c>
      <c r="O9" s="91">
        <v>-570.50689697265625</v>
      </c>
      <c r="P9" s="73">
        <v>2.1812485791176699</v>
      </c>
      <c r="Q9" s="92">
        <v>41.524368552116684</v>
      </c>
      <c r="R9" s="81">
        <v>7</v>
      </c>
      <c r="S9" s="81">
        <v>17</v>
      </c>
      <c r="T9" s="81">
        <v>68</v>
      </c>
      <c r="U9" s="81">
        <v>22</v>
      </c>
      <c r="V9" s="91">
        <v>-39525</v>
      </c>
      <c r="W9" s="73">
        <v>1.1103255655691611</v>
      </c>
      <c r="X9" s="81">
        <v>1</v>
      </c>
      <c r="Y9" s="91">
        <v>39525</v>
      </c>
      <c r="Z9" s="73">
        <v>590.63883617963313</v>
      </c>
      <c r="AA9" s="93">
        <v>11151.261227071474</v>
      </c>
      <c r="AB9" s="73">
        <v>2.1664296247107631</v>
      </c>
      <c r="AC9" s="73">
        <v>2.1412342759543308</v>
      </c>
      <c r="AD9" s="94">
        <v>215905.32961301311</v>
      </c>
      <c r="AE9" s="73">
        <v>146.71243385662061</v>
      </c>
      <c r="AF9" s="11">
        <f>(Opti_Medias__30_ALL_DATA_1[[#This Row],[All: TS Index]]-AA$114) /ABS(AA$114)</f>
        <v>-0.29825723444526137</v>
      </c>
      <c r="AG9" s="11">
        <f>(Opti_Medias__30_ALL_DATA_1[[#This Row],[All: Expectancy Score]]-AB$114) /ABS(AB$114)</f>
        <v>-0.25636352564829384</v>
      </c>
      <c r="AH9" s="11"/>
      <c r="AI9" s="11">
        <f>(Opti_Medias__30_ALL_DATA_1[[#This Row],[All: Perfect Profit Correlation]]-AD$114) /ABS(AD$114)</f>
        <v>-0.29953284173457695</v>
      </c>
      <c r="AJ9" s="11">
        <f>(Opti_Medias__30_ALL_DATA_1[[#This Row],[All: Robustness Index]]-AE$114) /ABS(AE$114)</f>
        <v>-0.82377560742691691</v>
      </c>
      <c r="AK9" s="11">
        <f>SUM(Opti_Medias__30_ALL_DATA_1[[#This Row],[VAR TS Index]:[VAR Robustness Index]])</f>
        <v>-1.6779292092550491</v>
      </c>
      <c r="AL9" s="11">
        <f>Opti_Medias__30_ALL_DATA_1[[#This Row],[SUMA]]-Opti_Medias__30_ALL_DATA_1[[#This Row],[VAR Robustness Index]]</f>
        <v>-0.85415360182813216</v>
      </c>
    </row>
    <row r="10" spans="1:38" x14ac:dyDescent="0.25">
      <c r="A10" s="73" t="s">
        <v>64</v>
      </c>
      <c r="B10" s="75">
        <v>6</v>
      </c>
      <c r="C10" s="75">
        <v>8</v>
      </c>
      <c r="D10" s="75">
        <v>321</v>
      </c>
      <c r="E10" s="76">
        <v>283620</v>
      </c>
      <c r="F10" s="76">
        <v>2547320</v>
      </c>
      <c r="G10" s="76">
        <v>-2263700</v>
      </c>
      <c r="H10" s="75">
        <v>5693</v>
      </c>
      <c r="I10" s="74">
        <v>38.889864746179519</v>
      </c>
      <c r="J10" s="75">
        <v>2214</v>
      </c>
      <c r="K10" s="75">
        <v>3456</v>
      </c>
      <c r="L10" s="77">
        <v>17740</v>
      </c>
      <c r="M10" s="77">
        <v>-6950</v>
      </c>
      <c r="N10" s="77">
        <v>1150.551025390625</v>
      </c>
      <c r="O10" s="77">
        <v>-655.00579833984375</v>
      </c>
      <c r="P10" s="74">
        <v>1.756550901239003</v>
      </c>
      <c r="Q10" s="78">
        <v>49.819076058317229</v>
      </c>
      <c r="R10" s="75">
        <v>8</v>
      </c>
      <c r="S10" s="75">
        <v>17</v>
      </c>
      <c r="T10" s="75">
        <v>56</v>
      </c>
      <c r="U10" s="75">
        <v>25</v>
      </c>
      <c r="V10" s="77">
        <v>-57875</v>
      </c>
      <c r="W10" s="74">
        <v>1.125290453682025</v>
      </c>
      <c r="X10" s="75">
        <v>1</v>
      </c>
      <c r="Y10" s="77">
        <v>57875</v>
      </c>
      <c r="Z10" s="74">
        <v>490.05615550755937</v>
      </c>
      <c r="AA10" s="79">
        <v>10849.843282937365</v>
      </c>
      <c r="AB10" s="74">
        <v>1.9291312063293671</v>
      </c>
      <c r="AC10" s="74">
        <v>2.6798925520611001</v>
      </c>
      <c r="AD10" s="80">
        <v>245655.90959232088</v>
      </c>
      <c r="AE10" s="74">
        <v>457.25010450632391</v>
      </c>
      <c r="AF10" s="11">
        <f>(Opti_Medias__30_ALL_DATA_1[[#This Row],[All: TS Index]]-AA$114) /ABS(AA$114)</f>
        <v>-0.3172253006933195</v>
      </c>
      <c r="AG10" s="11">
        <f>(Opti_Medias__30_ALL_DATA_1[[#This Row],[All: Expectancy Score]]-AB$114) /ABS(AB$114)</f>
        <v>-0.33781724895487802</v>
      </c>
      <c r="AH10" s="11"/>
      <c r="AI10" s="11">
        <f>(Opti_Medias__30_ALL_DATA_1[[#This Row],[All: Perfect Profit Correlation]]-AD$114) /ABS(AD$114)</f>
        <v>-0.20301227759562726</v>
      </c>
      <c r="AJ10" s="11">
        <f>(Opti_Medias__30_ALL_DATA_1[[#This Row],[All: Robustness Index]]-AE$114) /ABS(AE$114)</f>
        <v>-0.45077169124360844</v>
      </c>
      <c r="AK10" s="11">
        <f>SUM(Opti_Medias__30_ALL_DATA_1[[#This Row],[VAR TS Index]:[VAR Robustness Index]])</f>
        <v>-1.3088265184874333</v>
      </c>
      <c r="AL10" s="11">
        <f>Opti_Medias__30_ALL_DATA_1[[#This Row],[SUMA]]-Opti_Medias__30_ALL_DATA_1[[#This Row],[VAR Robustness Index]]</f>
        <v>-0.85805482724382487</v>
      </c>
    </row>
    <row r="11" spans="1:38" x14ac:dyDescent="0.25">
      <c r="A11" s="73" t="s">
        <v>78</v>
      </c>
      <c r="B11" s="75">
        <v>6</v>
      </c>
      <c r="C11" s="75">
        <v>3</v>
      </c>
      <c r="D11" s="75">
        <v>96</v>
      </c>
      <c r="E11" s="76">
        <v>275180</v>
      </c>
      <c r="F11" s="76">
        <v>2486500</v>
      </c>
      <c r="G11" s="76">
        <v>-2211320</v>
      </c>
      <c r="H11" s="75">
        <v>5688</v>
      </c>
      <c r="I11" s="74">
        <v>45.710267229254569</v>
      </c>
      <c r="J11" s="75">
        <v>2600</v>
      </c>
      <c r="K11" s="75">
        <v>3049</v>
      </c>
      <c r="L11" s="77">
        <v>17590</v>
      </c>
      <c r="M11" s="77">
        <v>-6640</v>
      </c>
      <c r="N11" s="77">
        <v>956.34613037109375</v>
      </c>
      <c r="O11" s="77">
        <v>-725.2607421875</v>
      </c>
      <c r="P11" s="74">
        <v>1.3186238751688171</v>
      </c>
      <c r="Q11" s="78">
        <v>48.379043600562589</v>
      </c>
      <c r="R11" s="75">
        <v>9</v>
      </c>
      <c r="S11" s="75">
        <v>15</v>
      </c>
      <c r="T11" s="75">
        <v>44</v>
      </c>
      <c r="U11" s="75">
        <v>32</v>
      </c>
      <c r="V11" s="77">
        <v>-95755</v>
      </c>
      <c r="W11" s="74">
        <v>1.124441510048297</v>
      </c>
      <c r="X11" s="75">
        <v>1</v>
      </c>
      <c r="Y11" s="77">
        <v>95755</v>
      </c>
      <c r="Z11" s="74">
        <v>287.37924912537204</v>
      </c>
      <c r="AA11" s="79">
        <v>7471.8604772596727</v>
      </c>
      <c r="AB11" s="74">
        <v>2.2818095522851598</v>
      </c>
      <c r="AC11" s="74">
        <v>2.6646298984956509</v>
      </c>
      <c r="AD11" s="80">
        <v>250086.23602635416</v>
      </c>
      <c r="AE11" s="74">
        <v>631.90477995444837</v>
      </c>
      <c r="AF11" s="11">
        <f>(Opti_Medias__30_ALL_DATA_1[[#This Row],[All: TS Index]]-AA$114) /ABS(AA$114)</f>
        <v>-0.52979990976963731</v>
      </c>
      <c r="AG11" s="11">
        <f>(Opti_Medias__30_ALL_DATA_1[[#This Row],[All: Expectancy Score]]-AB$114) /ABS(AB$114)</f>
        <v>-0.21675885925446409</v>
      </c>
      <c r="AH11" s="11"/>
      <c r="AI11" s="11">
        <f>(Opti_Medias__30_ALL_DATA_1[[#This Row],[All: Perfect Profit Correlation]]-AD$114) /ABS(AD$114)</f>
        <v>-0.18863885674030234</v>
      </c>
      <c r="AJ11" s="11">
        <f>(Opti_Medias__30_ALL_DATA_1[[#This Row],[All: Robustness Index]]-AE$114) /ABS(AE$114)</f>
        <v>-0.24098433183701654</v>
      </c>
      <c r="AK11" s="11">
        <f>SUM(Opti_Medias__30_ALL_DATA_1[[#This Row],[VAR TS Index]:[VAR Robustness Index]])</f>
        <v>-1.1761819576014203</v>
      </c>
      <c r="AL11" s="11">
        <f>Opti_Medias__30_ALL_DATA_1[[#This Row],[SUMA]]-Opti_Medias__30_ALL_DATA_1[[#This Row],[VAR Robustness Index]]</f>
        <v>-0.93519762576440379</v>
      </c>
    </row>
    <row r="12" spans="1:38" x14ac:dyDescent="0.25">
      <c r="A12" s="11"/>
      <c r="B12" s="89">
        <v>23</v>
      </c>
      <c r="C12" s="89">
        <v>8</v>
      </c>
      <c r="D12" s="89">
        <v>338</v>
      </c>
      <c r="E12" s="10">
        <v>244000</v>
      </c>
      <c r="F12" s="10">
        <v>2277560</v>
      </c>
      <c r="G12" s="10">
        <v>-2033560</v>
      </c>
      <c r="H12" s="89">
        <v>5049</v>
      </c>
      <c r="I12" s="11">
        <v>34.383046147752033</v>
      </c>
      <c r="J12" s="89">
        <v>1736</v>
      </c>
      <c r="K12" s="89">
        <v>3298</v>
      </c>
      <c r="L12" s="12">
        <v>17090</v>
      </c>
      <c r="M12" s="12">
        <v>-5240</v>
      </c>
      <c r="N12" s="12">
        <v>1311.95849609375</v>
      </c>
      <c r="O12" s="12">
        <v>-616.60400390625</v>
      </c>
      <c r="P12" s="11">
        <v>2.127716472456159</v>
      </c>
      <c r="Q12" s="13">
        <v>48.326401267577737</v>
      </c>
      <c r="R12" s="89">
        <v>11</v>
      </c>
      <c r="S12" s="89">
        <v>12</v>
      </c>
      <c r="T12" s="89">
        <v>74</v>
      </c>
      <c r="U12" s="89">
        <v>25</v>
      </c>
      <c r="V12" s="12">
        <v>-33435</v>
      </c>
      <c r="W12" s="11">
        <v>1.119986624441865</v>
      </c>
      <c r="X12" s="89">
        <v>1</v>
      </c>
      <c r="Y12" s="12">
        <v>33435</v>
      </c>
      <c r="Z12" s="11">
        <v>729.77418872439057</v>
      </c>
      <c r="AA12" s="14">
        <v>12668.879916255421</v>
      </c>
      <c r="AB12" s="11">
        <v>1.487758053508732</v>
      </c>
      <c r="AC12" s="11">
        <v>2.2474727862561101</v>
      </c>
      <c r="AD12" s="15">
        <v>229228.94951918849</v>
      </c>
      <c r="AE12" s="11">
        <v>207.36414162815015</v>
      </c>
      <c r="AF12" s="11">
        <f>(Opti_Medias__30_ALL_DATA_1[[#This Row],[All: TS Index]]-AA$114) /ABS(AA$114)</f>
        <v>-0.20275432097928542</v>
      </c>
      <c r="AG12" s="11">
        <f>(Opti_Medias__30_ALL_DATA_1[[#This Row],[All: Expectancy Score]]-AB$114) /ABS(AB$114)</f>
        <v>-0.48932052027893691</v>
      </c>
      <c r="AH12" s="11"/>
      <c r="AI12" s="11">
        <f>(Opti_Medias__30_ALL_DATA_1[[#This Row],[All: Perfect Profit Correlation]]-AD$114) /ABS(AD$114)</f>
        <v>-0.25630668242570182</v>
      </c>
      <c r="AJ12" s="11">
        <f>(Opti_Medias__30_ALL_DATA_1[[#This Row],[All: Robustness Index]]-AE$114) /ABS(AE$114)</f>
        <v>-0.75092349748916321</v>
      </c>
      <c r="AK12" s="11">
        <f>SUM(Opti_Medias__30_ALL_DATA_1[[#This Row],[VAR TS Index]:[VAR Robustness Index]])</f>
        <v>-1.6993050211730873</v>
      </c>
      <c r="AL12" s="11">
        <f>Opti_Medias__30_ALL_DATA_1[[#This Row],[SUMA]]-Opti_Medias__30_ALL_DATA_1[[#This Row],[VAR Robustness Index]]</f>
        <v>-0.94838152368392414</v>
      </c>
    </row>
    <row r="13" spans="1:38" x14ac:dyDescent="0.25">
      <c r="A13" s="11"/>
      <c r="B13" s="89">
        <v>21</v>
      </c>
      <c r="C13" s="89">
        <v>8</v>
      </c>
      <c r="D13" s="89">
        <v>336</v>
      </c>
      <c r="E13" s="10">
        <v>248000</v>
      </c>
      <c r="F13" s="10">
        <v>2298540</v>
      </c>
      <c r="G13" s="10">
        <v>-2050540</v>
      </c>
      <c r="H13" s="89">
        <v>5055</v>
      </c>
      <c r="I13" s="11">
        <v>34.698318496538079</v>
      </c>
      <c r="J13" s="89">
        <v>1754</v>
      </c>
      <c r="K13" s="89">
        <v>3280</v>
      </c>
      <c r="L13" s="12">
        <v>17090</v>
      </c>
      <c r="M13" s="12">
        <v>-5240</v>
      </c>
      <c r="N13" s="12">
        <v>1310.4560546875</v>
      </c>
      <c r="O13" s="12">
        <v>-625.16461181640625</v>
      </c>
      <c r="P13" s="11">
        <v>2.0961775985367921</v>
      </c>
      <c r="Q13" s="13">
        <v>49.060336300692384</v>
      </c>
      <c r="R13" s="89">
        <v>11</v>
      </c>
      <c r="S13" s="89">
        <v>13</v>
      </c>
      <c r="T13" s="89">
        <v>73</v>
      </c>
      <c r="U13" s="89">
        <v>25</v>
      </c>
      <c r="V13" s="12">
        <v>-37865</v>
      </c>
      <c r="W13" s="11">
        <v>1.1209437514020699</v>
      </c>
      <c r="X13" s="89">
        <v>1</v>
      </c>
      <c r="Y13" s="12">
        <v>37865</v>
      </c>
      <c r="Z13" s="11">
        <v>654.95840485936878</v>
      </c>
      <c r="AA13" s="14">
        <v>11487.970421233329</v>
      </c>
      <c r="AB13" s="11">
        <v>1.6506790081197771</v>
      </c>
      <c r="AC13" s="11">
        <v>2.2892105365825328</v>
      </c>
      <c r="AD13" s="15">
        <v>231191.07209792378</v>
      </c>
      <c r="AE13" s="11">
        <v>218.92971604857414</v>
      </c>
      <c r="AF13" s="11">
        <f>(Opti_Medias__30_ALL_DATA_1[[#This Row],[All: TS Index]]-AA$114) /ABS(AA$114)</f>
        <v>-0.27706830914905972</v>
      </c>
      <c r="AG13" s="11">
        <f>(Opti_Medias__30_ALL_DATA_1[[#This Row],[All: Expectancy Score]]-AB$114) /ABS(AB$114)</f>
        <v>-0.43339718775843233</v>
      </c>
      <c r="AH13" s="11"/>
      <c r="AI13" s="11">
        <f>(Opti_Medias__30_ALL_DATA_1[[#This Row],[All: Perfect Profit Correlation]]-AD$114) /ABS(AD$114)</f>
        <v>-0.24994091818376024</v>
      </c>
      <c r="AJ13" s="11">
        <f>(Opti_Medias__30_ALL_DATA_1[[#This Row],[All: Robustness Index]]-AE$114) /ABS(AE$114)</f>
        <v>-0.73703144844177404</v>
      </c>
      <c r="AK13" s="11">
        <f>SUM(Opti_Medias__30_ALL_DATA_1[[#This Row],[VAR TS Index]:[VAR Robustness Index]])</f>
        <v>-1.6974378635330263</v>
      </c>
      <c r="AL13" s="11">
        <f>Opti_Medias__30_ALL_DATA_1[[#This Row],[SUMA]]-Opti_Medias__30_ALL_DATA_1[[#This Row],[VAR Robustness Index]]</f>
        <v>-0.96040641509125224</v>
      </c>
    </row>
    <row r="14" spans="1:38" x14ac:dyDescent="0.25">
      <c r="A14" s="11"/>
      <c r="B14" s="89">
        <v>1</v>
      </c>
      <c r="C14" s="89">
        <v>8</v>
      </c>
      <c r="D14" s="89">
        <v>316</v>
      </c>
      <c r="E14" s="10">
        <v>327340</v>
      </c>
      <c r="F14" s="10">
        <v>2625440</v>
      </c>
      <c r="G14" s="10">
        <v>-2298100</v>
      </c>
      <c r="H14" s="89">
        <v>5699</v>
      </c>
      <c r="I14" s="11">
        <v>41.410773819968412</v>
      </c>
      <c r="J14" s="89">
        <v>2360</v>
      </c>
      <c r="K14" s="89">
        <v>3312</v>
      </c>
      <c r="L14" s="12">
        <v>18350</v>
      </c>
      <c r="M14" s="12">
        <v>-7200</v>
      </c>
      <c r="N14" s="12">
        <v>1112.474609375</v>
      </c>
      <c r="O14" s="12">
        <v>-693.87078857421875</v>
      </c>
      <c r="P14" s="11">
        <v>1.6032878566064701</v>
      </c>
      <c r="Q14" s="13">
        <v>57.43814704334094</v>
      </c>
      <c r="R14" s="89">
        <v>8</v>
      </c>
      <c r="S14" s="89">
        <v>11</v>
      </c>
      <c r="T14" s="89">
        <v>52</v>
      </c>
      <c r="U14" s="89">
        <v>26</v>
      </c>
      <c r="V14" s="12">
        <v>-60485</v>
      </c>
      <c r="W14" s="11">
        <v>1.1424394064662109</v>
      </c>
      <c r="X14" s="89">
        <v>1</v>
      </c>
      <c r="Y14" s="12">
        <v>60485</v>
      </c>
      <c r="Z14" s="11">
        <v>541.19203108208649</v>
      </c>
      <c r="AA14" s="14">
        <v>12772.131933537241</v>
      </c>
      <c r="AB14" s="11">
        <v>0.636459599771935</v>
      </c>
      <c r="AC14" s="11">
        <v>3.1322842077586568</v>
      </c>
      <c r="AD14" s="15">
        <v>303018.32841719349</v>
      </c>
      <c r="AE14" s="11">
        <v>239.98805976852395</v>
      </c>
      <c r="AF14" s="11">
        <f>(Opti_Medias__30_ALL_DATA_1[[#This Row],[All: TS Index]]-AA$114) /ABS(AA$114)</f>
        <v>-0.19625672804508432</v>
      </c>
      <c r="AG14" s="11">
        <f>(Opti_Medias__30_ALL_DATA_1[[#This Row],[All: Expectancy Score]]-AB$114) /ABS(AB$114)</f>
        <v>-0.78153244977672021</v>
      </c>
      <c r="AH14" s="11"/>
      <c r="AI14" s="11">
        <f>(Opti_Medias__30_ALL_DATA_1[[#This Row],[All: Perfect Profit Correlation]]-AD$114) /ABS(AD$114)</f>
        <v>-1.6909921634759118E-2</v>
      </c>
      <c r="AJ14" s="11">
        <f>(Opti_Medias__30_ALL_DATA_1[[#This Row],[All: Robustness Index]]-AE$114) /ABS(AE$114)</f>
        <v>-0.71173711085161429</v>
      </c>
      <c r="AK14" s="11">
        <f>SUM(Opti_Medias__30_ALL_DATA_1[[#This Row],[VAR TS Index]:[VAR Robustness Index]])</f>
        <v>-1.706436210308178</v>
      </c>
      <c r="AL14" s="11">
        <f>Opti_Medias__30_ALL_DATA_1[[#This Row],[SUMA]]-Opti_Medias__30_ALL_DATA_1[[#This Row],[VAR Robustness Index]]</f>
        <v>-0.99469909945656376</v>
      </c>
    </row>
    <row r="15" spans="1:38" x14ac:dyDescent="0.25">
      <c r="A15" s="11"/>
      <c r="B15" s="89">
        <v>16</v>
      </c>
      <c r="C15" s="89">
        <v>8</v>
      </c>
      <c r="D15" s="89">
        <v>331</v>
      </c>
      <c r="E15" s="10">
        <v>257900</v>
      </c>
      <c r="F15" s="10">
        <v>2359560</v>
      </c>
      <c r="G15" s="10">
        <v>-2101660</v>
      </c>
      <c r="H15" s="89">
        <v>5197</v>
      </c>
      <c r="I15" s="11">
        <v>35.424283240330958</v>
      </c>
      <c r="J15" s="89">
        <v>1841</v>
      </c>
      <c r="K15" s="89">
        <v>3338</v>
      </c>
      <c r="L15" s="12">
        <v>16640</v>
      </c>
      <c r="M15" s="12">
        <v>-6600</v>
      </c>
      <c r="N15" s="12">
        <v>1281.6729736328125</v>
      </c>
      <c r="O15" s="12">
        <v>-629.61651611328125</v>
      </c>
      <c r="P15" s="11">
        <v>2.0356406492395962</v>
      </c>
      <c r="Q15" s="13">
        <v>49.624783528959014</v>
      </c>
      <c r="R15" s="89">
        <v>6</v>
      </c>
      <c r="S15" s="89">
        <v>17</v>
      </c>
      <c r="T15" s="89">
        <v>68</v>
      </c>
      <c r="U15" s="89">
        <v>25</v>
      </c>
      <c r="V15" s="12">
        <v>-37125</v>
      </c>
      <c r="W15" s="11">
        <v>1.1227125224822281</v>
      </c>
      <c r="X15" s="89">
        <v>1</v>
      </c>
      <c r="Y15" s="12">
        <v>37125</v>
      </c>
      <c r="Z15" s="11">
        <v>694.68013468013464</v>
      </c>
      <c r="AA15" s="14">
        <v>12789.061279461279</v>
      </c>
      <c r="AB15" s="11">
        <v>1.072343116223228</v>
      </c>
      <c r="AC15" s="11">
        <v>2.3928377992718848</v>
      </c>
      <c r="AD15" s="15">
        <v>238676.45731996105</v>
      </c>
      <c r="AE15" s="11">
        <v>210.38488243290172</v>
      </c>
      <c r="AF15" s="11">
        <f>(Opti_Medias__30_ALL_DATA_1[[#This Row],[All: TS Index]]-AA$114) /ABS(AA$114)</f>
        <v>-0.19519137357209193</v>
      </c>
      <c r="AG15" s="11">
        <f>(Opti_Medias__30_ALL_DATA_1[[#This Row],[All: Expectancy Score]]-AB$114) /ABS(AB$114)</f>
        <v>-0.63191352022338265</v>
      </c>
      <c r="AH15" s="11"/>
      <c r="AI15" s="11">
        <f>(Opti_Medias__30_ALL_DATA_1[[#This Row],[All: Perfect Profit Correlation]]-AD$114) /ABS(AD$114)</f>
        <v>-0.22565589231431818</v>
      </c>
      <c r="AJ15" s="11">
        <f>(Opti_Medias__30_ALL_DATA_1[[#This Row],[All: Robustness Index]]-AE$114) /ABS(AE$114)</f>
        <v>-0.74729511917490055</v>
      </c>
      <c r="AK15" s="11">
        <f>SUM(Opti_Medias__30_ALL_DATA_1[[#This Row],[VAR TS Index]:[VAR Robustness Index]])</f>
        <v>-1.8000559052846934</v>
      </c>
      <c r="AL15" s="11">
        <f>Opti_Medias__30_ALL_DATA_1[[#This Row],[SUMA]]-Opti_Medias__30_ALL_DATA_1[[#This Row],[VAR Robustness Index]]</f>
        <v>-1.052760786109793</v>
      </c>
    </row>
    <row r="16" spans="1:38" x14ac:dyDescent="0.25">
      <c r="A16" s="11"/>
      <c r="B16" s="89">
        <v>18</v>
      </c>
      <c r="C16" s="89">
        <v>8</v>
      </c>
      <c r="D16" s="89">
        <v>333</v>
      </c>
      <c r="E16" s="10">
        <v>267480</v>
      </c>
      <c r="F16" s="10">
        <v>2348660</v>
      </c>
      <c r="G16" s="10">
        <v>-2081180</v>
      </c>
      <c r="H16" s="89">
        <v>5135</v>
      </c>
      <c r="I16" s="11">
        <v>35.014605647517037</v>
      </c>
      <c r="J16" s="89">
        <v>1798</v>
      </c>
      <c r="K16" s="89">
        <v>3319</v>
      </c>
      <c r="L16" s="12">
        <v>16840</v>
      </c>
      <c r="M16" s="12">
        <v>-5940</v>
      </c>
      <c r="N16" s="12">
        <v>1306.2625732421875</v>
      </c>
      <c r="O16" s="12">
        <v>-627.05029296875</v>
      </c>
      <c r="P16" s="11">
        <v>2.0831862896638289</v>
      </c>
      <c r="Q16" s="13">
        <v>52.08958130477118</v>
      </c>
      <c r="R16" s="89">
        <v>8</v>
      </c>
      <c r="S16" s="89">
        <v>15</v>
      </c>
      <c r="T16" s="89">
        <v>71</v>
      </c>
      <c r="U16" s="89">
        <v>25</v>
      </c>
      <c r="V16" s="12">
        <v>-37995</v>
      </c>
      <c r="W16" s="11">
        <v>1.128523241622541</v>
      </c>
      <c r="X16" s="89">
        <v>1</v>
      </c>
      <c r="Y16" s="12">
        <v>37995</v>
      </c>
      <c r="Z16" s="11">
        <v>703.98736675878411</v>
      </c>
      <c r="AA16" s="14">
        <v>12657.692854322937</v>
      </c>
      <c r="AB16" s="11">
        <v>0.99199475512678703</v>
      </c>
      <c r="AC16" s="11">
        <v>2.4821561965621211</v>
      </c>
      <c r="AD16" s="15">
        <v>249130.27375626247</v>
      </c>
      <c r="AE16" s="11">
        <v>229.90745797251711</v>
      </c>
      <c r="AF16" s="11">
        <f>(Opti_Medias__30_ALL_DATA_1[[#This Row],[All: TS Index]]-AA$114) /ABS(AA$114)</f>
        <v>-0.20345831666363678</v>
      </c>
      <c r="AG16" s="11">
        <f>(Opti_Medias__30_ALL_DATA_1[[#This Row],[All: Expectancy Score]]-AB$114) /ABS(AB$114)</f>
        <v>-0.65949344771522178</v>
      </c>
      <c r="AH16" s="11"/>
      <c r="AI16" s="11">
        <f>(Opti_Medias__30_ALL_DATA_1[[#This Row],[All: Perfect Profit Correlation]]-AD$114) /ABS(AD$114)</f>
        <v>-0.19174030947396259</v>
      </c>
      <c r="AJ16" s="11">
        <f>(Opti_Medias__30_ALL_DATA_1[[#This Row],[All: Robustness Index]]-AE$114) /ABS(AE$114)</f>
        <v>-0.72384547741315963</v>
      </c>
      <c r="AK16" s="11">
        <f>SUM(Opti_Medias__30_ALL_DATA_1[[#This Row],[VAR TS Index]:[VAR Robustness Index]])</f>
        <v>-1.7785375512659809</v>
      </c>
      <c r="AL16" s="11">
        <f>Opti_Medias__30_ALL_DATA_1[[#This Row],[SUMA]]-Opti_Medias__30_ALL_DATA_1[[#This Row],[VAR Robustness Index]]</f>
        <v>-1.0546920738528214</v>
      </c>
    </row>
    <row r="17" spans="1:38" x14ac:dyDescent="0.25">
      <c r="A17" s="11"/>
      <c r="B17" s="89">
        <v>31</v>
      </c>
      <c r="C17" s="89">
        <v>11</v>
      </c>
      <c r="D17" s="89">
        <v>481</v>
      </c>
      <c r="E17" s="10">
        <v>260210</v>
      </c>
      <c r="F17" s="10">
        <v>2339250</v>
      </c>
      <c r="G17" s="10">
        <v>-2079040</v>
      </c>
      <c r="H17" s="89">
        <v>5277</v>
      </c>
      <c r="I17" s="11">
        <v>38.127724085654727</v>
      </c>
      <c r="J17" s="89">
        <v>2012</v>
      </c>
      <c r="K17" s="89">
        <v>3245</v>
      </c>
      <c r="L17" s="12">
        <v>18210</v>
      </c>
      <c r="M17" s="12">
        <v>-4670</v>
      </c>
      <c r="N17" s="12">
        <v>1162.6490478515625</v>
      </c>
      <c r="O17" s="12">
        <v>-640.6903076171875</v>
      </c>
      <c r="P17" s="11">
        <v>1.8146818112101759</v>
      </c>
      <c r="Q17" s="13">
        <v>49.310214136820164</v>
      </c>
      <c r="R17" s="89">
        <v>8</v>
      </c>
      <c r="S17" s="89">
        <v>13</v>
      </c>
      <c r="T17" s="89">
        <v>65</v>
      </c>
      <c r="U17" s="89">
        <v>24</v>
      </c>
      <c r="V17" s="12">
        <v>-45525</v>
      </c>
      <c r="W17" s="11">
        <v>1.125158727104818</v>
      </c>
      <c r="X17" s="89">
        <v>1</v>
      </c>
      <c r="Y17" s="12">
        <v>45525</v>
      </c>
      <c r="Z17" s="11">
        <v>571.57605711147721</v>
      </c>
      <c r="AA17" s="14">
        <v>11500.110269082921</v>
      </c>
      <c r="AB17" s="11">
        <v>1.1809664931879491</v>
      </c>
      <c r="AC17" s="11">
        <v>2.445558582642914</v>
      </c>
      <c r="AD17" s="15">
        <v>245931.52037795057</v>
      </c>
      <c r="AE17" s="11">
        <v>160.97769546496014</v>
      </c>
      <c r="AF17" s="11">
        <f>(Opti_Medias__30_ALL_DATA_1[[#This Row],[All: TS Index]]-AA$114) /ABS(AA$114)</f>
        <v>-0.27630435516843688</v>
      </c>
      <c r="AG17" s="11">
        <f>(Opti_Medias__30_ALL_DATA_1[[#This Row],[All: Expectancy Score]]-AB$114) /ABS(AB$114)</f>
        <v>-0.59462806947212365</v>
      </c>
      <c r="AH17" s="11"/>
      <c r="AI17" s="11">
        <f>(Opti_Medias__30_ALL_DATA_1[[#This Row],[All: Perfect Profit Correlation]]-AD$114) /ABS(AD$114)</f>
        <v>-0.20211810650618095</v>
      </c>
      <c r="AJ17" s="11">
        <f>(Opti_Medias__30_ALL_DATA_1[[#This Row],[All: Robustness Index]]-AE$114) /ABS(AE$114)</f>
        <v>-0.80664081526415765</v>
      </c>
      <c r="AK17" s="11">
        <f>SUM(Opti_Medias__30_ALL_DATA_1[[#This Row],[VAR TS Index]:[VAR Robustness Index]])</f>
        <v>-1.8796913464108993</v>
      </c>
      <c r="AL17" s="11">
        <f>Opti_Medias__30_ALL_DATA_1[[#This Row],[SUMA]]-Opti_Medias__30_ALL_DATA_1[[#This Row],[VAR Robustness Index]]</f>
        <v>-1.0730505311467415</v>
      </c>
    </row>
    <row r="18" spans="1:38" x14ac:dyDescent="0.25">
      <c r="A18" s="11"/>
      <c r="B18" s="89">
        <v>14</v>
      </c>
      <c r="C18" s="89">
        <v>8</v>
      </c>
      <c r="D18" s="89">
        <v>329</v>
      </c>
      <c r="E18" s="10">
        <v>232300</v>
      </c>
      <c r="F18" s="10">
        <v>2384050</v>
      </c>
      <c r="G18" s="10">
        <v>-2151750</v>
      </c>
      <c r="H18" s="89">
        <v>5309</v>
      </c>
      <c r="I18" s="11">
        <v>36.070823130533057</v>
      </c>
      <c r="J18" s="89">
        <v>1915</v>
      </c>
      <c r="K18" s="89">
        <v>3374</v>
      </c>
      <c r="L18" s="12">
        <v>17820</v>
      </c>
      <c r="M18" s="12">
        <v>-6600</v>
      </c>
      <c r="N18" s="12">
        <v>1244.9346923828125</v>
      </c>
      <c r="O18" s="12">
        <v>-637.7445068359375</v>
      </c>
      <c r="P18" s="11">
        <v>1.9520900282769149</v>
      </c>
      <c r="Q18" s="13">
        <v>43.75588623092861</v>
      </c>
      <c r="R18" s="89">
        <v>7</v>
      </c>
      <c r="S18" s="89">
        <v>21</v>
      </c>
      <c r="T18" s="89">
        <v>66</v>
      </c>
      <c r="U18" s="89">
        <v>25</v>
      </c>
      <c r="V18" s="12">
        <v>-41945</v>
      </c>
      <c r="W18" s="11">
        <v>1.107958638317649</v>
      </c>
      <c r="X18" s="89">
        <v>1</v>
      </c>
      <c r="Y18" s="12">
        <v>41945</v>
      </c>
      <c r="Z18" s="11">
        <v>553.82047919895103</v>
      </c>
      <c r="AA18" s="14">
        <v>10605.662176659911</v>
      </c>
      <c r="AB18" s="11">
        <v>1.523983258694074</v>
      </c>
      <c r="AC18" s="11">
        <v>2.1486488794913701</v>
      </c>
      <c r="AD18" s="15">
        <v>214559.82310484783</v>
      </c>
      <c r="AE18" s="11">
        <v>189.67019521105792</v>
      </c>
      <c r="AF18" s="11">
        <f>(Opti_Medias__30_ALL_DATA_1[[#This Row],[All: TS Index]]-AA$114) /ABS(AA$114)</f>
        <v>-0.33259148406272804</v>
      </c>
      <c r="AG18" s="11">
        <f>(Opti_Medias__30_ALL_DATA_1[[#This Row],[All: Expectancy Score]]-AB$114) /ABS(AB$114)</f>
        <v>-0.47688605965329284</v>
      </c>
      <c r="AH18" s="11"/>
      <c r="AI18" s="11">
        <f>(Opti_Medias__30_ALL_DATA_1[[#This Row],[All: Perfect Profit Correlation]]-AD$114) /ABS(AD$114)</f>
        <v>-0.30389810275843149</v>
      </c>
      <c r="AJ18" s="11">
        <f>(Opti_Medias__30_ALL_DATA_1[[#This Row],[All: Robustness Index]]-AE$114) /ABS(AE$114)</f>
        <v>-0.77217667199937567</v>
      </c>
      <c r="AK18" s="11">
        <f>SUM(Opti_Medias__30_ALL_DATA_1[[#This Row],[VAR TS Index]:[VAR Robustness Index]])</f>
        <v>-1.8855523184738281</v>
      </c>
      <c r="AL18" s="11">
        <f>Opti_Medias__30_ALL_DATA_1[[#This Row],[SUMA]]-Opti_Medias__30_ALL_DATA_1[[#This Row],[VAR Robustness Index]]</f>
        <v>-1.1133756464744524</v>
      </c>
    </row>
    <row r="19" spans="1:38" s="102" customFormat="1" x14ac:dyDescent="0.25">
      <c r="A19" s="95"/>
      <c r="B19" s="96">
        <v>34</v>
      </c>
      <c r="C19" s="96">
        <v>11</v>
      </c>
      <c r="D19" s="96">
        <v>484</v>
      </c>
      <c r="E19" s="97">
        <v>279860</v>
      </c>
      <c r="F19" s="97">
        <v>2333630</v>
      </c>
      <c r="G19" s="97">
        <v>-2053770</v>
      </c>
      <c r="H19" s="96">
        <v>5189</v>
      </c>
      <c r="I19" s="95">
        <v>36.943534399691657</v>
      </c>
      <c r="J19" s="96">
        <v>1917</v>
      </c>
      <c r="K19" s="96">
        <v>3252</v>
      </c>
      <c r="L19" s="98">
        <v>18960</v>
      </c>
      <c r="M19" s="98">
        <v>-5350</v>
      </c>
      <c r="N19" s="98">
        <v>1217.3343505859375</v>
      </c>
      <c r="O19" s="98">
        <v>-631.54058837890625</v>
      </c>
      <c r="P19" s="95">
        <v>1.9275631257694741</v>
      </c>
      <c r="Q19" s="99">
        <v>53.933320485642703</v>
      </c>
      <c r="R19" s="96">
        <v>9</v>
      </c>
      <c r="S19" s="96">
        <v>15</v>
      </c>
      <c r="T19" s="96">
        <v>68</v>
      </c>
      <c r="U19" s="96">
        <v>24</v>
      </c>
      <c r="V19" s="98">
        <v>-41585</v>
      </c>
      <c r="W19" s="95">
        <v>1.136266475798166</v>
      </c>
      <c r="X19" s="96">
        <v>1</v>
      </c>
      <c r="Y19" s="98">
        <v>41585</v>
      </c>
      <c r="Z19" s="95">
        <v>672.98304677167243</v>
      </c>
      <c r="AA19" s="100">
        <v>12901.085006612961</v>
      </c>
      <c r="AB19" s="95">
        <v>0.575323193701475</v>
      </c>
      <c r="AC19" s="95">
        <v>2.625751983438537</v>
      </c>
      <c r="AD19" s="101">
        <v>263461.59448935062</v>
      </c>
      <c r="AE19" s="95">
        <v>163.8024821526451</v>
      </c>
      <c r="AF19" s="95">
        <f>(Opti_Medias__30_ALL_DATA_1[[#This Row],[All: TS Index]]-AA$114) /ABS(AA$114)</f>
        <v>-0.18814178173683585</v>
      </c>
      <c r="AG19" s="95">
        <f>(Opti_Medias__30_ALL_DATA_1[[#This Row],[All: Expectancy Score]]-AB$114) /ABS(AB$114)</f>
        <v>-0.80251778940936169</v>
      </c>
      <c r="AH19" s="95"/>
      <c r="AI19" s="95">
        <f>(Opti_Medias__30_ALL_DATA_1[[#This Row],[All: Perfect Profit Correlation]]-AD$114) /ABS(AD$114)</f>
        <v>-0.14524484071416061</v>
      </c>
      <c r="AJ19" s="95">
        <f>(Opti_Medias__30_ALL_DATA_1[[#This Row],[All: Robustness Index]]-AE$114) /ABS(AE$114)</f>
        <v>-0.80324780824286934</v>
      </c>
      <c r="AK19" s="95">
        <f>SUM(Opti_Medias__30_ALL_DATA_1[[#This Row],[VAR TS Index]:[VAR Robustness Index]])</f>
        <v>-1.9391522201032274</v>
      </c>
      <c r="AL19" s="95">
        <f>Opti_Medias__30_ALL_DATA_1[[#This Row],[SUMA]]-Opti_Medias__30_ALL_DATA_1[[#This Row],[VAR Robustness Index]]</f>
        <v>-1.1359044118603581</v>
      </c>
    </row>
    <row r="20" spans="1:38" x14ac:dyDescent="0.25">
      <c r="A20" s="11"/>
      <c r="B20" s="89">
        <v>25</v>
      </c>
      <c r="C20" s="89">
        <v>8</v>
      </c>
      <c r="D20" s="89">
        <v>340</v>
      </c>
      <c r="E20" s="10">
        <v>233160</v>
      </c>
      <c r="F20" s="10">
        <v>2273020</v>
      </c>
      <c r="G20" s="10">
        <v>-2039860</v>
      </c>
      <c r="H20" s="89">
        <v>5037</v>
      </c>
      <c r="I20" s="11">
        <v>34.167162993845544</v>
      </c>
      <c r="J20" s="89">
        <v>1721</v>
      </c>
      <c r="K20" s="89">
        <v>3300</v>
      </c>
      <c r="L20" s="12">
        <v>17090</v>
      </c>
      <c r="M20" s="12">
        <v>-5240</v>
      </c>
      <c r="N20" s="12">
        <v>1320.75537109375</v>
      </c>
      <c r="O20" s="12">
        <v>-618.139404296875</v>
      </c>
      <c r="P20" s="11">
        <v>2.136662639386484</v>
      </c>
      <c r="Q20" s="13">
        <v>46.289458010720665</v>
      </c>
      <c r="R20" s="89">
        <v>11</v>
      </c>
      <c r="S20" s="89">
        <v>12</v>
      </c>
      <c r="T20" s="89">
        <v>75</v>
      </c>
      <c r="U20" s="89">
        <v>24</v>
      </c>
      <c r="V20" s="12">
        <v>-36265</v>
      </c>
      <c r="W20" s="11">
        <v>1.1143019618993459</v>
      </c>
      <c r="X20" s="89">
        <v>1</v>
      </c>
      <c r="Y20" s="12">
        <v>36265</v>
      </c>
      <c r="Z20" s="11">
        <v>642.93395836205707</v>
      </c>
      <c r="AA20" s="14">
        <v>11064.893423411002</v>
      </c>
      <c r="AB20" s="11">
        <v>1.3839017657893291</v>
      </c>
      <c r="AC20" s="11">
        <v>2.138779511790073</v>
      </c>
      <c r="AD20" s="15">
        <v>212386.79526016748</v>
      </c>
      <c r="AE20" s="11">
        <v>262.55948921116061</v>
      </c>
      <c r="AF20" s="11">
        <f>(Opti_Medias__30_ALL_DATA_1[[#This Row],[All: TS Index]]-AA$114) /ABS(AA$114)</f>
        <v>-0.30369231305757588</v>
      </c>
      <c r="AG20" s="11">
        <f>(Opti_Medias__30_ALL_DATA_1[[#This Row],[All: Expectancy Score]]-AB$114) /ABS(AB$114)</f>
        <v>-0.52496964673012469</v>
      </c>
      <c r="AH20" s="11"/>
      <c r="AI20" s="11">
        <f>(Opti_Medias__30_ALL_DATA_1[[#This Row],[All: Perfect Profit Correlation]]-AD$114) /ABS(AD$114)</f>
        <v>-0.31094811232476854</v>
      </c>
      <c r="AJ20" s="11">
        <f>(Opti_Medias__30_ALL_DATA_1[[#This Row],[All: Robustness Index]]-AE$114) /ABS(AE$114)</f>
        <v>-0.6846253225834017</v>
      </c>
      <c r="AK20" s="11">
        <f>SUM(Opti_Medias__30_ALL_DATA_1[[#This Row],[VAR TS Index]:[VAR Robustness Index]])</f>
        <v>-1.8242353946958709</v>
      </c>
      <c r="AL20" s="11">
        <f>Opti_Medias__30_ALL_DATA_1[[#This Row],[SUMA]]-Opti_Medias__30_ALL_DATA_1[[#This Row],[VAR Robustness Index]]</f>
        <v>-1.1396100721124691</v>
      </c>
    </row>
    <row r="21" spans="1:38" x14ac:dyDescent="0.25">
      <c r="A21" s="74" t="s">
        <v>50</v>
      </c>
      <c r="B21" s="75">
        <v>7</v>
      </c>
      <c r="C21" s="75">
        <v>8</v>
      </c>
      <c r="D21" s="75">
        <v>322</v>
      </c>
      <c r="E21" s="76">
        <v>272480</v>
      </c>
      <c r="F21" s="76">
        <v>2529180</v>
      </c>
      <c r="G21" s="76">
        <v>-2256700</v>
      </c>
      <c r="H21" s="75">
        <v>5679</v>
      </c>
      <c r="I21" s="74">
        <v>38.334213770029933</v>
      </c>
      <c r="J21" s="75">
        <v>2177</v>
      </c>
      <c r="K21" s="75">
        <v>3477</v>
      </c>
      <c r="L21" s="77">
        <v>17740</v>
      </c>
      <c r="M21" s="77">
        <v>-6960</v>
      </c>
      <c r="N21" s="77">
        <v>1161.7730712890625</v>
      </c>
      <c r="O21" s="77">
        <v>-649.0364990234375</v>
      </c>
      <c r="P21" s="74">
        <v>1.7899965148910819</v>
      </c>
      <c r="Q21" s="78">
        <v>47.980278217996123</v>
      </c>
      <c r="R21" s="75">
        <v>8</v>
      </c>
      <c r="S21" s="75">
        <v>17</v>
      </c>
      <c r="T21" s="75">
        <v>57</v>
      </c>
      <c r="U21" s="75">
        <v>25</v>
      </c>
      <c r="V21" s="77">
        <v>-67125</v>
      </c>
      <c r="W21" s="74">
        <v>1.1207426773607481</v>
      </c>
      <c r="X21" s="75">
        <v>1</v>
      </c>
      <c r="Y21" s="77">
        <v>67125</v>
      </c>
      <c r="Z21" s="74">
        <v>405.92923649906891</v>
      </c>
      <c r="AA21" s="79">
        <v>8837.0794785847302</v>
      </c>
      <c r="AB21" s="74">
        <v>1.5495158955494059</v>
      </c>
      <c r="AC21" s="74">
        <v>2.565447525930233</v>
      </c>
      <c r="AD21" s="80">
        <v>237394.61163789046</v>
      </c>
      <c r="AE21" s="74">
        <v>433.04589991839561</v>
      </c>
      <c r="AF21" s="11">
        <f>(Opti_Medias__30_ALL_DATA_1[[#This Row],[All: TS Index]]-AA$114) /ABS(AA$114)</f>
        <v>-0.44388742524708424</v>
      </c>
      <c r="AG21" s="11">
        <f>(Opti_Medias__30_ALL_DATA_1[[#This Row],[All: Expectancy Score]]-AB$114) /ABS(AB$114)</f>
        <v>-0.46812187002283745</v>
      </c>
      <c r="AH21" s="11"/>
      <c r="AI21" s="11">
        <f>(Opti_Medias__30_ALL_DATA_1[[#This Row],[All: Perfect Profit Correlation]]-AD$114) /ABS(AD$114)</f>
        <v>-0.22981461689913582</v>
      </c>
      <c r="AJ21" s="11">
        <f>(Opti_Medias__30_ALL_DATA_1[[#This Row],[All: Robustness Index]]-AE$114) /ABS(AE$114)</f>
        <v>-0.47984469575385169</v>
      </c>
      <c r="AK21" s="11">
        <f>SUM(Opti_Medias__30_ALL_DATA_1[[#This Row],[VAR TS Index]:[VAR Robustness Index]])</f>
        <v>-1.621668607922909</v>
      </c>
      <c r="AL21" s="11">
        <f>Opti_Medias__30_ALL_DATA_1[[#This Row],[SUMA]]-Opti_Medias__30_ALL_DATA_1[[#This Row],[VAR Robustness Index]]</f>
        <v>-1.1418239121690572</v>
      </c>
    </row>
    <row r="22" spans="1:38" x14ac:dyDescent="0.25">
      <c r="A22" s="11"/>
      <c r="B22" s="89">
        <v>15</v>
      </c>
      <c r="C22" s="89">
        <v>8</v>
      </c>
      <c r="D22" s="89">
        <v>330</v>
      </c>
      <c r="E22" s="10">
        <v>243920</v>
      </c>
      <c r="F22" s="10">
        <v>2361620</v>
      </c>
      <c r="G22" s="10">
        <v>-2117700</v>
      </c>
      <c r="H22" s="89">
        <v>5227</v>
      </c>
      <c r="I22" s="11">
        <v>35.699253874115172</v>
      </c>
      <c r="J22" s="89">
        <v>1866</v>
      </c>
      <c r="K22" s="89">
        <v>3336</v>
      </c>
      <c r="L22" s="12">
        <v>16640</v>
      </c>
      <c r="M22" s="12">
        <v>-6600</v>
      </c>
      <c r="N22" s="12">
        <v>1265.6055908203125</v>
      </c>
      <c r="O22" s="12">
        <v>-634.80218505859375</v>
      </c>
      <c r="P22" s="11">
        <v>1.993700747428105</v>
      </c>
      <c r="Q22" s="13">
        <v>46.665391237803711</v>
      </c>
      <c r="R22" s="89">
        <v>7</v>
      </c>
      <c r="S22" s="89">
        <v>21</v>
      </c>
      <c r="T22" s="89">
        <v>67</v>
      </c>
      <c r="U22" s="89">
        <v>25</v>
      </c>
      <c r="V22" s="12">
        <v>-41525</v>
      </c>
      <c r="W22" s="11">
        <v>1.1151815649053221</v>
      </c>
      <c r="X22" s="89">
        <v>1</v>
      </c>
      <c r="Y22" s="12">
        <v>41525</v>
      </c>
      <c r="Z22" s="11">
        <v>587.40517760385308</v>
      </c>
      <c r="AA22" s="14">
        <v>10960.980614087899</v>
      </c>
      <c r="AB22" s="11">
        <v>1.2379186606401651</v>
      </c>
      <c r="AC22" s="11">
        <v>2.2591433180552092</v>
      </c>
      <c r="AD22" s="15">
        <v>221280.11688367967</v>
      </c>
      <c r="AE22" s="11">
        <v>233.56628583386984</v>
      </c>
      <c r="AF22" s="11">
        <f>(Opti_Medias__30_ALL_DATA_1[[#This Row],[All: TS Index]]-AA$114) /ABS(AA$114)</f>
        <v>-0.31023148927326094</v>
      </c>
      <c r="AG22" s="11">
        <f>(Opti_Medias__30_ALL_DATA_1[[#This Row],[All: Expectancy Score]]-AB$114) /ABS(AB$114)</f>
        <v>-0.57507898810442948</v>
      </c>
      <c r="AH22" s="11"/>
      <c r="AI22" s="11">
        <f>(Opti_Medias__30_ALL_DATA_1[[#This Row],[All: Perfect Profit Correlation]]-AD$114) /ABS(AD$114)</f>
        <v>-0.2820952825390115</v>
      </c>
      <c r="AJ22" s="11">
        <f>(Opti_Medias__30_ALL_DATA_1[[#This Row],[All: Robustness Index]]-AE$114) /ABS(AE$114)</f>
        <v>-0.7194506575574241</v>
      </c>
      <c r="AK22" s="11">
        <f>SUM(Opti_Medias__30_ALL_DATA_1[[#This Row],[VAR TS Index]:[VAR Robustness Index]])</f>
        <v>-1.8868564174741262</v>
      </c>
      <c r="AL22" s="11">
        <f>Opti_Medias__30_ALL_DATA_1[[#This Row],[SUMA]]-Opti_Medias__30_ALL_DATA_1[[#This Row],[VAR Robustness Index]]</f>
        <v>-1.167405759916702</v>
      </c>
    </row>
    <row r="23" spans="1:38" x14ac:dyDescent="0.25">
      <c r="A23" s="11"/>
      <c r="B23" s="89">
        <v>20</v>
      </c>
      <c r="C23" s="89">
        <v>8</v>
      </c>
      <c r="D23" s="89">
        <v>335</v>
      </c>
      <c r="E23" s="10">
        <v>256100</v>
      </c>
      <c r="F23" s="10">
        <v>2317370</v>
      </c>
      <c r="G23" s="10">
        <v>-2061270</v>
      </c>
      <c r="H23" s="89">
        <v>5087</v>
      </c>
      <c r="I23" s="11">
        <v>34.61765284057401</v>
      </c>
      <c r="J23" s="89">
        <v>1761</v>
      </c>
      <c r="K23" s="89">
        <v>3302</v>
      </c>
      <c r="L23" s="12">
        <v>16840</v>
      </c>
      <c r="M23" s="12">
        <v>-6210</v>
      </c>
      <c r="N23" s="12">
        <v>1315.9398193359375</v>
      </c>
      <c r="O23" s="12">
        <v>-624.24896240234375</v>
      </c>
      <c r="P23" s="11">
        <v>2.1080368548338599</v>
      </c>
      <c r="Q23" s="13">
        <v>50.344014153725183</v>
      </c>
      <c r="R23" s="89">
        <v>7</v>
      </c>
      <c r="S23" s="89">
        <v>15</v>
      </c>
      <c r="T23" s="89">
        <v>72</v>
      </c>
      <c r="U23" s="89">
        <v>25</v>
      </c>
      <c r="V23" s="12">
        <v>-38615</v>
      </c>
      <c r="W23" s="11">
        <v>1.1242437914489609</v>
      </c>
      <c r="X23" s="89">
        <v>1</v>
      </c>
      <c r="Y23" s="12">
        <v>38615</v>
      </c>
      <c r="Z23" s="11">
        <v>663.21377702965174</v>
      </c>
      <c r="AA23" s="14">
        <v>11679.194613492165</v>
      </c>
      <c r="AB23" s="11">
        <v>0.919477832308634</v>
      </c>
      <c r="AC23" s="11">
        <v>2.3674878252234079</v>
      </c>
      <c r="AD23" s="15">
        <v>237042.46819114065</v>
      </c>
      <c r="AE23" s="11">
        <v>228.9323062007783</v>
      </c>
      <c r="AF23" s="11">
        <f>(Opti_Medias__30_ALL_DATA_1[[#This Row],[All: TS Index]]-AA$114) /ABS(AA$114)</f>
        <v>-0.265034675393721</v>
      </c>
      <c r="AG23" s="11">
        <f>(Opti_Medias__30_ALL_DATA_1[[#This Row],[All: Expectancy Score]]-AB$114) /ABS(AB$114)</f>
        <v>-0.68438519965594113</v>
      </c>
      <c r="AH23" s="11"/>
      <c r="AI23" s="11">
        <f>(Opti_Medias__30_ALL_DATA_1[[#This Row],[All: Perfect Profit Correlation]]-AD$114) /ABS(AD$114)</f>
        <v>-0.23095708484973596</v>
      </c>
      <c r="AJ23" s="11">
        <f>(Opti_Medias__30_ALL_DATA_1[[#This Row],[All: Robustness Index]]-AE$114) /ABS(AE$114)</f>
        <v>-0.72501678596638819</v>
      </c>
      <c r="AK23" s="11">
        <f>SUM(Opti_Medias__30_ALL_DATA_1[[#This Row],[VAR TS Index]:[VAR Robustness Index]])</f>
        <v>-1.9053937458657861</v>
      </c>
      <c r="AL23" s="11">
        <f>Opti_Medias__30_ALL_DATA_1[[#This Row],[SUMA]]-Opti_Medias__30_ALL_DATA_1[[#This Row],[VAR Robustness Index]]</f>
        <v>-1.1803769598993981</v>
      </c>
    </row>
    <row r="24" spans="1:38" s="102" customFormat="1" x14ac:dyDescent="0.25">
      <c r="A24" s="95"/>
      <c r="B24" s="96">
        <v>35</v>
      </c>
      <c r="C24" s="96">
        <v>11</v>
      </c>
      <c r="D24" s="96">
        <v>485</v>
      </c>
      <c r="E24" s="97">
        <v>239240</v>
      </c>
      <c r="F24" s="97">
        <v>2326160</v>
      </c>
      <c r="G24" s="97">
        <v>-2086920</v>
      </c>
      <c r="H24" s="96">
        <v>5283</v>
      </c>
      <c r="I24" s="95">
        <v>35.77512776831346</v>
      </c>
      <c r="J24" s="96">
        <v>1890</v>
      </c>
      <c r="K24" s="96">
        <v>3367</v>
      </c>
      <c r="L24" s="98">
        <v>18780</v>
      </c>
      <c r="M24" s="98">
        <v>-5640</v>
      </c>
      <c r="N24" s="98">
        <v>1230.7724609375</v>
      </c>
      <c r="O24" s="98">
        <v>-619.81585693359375</v>
      </c>
      <c r="P24" s="95">
        <v>1.98570663717202</v>
      </c>
      <c r="Q24" s="99">
        <v>45.284876017414348</v>
      </c>
      <c r="R24" s="96">
        <v>9</v>
      </c>
      <c r="S24" s="96">
        <v>17</v>
      </c>
      <c r="T24" s="96">
        <v>69</v>
      </c>
      <c r="U24" s="96">
        <v>24</v>
      </c>
      <c r="V24" s="98">
        <v>-46315</v>
      </c>
      <c r="W24" s="95">
        <v>1.114637839495525</v>
      </c>
      <c r="X24" s="96">
        <v>1</v>
      </c>
      <c r="Y24" s="98">
        <v>46315</v>
      </c>
      <c r="Z24" s="95">
        <v>516.54971391557808</v>
      </c>
      <c r="AA24" s="100">
        <v>9762.7895930044269</v>
      </c>
      <c r="AB24" s="95">
        <v>1.3434797656299751</v>
      </c>
      <c r="AC24" s="95">
        <v>2.2169858263362321</v>
      </c>
      <c r="AD24" s="101">
        <v>226952.72748230037</v>
      </c>
      <c r="AE24" s="95">
        <v>102.50413621313122</v>
      </c>
      <c r="AF24" s="95">
        <f>(Opti_Medias__30_ALL_DATA_1[[#This Row],[All: TS Index]]-AA$114) /ABS(AA$114)</f>
        <v>-0.38563299441931043</v>
      </c>
      <c r="AG24" s="95">
        <f>(Opti_Medias__30_ALL_DATA_1[[#This Row],[All: Expectancy Score]]-AB$114) /ABS(AB$114)</f>
        <v>-0.538844675644927</v>
      </c>
      <c r="AH24" s="95"/>
      <c r="AI24" s="95">
        <f>(Opti_Medias__30_ALL_DATA_1[[#This Row],[All: Perfect Profit Correlation]]-AD$114) /ABS(AD$114)</f>
        <v>-0.26369148753735877</v>
      </c>
      <c r="AJ24" s="95">
        <f>(Opti_Medias__30_ALL_DATA_1[[#This Row],[All: Robustness Index]]-AE$114) /ABS(AE$114)</f>
        <v>-0.87687663093340151</v>
      </c>
      <c r="AK24" s="95">
        <f>SUM(Opti_Medias__30_ALL_DATA_1[[#This Row],[VAR TS Index]:[VAR Robustness Index]])</f>
        <v>-2.0650457885349978</v>
      </c>
      <c r="AL24" s="95">
        <f>Opti_Medias__30_ALL_DATA_1[[#This Row],[SUMA]]-Opti_Medias__30_ALL_DATA_1[[#This Row],[VAR Robustness Index]]</f>
        <v>-1.1881691576015962</v>
      </c>
    </row>
    <row r="25" spans="1:38" x14ac:dyDescent="0.25">
      <c r="A25" s="11"/>
      <c r="B25" s="89">
        <v>30</v>
      </c>
      <c r="C25" s="89">
        <v>11</v>
      </c>
      <c r="D25" s="89">
        <v>480</v>
      </c>
      <c r="E25" s="10">
        <v>248700</v>
      </c>
      <c r="F25" s="10">
        <v>2347810</v>
      </c>
      <c r="G25" s="10">
        <v>-2099110</v>
      </c>
      <c r="H25" s="89">
        <v>5225</v>
      </c>
      <c r="I25" s="11">
        <v>38.296650717703351</v>
      </c>
      <c r="J25" s="89">
        <v>2001</v>
      </c>
      <c r="K25" s="89">
        <v>3200</v>
      </c>
      <c r="L25" s="12">
        <v>17140</v>
      </c>
      <c r="M25" s="12">
        <v>-5410</v>
      </c>
      <c r="N25" s="12">
        <v>1173.318359375</v>
      </c>
      <c r="O25" s="12">
        <v>-655.97186279296875</v>
      </c>
      <c r="P25" s="11">
        <v>1.788671779882899</v>
      </c>
      <c r="Q25" s="13">
        <v>47.598086124401917</v>
      </c>
      <c r="R25" s="89">
        <v>7</v>
      </c>
      <c r="S25" s="89">
        <v>14</v>
      </c>
      <c r="T25" s="89">
        <v>65</v>
      </c>
      <c r="U25" s="89">
        <v>25</v>
      </c>
      <c r="V25" s="12">
        <v>-41715</v>
      </c>
      <c r="W25" s="11">
        <v>1.118478783865543</v>
      </c>
      <c r="X25" s="89">
        <v>1</v>
      </c>
      <c r="Y25" s="12">
        <v>41715</v>
      </c>
      <c r="Z25" s="11">
        <v>596.18842143113989</v>
      </c>
      <c r="AA25" s="14">
        <v>11929.73031283711</v>
      </c>
      <c r="AB25" s="11">
        <v>0.82855472222906001</v>
      </c>
      <c r="AC25" s="11">
        <v>2.333218650410736</v>
      </c>
      <c r="AD25" s="15">
        <v>237168.56885210803</v>
      </c>
      <c r="AE25" s="11">
        <v>151.22808566184418</v>
      </c>
      <c r="AF25" s="11">
        <f>(Opti_Medias__30_ALL_DATA_1[[#This Row],[All: TS Index]]-AA$114) /ABS(AA$114)</f>
        <v>-0.24926860096066042</v>
      </c>
      <c r="AG25" s="11">
        <f>(Opti_Medias__30_ALL_DATA_1[[#This Row],[All: Expectancy Score]]-AB$114) /ABS(AB$114)</f>
        <v>-0.71559495613519597</v>
      </c>
      <c r="AH25" s="11"/>
      <c r="AI25" s="11">
        <f>(Opti_Medias__30_ALL_DATA_1[[#This Row],[All: Perfect Profit Correlation]]-AD$114) /ABS(AD$114)</f>
        <v>-0.23054797326457252</v>
      </c>
      <c r="AJ25" s="11">
        <f>(Opti_Medias__30_ALL_DATA_1[[#This Row],[All: Robustness Index]]-AE$114) /ABS(AE$114)</f>
        <v>-0.81835160909542748</v>
      </c>
      <c r="AK25" s="11">
        <f>SUM(Opti_Medias__30_ALL_DATA_1[[#This Row],[VAR TS Index]:[VAR Robustness Index]])</f>
        <v>-2.0137631394558566</v>
      </c>
      <c r="AL25" s="11">
        <f>Opti_Medias__30_ALL_DATA_1[[#This Row],[SUMA]]-Opti_Medias__30_ALL_DATA_1[[#This Row],[VAR Robustness Index]]</f>
        <v>-1.1954115303604291</v>
      </c>
    </row>
    <row r="26" spans="1:38" x14ac:dyDescent="0.25">
      <c r="A26" s="11"/>
      <c r="B26" s="89">
        <v>9</v>
      </c>
      <c r="C26" s="89">
        <v>8</v>
      </c>
      <c r="D26" s="89">
        <v>324</v>
      </c>
      <c r="E26" s="4">
        <v>268920</v>
      </c>
      <c r="F26" s="4">
        <v>2486910</v>
      </c>
      <c r="G26" s="4">
        <v>-2217990</v>
      </c>
      <c r="H26" s="89">
        <v>5611</v>
      </c>
      <c r="I26" s="5">
        <v>37.24826234182855</v>
      </c>
      <c r="J26" s="89">
        <v>2090</v>
      </c>
      <c r="K26" s="89">
        <v>3500</v>
      </c>
      <c r="L26" s="6">
        <v>18310</v>
      </c>
      <c r="M26" s="6">
        <v>-6980</v>
      </c>
      <c r="N26" s="6">
        <v>1189.9090576171875</v>
      </c>
      <c r="O26" s="6">
        <v>-633.71142578125</v>
      </c>
      <c r="P26" s="5">
        <v>1.877682820931069</v>
      </c>
      <c r="Q26" s="7">
        <v>47.927285688825521</v>
      </c>
      <c r="R26" s="89">
        <v>7</v>
      </c>
      <c r="S26" s="89">
        <v>15</v>
      </c>
      <c r="T26" s="89">
        <v>59</v>
      </c>
      <c r="U26" s="89">
        <v>24</v>
      </c>
      <c r="V26" s="6">
        <v>-57375</v>
      </c>
      <c r="W26" s="5">
        <v>1.1212449109328719</v>
      </c>
      <c r="X26" s="89">
        <v>1</v>
      </c>
      <c r="Y26" s="6">
        <v>57375</v>
      </c>
      <c r="Z26" s="5">
        <v>468.70588235294116</v>
      </c>
      <c r="AA26" s="8">
        <v>9795.9529411764706</v>
      </c>
      <c r="AB26" s="5">
        <v>1.1089195696852381</v>
      </c>
      <c r="AC26" s="5">
        <v>2.5201237357082591</v>
      </c>
      <c r="AD26" s="9">
        <v>245400.42503776235</v>
      </c>
      <c r="AE26" s="5">
        <v>298.02826056733022</v>
      </c>
      <c r="AF26" s="11">
        <f>(Opti_Medias__30_ALL_DATA_1[[#This Row],[All: TS Index]]-AA$114) /ABS(AA$114)</f>
        <v>-0.38354604307027307</v>
      </c>
      <c r="AG26" s="11">
        <f>(Opti_Medias__30_ALL_DATA_1[[#This Row],[All: Expectancy Score]]-AB$114) /ABS(AB$114)</f>
        <v>-0.61935849208559579</v>
      </c>
      <c r="AH26" s="11"/>
      <c r="AI26" s="11">
        <f>(Opti_Medias__30_ALL_DATA_1[[#This Row],[All: Perfect Profit Correlation]]-AD$114) /ABS(AD$114)</f>
        <v>-0.20384115264115338</v>
      </c>
      <c r="AJ26" s="11">
        <f>(Opti_Medias__30_ALL_DATA_1[[#This Row],[All: Robustness Index]]-AE$114) /ABS(AE$114)</f>
        <v>-0.64202182591138124</v>
      </c>
      <c r="AK26" s="11">
        <f>SUM(Opti_Medias__30_ALL_DATA_1[[#This Row],[VAR TS Index]:[VAR Robustness Index]])</f>
        <v>-1.8487675137084036</v>
      </c>
      <c r="AL26" s="11">
        <f>Opti_Medias__30_ALL_DATA_1[[#This Row],[SUMA]]-Opti_Medias__30_ALL_DATA_1[[#This Row],[VAR Robustness Index]]</f>
        <v>-1.2067456877970224</v>
      </c>
    </row>
    <row r="27" spans="1:38" x14ac:dyDescent="0.25">
      <c r="A27" s="11"/>
      <c r="B27" s="89">
        <v>29</v>
      </c>
      <c r="C27" s="89">
        <v>11</v>
      </c>
      <c r="D27" s="89">
        <v>479</v>
      </c>
      <c r="E27" s="10">
        <v>211850</v>
      </c>
      <c r="F27" s="10">
        <v>2353790</v>
      </c>
      <c r="G27" s="10">
        <v>-2141940</v>
      </c>
      <c r="H27" s="89">
        <v>5281</v>
      </c>
      <c r="I27" s="11">
        <v>38.572240106040525</v>
      </c>
      <c r="J27" s="89">
        <v>2037</v>
      </c>
      <c r="K27" s="89">
        <v>3219</v>
      </c>
      <c r="L27" s="12">
        <v>16920</v>
      </c>
      <c r="M27" s="12">
        <v>-5410</v>
      </c>
      <c r="N27" s="12">
        <v>1155.5179443359375</v>
      </c>
      <c r="O27" s="12">
        <v>-665.4053955078125</v>
      </c>
      <c r="P27" s="11">
        <v>1.7365623304783839</v>
      </c>
      <c r="Q27" s="13">
        <v>40.115508426434388</v>
      </c>
      <c r="R27" s="89">
        <v>8</v>
      </c>
      <c r="S27" s="89">
        <v>13</v>
      </c>
      <c r="T27" s="89">
        <v>63</v>
      </c>
      <c r="U27" s="89">
        <v>25</v>
      </c>
      <c r="V27" s="12">
        <v>-41945</v>
      </c>
      <c r="W27" s="11">
        <v>1.098905664957935</v>
      </c>
      <c r="X27" s="89">
        <v>1</v>
      </c>
      <c r="Y27" s="12">
        <v>41945</v>
      </c>
      <c r="Z27" s="11">
        <v>505.06615806413163</v>
      </c>
      <c r="AA27" s="14">
        <v>10288.19763976636</v>
      </c>
      <c r="AB27" s="11">
        <v>1.427288886874188</v>
      </c>
      <c r="AC27" s="11">
        <v>1.9745044751672589</v>
      </c>
      <c r="AD27" s="15">
        <v>199076.50008381941</v>
      </c>
      <c r="AE27" s="11">
        <v>174.99280239051802</v>
      </c>
      <c r="AF27" s="11">
        <f>(Opti_Medias__30_ALL_DATA_1[[#This Row],[All: TS Index]]-AA$114) /ABS(AA$114)</f>
        <v>-0.35256935361029135</v>
      </c>
      <c r="AG27" s="11">
        <f>(Opti_Medias__30_ALL_DATA_1[[#This Row],[All: Expectancy Score]]-AB$114) /ABS(AB$114)</f>
        <v>-0.51007682704754553</v>
      </c>
      <c r="AH27" s="11"/>
      <c r="AI27" s="11">
        <f>(Opti_Medias__30_ALL_DATA_1[[#This Row],[All: Perfect Profit Correlation]]-AD$114) /ABS(AD$114)</f>
        <v>-0.35413104187338934</v>
      </c>
      <c r="AJ27" s="11">
        <f>(Opti_Medias__30_ALL_DATA_1[[#This Row],[All: Robustness Index]]-AE$114) /ABS(AE$114)</f>
        <v>-0.78980649768193456</v>
      </c>
      <c r="AK27" s="11">
        <f>SUM(Opti_Medias__30_ALL_DATA_1[[#This Row],[VAR TS Index]:[VAR Robustness Index]])</f>
        <v>-2.0065837202131611</v>
      </c>
      <c r="AL27" s="11">
        <f>Opti_Medias__30_ALL_DATA_1[[#This Row],[SUMA]]-Opti_Medias__30_ALL_DATA_1[[#This Row],[VAR Robustness Index]]</f>
        <v>-1.2167772225312266</v>
      </c>
    </row>
    <row r="28" spans="1:38" x14ac:dyDescent="0.25">
      <c r="A28" s="11"/>
      <c r="B28" s="89">
        <v>20</v>
      </c>
      <c r="C28" s="89">
        <v>11</v>
      </c>
      <c r="D28" s="89">
        <v>470</v>
      </c>
      <c r="E28" s="10">
        <v>234790</v>
      </c>
      <c r="F28" s="10">
        <v>2348800</v>
      </c>
      <c r="G28" s="10">
        <v>-2114010</v>
      </c>
      <c r="H28" s="89">
        <v>5243</v>
      </c>
      <c r="I28" s="11">
        <v>43.181384703414075</v>
      </c>
      <c r="J28" s="89">
        <v>2264</v>
      </c>
      <c r="K28" s="89">
        <v>2952</v>
      </c>
      <c r="L28" s="12">
        <v>16550</v>
      </c>
      <c r="M28" s="12">
        <v>-6240</v>
      </c>
      <c r="N28" s="12">
        <v>1037.455810546875</v>
      </c>
      <c r="O28" s="12">
        <v>-716.1280517578125</v>
      </c>
      <c r="P28" s="11">
        <v>1.4487015387825251</v>
      </c>
      <c r="Q28" s="13">
        <v>44.781613580011445</v>
      </c>
      <c r="R28" s="89">
        <v>9</v>
      </c>
      <c r="S28" s="89">
        <v>17</v>
      </c>
      <c r="T28" s="89">
        <v>57</v>
      </c>
      <c r="U28" s="89">
        <v>27</v>
      </c>
      <c r="V28" s="12">
        <v>-52445</v>
      </c>
      <c r="W28" s="11">
        <v>1.111063807645186</v>
      </c>
      <c r="X28" s="89">
        <v>1</v>
      </c>
      <c r="Y28" s="12">
        <v>52445</v>
      </c>
      <c r="Z28" s="11">
        <v>447.68805415196874</v>
      </c>
      <c r="AA28" s="14">
        <v>10135.657546000572</v>
      </c>
      <c r="AB28" s="11">
        <v>1.1910736084774429</v>
      </c>
      <c r="AC28" s="11">
        <v>2.2433517779485301</v>
      </c>
      <c r="AD28" s="15">
        <v>225873.76046760188</v>
      </c>
      <c r="AE28" s="11">
        <v>231.65320389615215</v>
      </c>
      <c r="AF28" s="11">
        <f>(Opti_Medias__30_ALL_DATA_1[[#This Row],[All: TS Index]]-AA$114) /ABS(AA$114)</f>
        <v>-0.36216861822058649</v>
      </c>
      <c r="AG28" s="11">
        <f>(Opti_Medias__30_ALL_DATA_1[[#This Row],[All: Expectancy Score]]-AB$114) /ABS(AB$114)</f>
        <v>-0.59115875780189164</v>
      </c>
      <c r="AH28" s="11"/>
      <c r="AI28" s="11">
        <f>(Opti_Medias__30_ALL_DATA_1[[#This Row],[All: Perfect Profit Correlation]]-AD$114) /ABS(AD$114)</f>
        <v>-0.26719200769590529</v>
      </c>
      <c r="AJ28" s="11">
        <f>(Opti_Medias__30_ALL_DATA_1[[#This Row],[All: Robustness Index]]-AE$114) /ABS(AE$114)</f>
        <v>-0.72174856574117296</v>
      </c>
      <c r="AK28" s="11">
        <f>SUM(Opti_Medias__30_ALL_DATA_1[[#This Row],[VAR TS Index]:[VAR Robustness Index]])</f>
        <v>-1.9422679494595565</v>
      </c>
      <c r="AL28" s="11">
        <f>Opti_Medias__30_ALL_DATA_1[[#This Row],[SUMA]]-Opti_Medias__30_ALL_DATA_1[[#This Row],[VAR Robustness Index]]</f>
        <v>-1.2205193837183836</v>
      </c>
    </row>
    <row r="29" spans="1:38" x14ac:dyDescent="0.25">
      <c r="A29" s="11"/>
      <c r="B29" s="89">
        <v>34</v>
      </c>
      <c r="C29" s="89">
        <v>1</v>
      </c>
      <c r="D29" s="89">
        <v>34</v>
      </c>
      <c r="E29" s="10">
        <v>220010</v>
      </c>
      <c r="F29" s="10">
        <v>2330090</v>
      </c>
      <c r="G29" s="10">
        <v>-2110080</v>
      </c>
      <c r="H29" s="89">
        <v>5484</v>
      </c>
      <c r="I29" s="11">
        <v>33.770970094821301</v>
      </c>
      <c r="J29" s="89">
        <v>1852</v>
      </c>
      <c r="K29" s="89">
        <v>3600</v>
      </c>
      <c r="L29" s="12">
        <v>17480</v>
      </c>
      <c r="M29" s="12">
        <v>-5370</v>
      </c>
      <c r="N29" s="12">
        <v>1258.14794921875</v>
      </c>
      <c r="O29" s="12">
        <v>-586.13336181640625</v>
      </c>
      <c r="P29" s="11">
        <v>2.1465216470869271</v>
      </c>
      <c r="Q29" s="13">
        <v>40.118526622902991</v>
      </c>
      <c r="R29" s="89">
        <v>8</v>
      </c>
      <c r="S29" s="89">
        <v>15</v>
      </c>
      <c r="T29" s="89">
        <v>69</v>
      </c>
      <c r="U29" s="89">
        <v>23</v>
      </c>
      <c r="V29" s="12">
        <v>-44115</v>
      </c>
      <c r="W29" s="11">
        <v>1.1042661889596601</v>
      </c>
      <c r="X29" s="89">
        <v>1</v>
      </c>
      <c r="Y29" s="12">
        <v>44115</v>
      </c>
      <c r="Z29" s="11">
        <v>498.71925648872264</v>
      </c>
      <c r="AA29" s="14">
        <v>9236.2806301711444</v>
      </c>
      <c r="AB29" s="11">
        <v>1.568959025000664</v>
      </c>
      <c r="AC29" s="11">
        <v>2.010337671350138</v>
      </c>
      <c r="AD29" s="15">
        <v>203062.11333583231</v>
      </c>
      <c r="AE29" s="11">
        <v>187.62595849752915</v>
      </c>
      <c r="AF29" s="11">
        <f>(Opti_Medias__30_ALL_DATA_1[[#This Row],[All: TS Index]]-AA$114) /ABS(AA$114)</f>
        <v>-0.41876591527413065</v>
      </c>
      <c r="AG29" s="11">
        <f>(Opti_Medias__30_ALL_DATA_1[[#This Row],[All: Expectancy Score]]-AB$114) /ABS(AB$114)</f>
        <v>-0.46144793052783645</v>
      </c>
      <c r="AH29" s="11"/>
      <c r="AI29" s="11">
        <f>(Opti_Medias__30_ALL_DATA_1[[#This Row],[All: Perfect Profit Correlation]]-AD$114) /ABS(AD$114)</f>
        <v>-0.34120041531782225</v>
      </c>
      <c r="AJ29" s="11">
        <f>(Opti_Medias__30_ALL_DATA_1[[#This Row],[All: Robustness Index]]-AE$114) /ABS(AE$114)</f>
        <v>-0.77463211741492422</v>
      </c>
      <c r="AK29" s="11">
        <f>SUM(Opti_Medias__30_ALL_DATA_1[[#This Row],[VAR TS Index]:[VAR Robustness Index]])</f>
        <v>-1.9960463785347136</v>
      </c>
      <c r="AL29" s="11">
        <f>Opti_Medias__30_ALL_DATA_1[[#This Row],[SUMA]]-Opti_Medias__30_ALL_DATA_1[[#This Row],[VAR Robustness Index]]</f>
        <v>-1.2214142611197893</v>
      </c>
    </row>
    <row r="30" spans="1:38" x14ac:dyDescent="0.25">
      <c r="A30" s="11"/>
      <c r="B30" s="89">
        <v>13</v>
      </c>
      <c r="C30" s="89">
        <v>8</v>
      </c>
      <c r="D30" s="89">
        <v>328</v>
      </c>
      <c r="E30" s="10">
        <v>214980</v>
      </c>
      <c r="F30" s="10">
        <v>2389160</v>
      </c>
      <c r="G30" s="10">
        <v>-2174180</v>
      </c>
      <c r="H30" s="89">
        <v>5371</v>
      </c>
      <c r="I30" s="11">
        <v>36.417799292496738</v>
      </c>
      <c r="J30" s="89">
        <v>1956</v>
      </c>
      <c r="K30" s="89">
        <v>3391</v>
      </c>
      <c r="L30" s="12">
        <v>17820</v>
      </c>
      <c r="M30" s="12">
        <v>-6240</v>
      </c>
      <c r="N30" s="12">
        <v>1221.451904296875</v>
      </c>
      <c r="O30" s="12">
        <v>-641.16192626953125</v>
      </c>
      <c r="P30" s="11">
        <v>1.905059945470627</v>
      </c>
      <c r="Q30" s="13">
        <v>40.02606590951406</v>
      </c>
      <c r="R30" s="89">
        <v>7</v>
      </c>
      <c r="S30" s="89">
        <v>15</v>
      </c>
      <c r="T30" s="89">
        <v>64</v>
      </c>
      <c r="U30" s="89">
        <v>25</v>
      </c>
      <c r="V30" s="12">
        <v>-46925</v>
      </c>
      <c r="W30" s="11">
        <v>1.098878657700834</v>
      </c>
      <c r="X30" s="89">
        <v>1</v>
      </c>
      <c r="Y30" s="12">
        <v>46925</v>
      </c>
      <c r="Z30" s="11">
        <v>458.13532232285564</v>
      </c>
      <c r="AA30" s="14">
        <v>8961.1269046350553</v>
      </c>
      <c r="AB30" s="11">
        <v>1.5824544536996421</v>
      </c>
      <c r="AC30" s="11">
        <v>1.982955529323146</v>
      </c>
      <c r="AD30" s="15">
        <v>194498.22880430313</v>
      </c>
      <c r="AE30" s="11">
        <v>275.05197462429874</v>
      </c>
      <c r="AF30" s="11">
        <f>(Opti_Medias__30_ALL_DATA_1[[#This Row],[All: TS Index]]-AA$114) /ABS(AA$114)</f>
        <v>-0.43608118862111628</v>
      </c>
      <c r="AG30" s="11">
        <f>(Opti_Medias__30_ALL_DATA_1[[#This Row],[All: Expectancy Score]]-AB$114) /ABS(AB$114)</f>
        <v>-0.45681556541285478</v>
      </c>
      <c r="AH30" s="11"/>
      <c r="AI30" s="11">
        <f>(Opti_Medias__30_ALL_DATA_1[[#This Row],[All: Perfect Profit Correlation]]-AD$114) /ABS(AD$114)</f>
        <v>-0.36898444395790037</v>
      </c>
      <c r="AJ30" s="11">
        <f>(Opti_Medias__30_ALL_DATA_1[[#This Row],[All: Robustness Index]]-AE$114) /ABS(AE$114)</f>
        <v>-0.66961990964198848</v>
      </c>
      <c r="AK30" s="11">
        <f>SUM(Opti_Medias__30_ALL_DATA_1[[#This Row],[VAR TS Index]:[VAR Robustness Index]])</f>
        <v>-1.93150110763386</v>
      </c>
      <c r="AL30" s="11">
        <f>Opti_Medias__30_ALL_DATA_1[[#This Row],[SUMA]]-Opti_Medias__30_ALL_DATA_1[[#This Row],[VAR Robustness Index]]</f>
        <v>-1.2618811979918716</v>
      </c>
    </row>
    <row r="31" spans="1:38" x14ac:dyDescent="0.25">
      <c r="A31" s="11"/>
      <c r="B31" s="89">
        <v>8</v>
      </c>
      <c r="C31" s="89">
        <v>8</v>
      </c>
      <c r="D31" s="89">
        <v>323</v>
      </c>
      <c r="E31" s="10">
        <v>271600</v>
      </c>
      <c r="F31" s="10">
        <v>2515830</v>
      </c>
      <c r="G31" s="10">
        <v>-2244230</v>
      </c>
      <c r="H31" s="89">
        <v>5635</v>
      </c>
      <c r="I31" s="11">
        <v>37.852706299911269</v>
      </c>
      <c r="J31" s="89">
        <v>2133</v>
      </c>
      <c r="K31" s="89">
        <v>3481</v>
      </c>
      <c r="L31" s="12">
        <v>18390</v>
      </c>
      <c r="M31" s="12">
        <v>-6980</v>
      </c>
      <c r="N31" s="12">
        <v>1179.4796142578125</v>
      </c>
      <c r="O31" s="12">
        <v>-644.70843505859375</v>
      </c>
      <c r="P31" s="11">
        <v>1.829477559341405</v>
      </c>
      <c r="Q31" s="13">
        <v>48.198757763975152</v>
      </c>
      <c r="R31" s="89">
        <v>9</v>
      </c>
      <c r="S31" s="89">
        <v>15</v>
      </c>
      <c r="T31" s="89">
        <v>58</v>
      </c>
      <c r="U31" s="89">
        <v>25</v>
      </c>
      <c r="V31" s="12">
        <v>-62265</v>
      </c>
      <c r="W31" s="11">
        <v>1.12102146393195</v>
      </c>
      <c r="X31" s="89">
        <v>1</v>
      </c>
      <c r="Y31" s="12">
        <v>62265</v>
      </c>
      <c r="Z31" s="11">
        <v>436.20011242270937</v>
      </c>
      <c r="AA31" s="14">
        <v>9304.1483979763907</v>
      </c>
      <c r="AB31" s="11">
        <v>1.036113265641099</v>
      </c>
      <c r="AC31" s="11">
        <v>2.551642234059349</v>
      </c>
      <c r="AD31" s="15">
        <v>243606.97279051927</v>
      </c>
      <c r="AE31" s="11">
        <v>370.63002778193237</v>
      </c>
      <c r="AF31" s="11">
        <f>(Opti_Medias__30_ALL_DATA_1[[#This Row],[All: TS Index]]-AA$114) /ABS(AA$114)</f>
        <v>-0.41449503379248609</v>
      </c>
      <c r="AG31" s="11">
        <f>(Opti_Medias__30_ALL_DATA_1[[#This Row],[All: Expectancy Score]]-AB$114) /ABS(AB$114)</f>
        <v>-0.64434957540185644</v>
      </c>
      <c r="AH31" s="11"/>
      <c r="AI31" s="11">
        <f>(Opti_Medias__30_ALL_DATA_1[[#This Row],[All: Perfect Profit Correlation]]-AD$114) /ABS(AD$114)</f>
        <v>-0.20965969543193486</v>
      </c>
      <c r="AJ31" s="11">
        <f>(Opti_Medias__30_ALL_DATA_1[[#This Row],[All: Robustness Index]]-AE$114) /ABS(AE$114)</f>
        <v>-0.55481584076884594</v>
      </c>
      <c r="AK31" s="11">
        <f>SUM(Opti_Medias__30_ALL_DATA_1[[#This Row],[VAR TS Index]:[VAR Robustness Index]])</f>
        <v>-1.8233201453951235</v>
      </c>
      <c r="AL31" s="11">
        <f>Opti_Medias__30_ALL_DATA_1[[#This Row],[SUMA]]-Opti_Medias__30_ALL_DATA_1[[#This Row],[VAR Robustness Index]]</f>
        <v>-1.2685043046262776</v>
      </c>
    </row>
    <row r="32" spans="1:38" x14ac:dyDescent="0.25">
      <c r="A32" s="11"/>
      <c r="B32" s="89">
        <v>35</v>
      </c>
      <c r="C32" s="89">
        <v>8</v>
      </c>
      <c r="D32" s="89">
        <v>350</v>
      </c>
      <c r="E32" s="10">
        <v>186790</v>
      </c>
      <c r="F32" s="10">
        <v>2377400</v>
      </c>
      <c r="G32" s="10">
        <v>-2190610</v>
      </c>
      <c r="H32" s="89">
        <v>5787</v>
      </c>
      <c r="I32" s="11">
        <v>30.914117850354241</v>
      </c>
      <c r="J32" s="89">
        <v>1789</v>
      </c>
      <c r="K32" s="89">
        <v>3969</v>
      </c>
      <c r="L32" s="12">
        <v>18070</v>
      </c>
      <c r="M32" s="12">
        <v>-4300</v>
      </c>
      <c r="N32" s="12">
        <v>1328.8988037109375</v>
      </c>
      <c r="O32" s="12">
        <v>-551.929931640625</v>
      </c>
      <c r="P32" s="11">
        <v>2.4077309954195698</v>
      </c>
      <c r="Q32" s="13">
        <v>32.277518576118887</v>
      </c>
      <c r="R32" s="89">
        <v>7</v>
      </c>
      <c r="S32" s="89">
        <v>20</v>
      </c>
      <c r="T32" s="89">
        <v>73</v>
      </c>
      <c r="U32" s="89">
        <v>20</v>
      </c>
      <c r="V32" s="12">
        <v>-39605</v>
      </c>
      <c r="W32" s="11">
        <v>1.0852684868598239</v>
      </c>
      <c r="X32" s="89">
        <v>1</v>
      </c>
      <c r="Y32" s="12">
        <v>39605</v>
      </c>
      <c r="Z32" s="11">
        <v>471.63236965029665</v>
      </c>
      <c r="AA32" s="14">
        <v>8437.5030930438079</v>
      </c>
      <c r="AB32" s="11">
        <v>1.8300760951803789</v>
      </c>
      <c r="AC32" s="11">
        <v>1.653537224665619</v>
      </c>
      <c r="AD32" s="15">
        <v>172550.31605193348</v>
      </c>
      <c r="AE32" s="11">
        <v>110.44745650272236</v>
      </c>
      <c r="AF32" s="11">
        <f>(Opti_Medias__30_ALL_DATA_1[[#This Row],[All: TS Index]]-AA$114) /ABS(AA$114)</f>
        <v>-0.46903254848741671</v>
      </c>
      <c r="AG32" s="11">
        <f>(Opti_Medias__30_ALL_DATA_1[[#This Row],[All: Expectancy Score]]-AB$114) /ABS(AB$114)</f>
        <v>-0.37181835048208978</v>
      </c>
      <c r="AH32" s="11"/>
      <c r="AI32" s="11">
        <f>(Opti_Medias__30_ALL_DATA_1[[#This Row],[All: Perfect Profit Correlation]]-AD$114) /ABS(AD$114)</f>
        <v>-0.44019061614024374</v>
      </c>
      <c r="AJ32" s="11">
        <f>(Opti_Medias__30_ALL_DATA_1[[#This Row],[All: Robustness Index]]-AE$114) /ABS(AE$114)</f>
        <v>-0.8673354710177078</v>
      </c>
      <c r="AK32" s="11">
        <f>SUM(Opti_Medias__30_ALL_DATA_1[[#This Row],[VAR TS Index]:[VAR Robustness Index]])</f>
        <v>-2.1483769861274582</v>
      </c>
      <c r="AL32" s="11">
        <f>Opti_Medias__30_ALL_DATA_1[[#This Row],[SUMA]]-Opti_Medias__30_ALL_DATA_1[[#This Row],[VAR Robustness Index]]</f>
        <v>-1.2810415151097505</v>
      </c>
    </row>
    <row r="33" spans="1:38" x14ac:dyDescent="0.25">
      <c r="A33" s="11"/>
      <c r="B33" s="89">
        <v>17</v>
      </c>
      <c r="C33" s="89">
        <v>8</v>
      </c>
      <c r="D33" s="89">
        <v>332</v>
      </c>
      <c r="E33" s="10">
        <v>253980</v>
      </c>
      <c r="F33" s="10">
        <v>2349400</v>
      </c>
      <c r="G33" s="10">
        <v>-2095420</v>
      </c>
      <c r="H33" s="89">
        <v>5171</v>
      </c>
      <c r="I33" s="11">
        <v>35.022239412105975</v>
      </c>
      <c r="J33" s="89">
        <v>1811</v>
      </c>
      <c r="K33" s="89">
        <v>3343</v>
      </c>
      <c r="L33" s="12">
        <v>16640</v>
      </c>
      <c r="M33" s="12">
        <v>-6600</v>
      </c>
      <c r="N33" s="12">
        <v>1297.2943115234375</v>
      </c>
      <c r="O33" s="12">
        <v>-626.8082275390625</v>
      </c>
      <c r="P33" s="11">
        <v>2.0696829660593292</v>
      </c>
      <c r="Q33" s="13">
        <v>49.116225101527753</v>
      </c>
      <c r="R33" s="89">
        <v>8</v>
      </c>
      <c r="S33" s="89">
        <v>17</v>
      </c>
      <c r="T33" s="89">
        <v>70</v>
      </c>
      <c r="U33" s="89">
        <v>25</v>
      </c>
      <c r="V33" s="12">
        <v>-40325</v>
      </c>
      <c r="W33" s="11">
        <v>1.1212072042836281</v>
      </c>
      <c r="X33" s="89">
        <v>1</v>
      </c>
      <c r="Y33" s="12">
        <v>40325</v>
      </c>
      <c r="Z33" s="11">
        <v>629.83261004339738</v>
      </c>
      <c r="AA33" s="14">
        <v>11406.268567885927</v>
      </c>
      <c r="AB33" s="11">
        <v>0.59876691255356695</v>
      </c>
      <c r="AC33" s="11">
        <v>2.3501377075354029</v>
      </c>
      <c r="AD33" s="15">
        <v>233267.45599012225</v>
      </c>
      <c r="AE33" s="11">
        <v>272.31892708923982</v>
      </c>
      <c r="AF33" s="11">
        <f>(Opti_Medias__30_ALL_DATA_1[[#This Row],[All: TS Index]]-AA$114) /ABS(AA$114)</f>
        <v>-0.28220976206200615</v>
      </c>
      <c r="AG33" s="11">
        <f>(Opti_Medias__30_ALL_DATA_1[[#This Row],[All: Expectancy Score]]-AB$114) /ABS(AB$114)</f>
        <v>-0.79447063004908947</v>
      </c>
      <c r="AH33" s="11"/>
      <c r="AI33" s="11">
        <f>(Opti_Medias__30_ALL_DATA_1[[#This Row],[All: Perfect Profit Correlation]]-AD$114) /ABS(AD$114)</f>
        <v>-0.24320445305321767</v>
      </c>
      <c r="AJ33" s="11">
        <f>(Opti_Medias__30_ALL_DATA_1[[#This Row],[All: Robustness Index]]-AE$114) /ABS(AE$114)</f>
        <v>-0.67290272370947091</v>
      </c>
      <c r="AK33" s="11">
        <f>SUM(Opti_Medias__30_ALL_DATA_1[[#This Row],[VAR TS Index]:[VAR Robustness Index]])</f>
        <v>-1.9927875688737842</v>
      </c>
      <c r="AL33" s="11">
        <f>Opti_Medias__30_ALL_DATA_1[[#This Row],[SUMA]]-Opti_Medias__30_ALL_DATA_1[[#This Row],[VAR Robustness Index]]</f>
        <v>-1.3198848451643133</v>
      </c>
    </row>
    <row r="34" spans="1:38" x14ac:dyDescent="0.25">
      <c r="A34" s="11"/>
      <c r="B34" s="89">
        <v>26</v>
      </c>
      <c r="C34" s="89">
        <v>8</v>
      </c>
      <c r="D34" s="89">
        <v>341</v>
      </c>
      <c r="E34" s="10">
        <v>210820</v>
      </c>
      <c r="F34" s="10">
        <v>2268940</v>
      </c>
      <c r="G34" s="10">
        <v>-2058120</v>
      </c>
      <c r="H34" s="89">
        <v>5067</v>
      </c>
      <c r="I34" s="11">
        <v>33.668837576475234</v>
      </c>
      <c r="J34" s="89">
        <v>1706</v>
      </c>
      <c r="K34" s="89">
        <v>3344</v>
      </c>
      <c r="L34" s="12">
        <v>17090</v>
      </c>
      <c r="M34" s="12">
        <v>-5240</v>
      </c>
      <c r="N34" s="12">
        <v>1329.9765625</v>
      </c>
      <c r="O34" s="12">
        <v>-615.46649169921875</v>
      </c>
      <c r="P34" s="11">
        <v>2.160924405207044</v>
      </c>
      <c r="Q34" s="13">
        <v>41.606473258338269</v>
      </c>
      <c r="R34" s="89">
        <v>11</v>
      </c>
      <c r="S34" s="89">
        <v>15</v>
      </c>
      <c r="T34" s="89">
        <v>75</v>
      </c>
      <c r="U34" s="89">
        <v>24</v>
      </c>
      <c r="V34" s="12">
        <v>-34735</v>
      </c>
      <c r="W34" s="11">
        <v>1.102433288632344</v>
      </c>
      <c r="X34" s="89">
        <v>1</v>
      </c>
      <c r="Y34" s="12">
        <v>34735</v>
      </c>
      <c r="Z34" s="11">
        <v>606.93824672520509</v>
      </c>
      <c r="AA34" s="14">
        <v>10354.366489131999</v>
      </c>
      <c r="AB34" s="11">
        <v>1.1466468621834991</v>
      </c>
      <c r="AC34" s="11">
        <v>1.914777614456552</v>
      </c>
      <c r="AD34" s="15">
        <v>191744.89164243775</v>
      </c>
      <c r="AE34" s="11">
        <v>232.54104518927298</v>
      </c>
      <c r="AF34" s="11">
        <f>(Opti_Medias__30_ALL_DATA_1[[#This Row],[All: TS Index]]-AA$114) /ABS(AA$114)</f>
        <v>-0.34840538413617544</v>
      </c>
      <c r="AG34" s="11">
        <f>(Opti_Medias__30_ALL_DATA_1[[#This Row],[All: Expectancy Score]]-AB$114) /ABS(AB$114)</f>
        <v>-0.60640843339906547</v>
      </c>
      <c r="AH34" s="11"/>
      <c r="AI34" s="11">
        <f>(Opti_Medias__30_ALL_DATA_1[[#This Row],[All: Perfect Profit Correlation]]-AD$114) /ABS(AD$114)</f>
        <v>-0.37791716581787144</v>
      </c>
      <c r="AJ34" s="11">
        <f>(Opti_Medias__30_ALL_DATA_1[[#This Row],[All: Robustness Index]]-AE$114) /ABS(AE$114)</f>
        <v>-0.72068213061724595</v>
      </c>
      <c r="AK34" s="11">
        <f>SUM(Opti_Medias__30_ALL_DATA_1[[#This Row],[VAR TS Index]:[VAR Robustness Index]])</f>
        <v>-2.0534131139703584</v>
      </c>
      <c r="AL34" s="11">
        <f>Opti_Medias__30_ALL_DATA_1[[#This Row],[SUMA]]-Opti_Medias__30_ALL_DATA_1[[#This Row],[VAR Robustness Index]]</f>
        <v>-1.3327309833531125</v>
      </c>
    </row>
    <row r="35" spans="1:38" x14ac:dyDescent="0.25">
      <c r="A35" s="11"/>
      <c r="B35" s="89">
        <v>24</v>
      </c>
      <c r="C35" s="89">
        <v>8</v>
      </c>
      <c r="D35" s="89">
        <v>339</v>
      </c>
      <c r="E35" s="10">
        <v>220320</v>
      </c>
      <c r="F35" s="10">
        <v>2271130</v>
      </c>
      <c r="G35" s="10">
        <v>-2050810</v>
      </c>
      <c r="H35" s="89">
        <v>5047</v>
      </c>
      <c r="I35" s="11">
        <v>34.21834753318803</v>
      </c>
      <c r="J35" s="89">
        <v>1727</v>
      </c>
      <c r="K35" s="89">
        <v>3303</v>
      </c>
      <c r="L35" s="12">
        <v>17090</v>
      </c>
      <c r="M35" s="12">
        <v>-5240</v>
      </c>
      <c r="N35" s="12">
        <v>1315.0723876953125</v>
      </c>
      <c r="O35" s="12">
        <v>-620.89312744140625</v>
      </c>
      <c r="P35" s="11">
        <v>2.118033409573238</v>
      </c>
      <c r="Q35" s="13">
        <v>43.653655637012086</v>
      </c>
      <c r="R35" s="89">
        <v>11</v>
      </c>
      <c r="S35" s="89">
        <v>12</v>
      </c>
      <c r="T35" s="89">
        <v>74</v>
      </c>
      <c r="U35" s="89">
        <v>24</v>
      </c>
      <c r="V35" s="12">
        <v>-41105</v>
      </c>
      <c r="W35" s="11">
        <v>1.107430722495014</v>
      </c>
      <c r="X35" s="89">
        <v>1</v>
      </c>
      <c r="Y35" s="12">
        <v>41105</v>
      </c>
      <c r="Z35" s="11">
        <v>535.99318817662083</v>
      </c>
      <c r="AA35" s="14">
        <v>9256.602359810242</v>
      </c>
      <c r="AB35" s="11">
        <v>1.268133988729647</v>
      </c>
      <c r="AC35" s="11">
        <v>2.013530914257772</v>
      </c>
      <c r="AD35" s="15">
        <v>200122.69380531038</v>
      </c>
      <c r="AE35" s="11">
        <v>251.33124322326341</v>
      </c>
      <c r="AF35" s="11">
        <f>(Opti_Medias__30_ALL_DATA_1[[#This Row],[All: TS Index]]-AA$114) /ABS(AA$114)</f>
        <v>-0.41748707995071666</v>
      </c>
      <c r="AG35" s="11">
        <f>(Opti_Medias__30_ALL_DATA_1[[#This Row],[All: Expectancy Score]]-AB$114) /ABS(AB$114)</f>
        <v>-0.5647074441615505</v>
      </c>
      <c r="AH35" s="11"/>
      <c r="AI35" s="11">
        <f>(Opti_Medias__30_ALL_DATA_1[[#This Row],[All: Perfect Profit Correlation]]-AD$114) /ABS(AD$114)</f>
        <v>-0.35073684894447266</v>
      </c>
      <c r="AJ35" s="11">
        <f>(Opti_Medias__30_ALL_DATA_1[[#This Row],[All: Robustness Index]]-AE$114) /ABS(AE$114)</f>
        <v>-0.69811218785354012</v>
      </c>
      <c r="AK35" s="11">
        <f>SUM(Opti_Medias__30_ALL_DATA_1[[#This Row],[VAR TS Index]:[VAR Robustness Index]])</f>
        <v>-2.0310435609102799</v>
      </c>
      <c r="AL35" s="11">
        <f>Opti_Medias__30_ALL_DATA_1[[#This Row],[SUMA]]-Opti_Medias__30_ALL_DATA_1[[#This Row],[VAR Robustness Index]]</f>
        <v>-1.3329313730567398</v>
      </c>
    </row>
    <row r="36" spans="1:38" x14ac:dyDescent="0.25">
      <c r="A36" s="11"/>
      <c r="B36" s="89">
        <v>35</v>
      </c>
      <c r="C36" s="89">
        <v>2</v>
      </c>
      <c r="D36" s="89">
        <v>80</v>
      </c>
      <c r="E36" s="10">
        <v>162870</v>
      </c>
      <c r="F36" s="10">
        <v>2148500</v>
      </c>
      <c r="G36" s="10">
        <v>-1985630</v>
      </c>
      <c r="H36" s="89">
        <v>5233</v>
      </c>
      <c r="I36" s="11">
        <v>27.250143321230652</v>
      </c>
      <c r="J36" s="89">
        <v>1426</v>
      </c>
      <c r="K36" s="89">
        <v>3789</v>
      </c>
      <c r="L36" s="12">
        <v>16700</v>
      </c>
      <c r="M36" s="12">
        <v>-4450</v>
      </c>
      <c r="N36" s="12">
        <v>1506.6619873046875</v>
      </c>
      <c r="O36" s="12">
        <v>-524.05120849609375</v>
      </c>
      <c r="P36" s="11">
        <v>2.8750281706790841</v>
      </c>
      <c r="Q36" s="13">
        <v>31.12363844830881</v>
      </c>
      <c r="R36" s="89">
        <v>5</v>
      </c>
      <c r="S36" s="89">
        <v>22</v>
      </c>
      <c r="T36" s="89">
        <v>94</v>
      </c>
      <c r="U36" s="89">
        <v>20</v>
      </c>
      <c r="V36" s="12">
        <v>-47305</v>
      </c>
      <c r="W36" s="11">
        <v>1.0820243449182381</v>
      </c>
      <c r="X36" s="89">
        <v>1</v>
      </c>
      <c r="Y36" s="12">
        <v>47305</v>
      </c>
      <c r="Z36" s="11">
        <v>344.29764295529014</v>
      </c>
      <c r="AA36" s="14">
        <v>4909.6843885424378</v>
      </c>
      <c r="AB36" s="11">
        <v>2.5133274397437031</v>
      </c>
      <c r="AC36" s="11">
        <v>1.382326992819491</v>
      </c>
      <c r="AD36" s="15">
        <v>150841.64966227405</v>
      </c>
      <c r="AE36" s="11">
        <v>141.74760045499752</v>
      </c>
      <c r="AF36" s="11">
        <f>(Opti_Medias__30_ALL_DATA_1[[#This Row],[All: TS Index]]-AA$114) /ABS(AA$114)</f>
        <v>-0.69103624866642055</v>
      </c>
      <c r="AG36" s="11">
        <f>(Opti_Medias__30_ALL_DATA_1[[#This Row],[All: Expectancy Score]]-AB$114) /ABS(AB$114)</f>
        <v>-0.13728932855045531</v>
      </c>
      <c r="AH36" s="11"/>
      <c r="AI36" s="11">
        <f>(Opti_Medias__30_ALL_DATA_1[[#This Row],[All: Perfect Profit Correlation]]-AD$114) /ABS(AD$114)</f>
        <v>-0.51062059525633274</v>
      </c>
      <c r="AJ36" s="11">
        <f>(Opti_Medias__30_ALL_DATA_1[[#This Row],[All: Robustness Index]]-AE$114) /ABS(AE$114)</f>
        <v>-0.82973914253725822</v>
      </c>
      <c r="AK36" s="11">
        <f>SUM(Opti_Medias__30_ALL_DATA_1[[#This Row],[VAR TS Index]:[VAR Robustness Index]])</f>
        <v>-2.1686853150104666</v>
      </c>
      <c r="AL36" s="11">
        <f>Opti_Medias__30_ALL_DATA_1[[#This Row],[SUMA]]-Opti_Medias__30_ALL_DATA_1[[#This Row],[VAR Robustness Index]]</f>
        <v>-1.3389461724732084</v>
      </c>
    </row>
    <row r="37" spans="1:38" x14ac:dyDescent="0.25">
      <c r="A37" s="11"/>
      <c r="B37" s="89">
        <v>37</v>
      </c>
      <c r="C37" s="89">
        <v>11</v>
      </c>
      <c r="D37" s="89">
        <v>487</v>
      </c>
      <c r="E37" s="10">
        <v>202460</v>
      </c>
      <c r="F37" s="10">
        <v>2316790</v>
      </c>
      <c r="G37" s="10">
        <v>-2114330</v>
      </c>
      <c r="H37" s="89">
        <v>5283</v>
      </c>
      <c r="I37" s="11">
        <v>35.074768124171875</v>
      </c>
      <c r="J37" s="89">
        <v>1853</v>
      </c>
      <c r="K37" s="89">
        <v>3402</v>
      </c>
      <c r="L37" s="12">
        <v>18310</v>
      </c>
      <c r="M37" s="12">
        <v>-4830</v>
      </c>
      <c r="N37" s="12">
        <v>1250.2913818359375</v>
      </c>
      <c r="O37" s="12">
        <v>-621.49615478515625</v>
      </c>
      <c r="P37" s="11">
        <v>2.01174435627546</v>
      </c>
      <c r="Q37" s="13">
        <v>38.322922581866365</v>
      </c>
      <c r="R37" s="89">
        <v>7</v>
      </c>
      <c r="S37" s="89">
        <v>15</v>
      </c>
      <c r="T37" s="89">
        <v>71</v>
      </c>
      <c r="U37" s="89">
        <v>23</v>
      </c>
      <c r="V37" s="12">
        <v>-46795</v>
      </c>
      <c r="W37" s="11">
        <v>1.095756102405963</v>
      </c>
      <c r="X37" s="89">
        <v>1</v>
      </c>
      <c r="Y37" s="12">
        <v>46795</v>
      </c>
      <c r="Z37" s="11">
        <v>432.65306122448982</v>
      </c>
      <c r="AA37" s="14">
        <v>8017.0612244897957</v>
      </c>
      <c r="AB37" s="11">
        <v>1.570728689452245</v>
      </c>
      <c r="AC37" s="11">
        <v>1.8488914751102521</v>
      </c>
      <c r="AD37" s="15">
        <v>188322.03206586599</v>
      </c>
      <c r="AE37" s="11">
        <v>169.02543780633809</v>
      </c>
      <c r="AF37" s="11">
        <f>(Opti_Medias__30_ALL_DATA_1[[#This Row],[All: TS Index]]-AA$114) /ABS(AA$114)</f>
        <v>-0.49549072515337378</v>
      </c>
      <c r="AG37" s="11">
        <f>(Opti_Medias__30_ALL_DATA_1[[#This Row],[All: Expectancy Score]]-AB$114) /ABS(AB$114)</f>
        <v>-0.4608404854400529</v>
      </c>
      <c r="AH37" s="11"/>
      <c r="AI37" s="11">
        <f>(Opti_Medias__30_ALL_DATA_1[[#This Row],[All: Perfect Profit Correlation]]-AD$114) /ABS(AD$114)</f>
        <v>-0.38902203629531751</v>
      </c>
      <c r="AJ37" s="11">
        <f>(Opti_Medias__30_ALL_DATA_1[[#This Row],[All: Robustness Index]]-AE$114) /ABS(AE$114)</f>
        <v>-0.79697422826526698</v>
      </c>
      <c r="AK37" s="11">
        <f>SUM(Opti_Medias__30_ALL_DATA_1[[#This Row],[VAR TS Index]:[VAR Robustness Index]])</f>
        <v>-2.1423274751540111</v>
      </c>
      <c r="AL37" s="11">
        <f>Opti_Medias__30_ALL_DATA_1[[#This Row],[SUMA]]-Opti_Medias__30_ALL_DATA_1[[#This Row],[VAR Robustness Index]]</f>
        <v>-1.3453532468887441</v>
      </c>
    </row>
    <row r="38" spans="1:38" x14ac:dyDescent="0.25">
      <c r="A38" s="11"/>
      <c r="B38" s="89">
        <v>33</v>
      </c>
      <c r="C38" s="89">
        <v>2</v>
      </c>
      <c r="D38" s="89">
        <v>78</v>
      </c>
      <c r="E38" s="10">
        <v>181310</v>
      </c>
      <c r="F38" s="10">
        <v>2080050</v>
      </c>
      <c r="G38" s="10">
        <v>-1898740</v>
      </c>
      <c r="H38" s="89">
        <v>4823</v>
      </c>
      <c r="I38" s="11">
        <v>28.011611030478957</v>
      </c>
      <c r="J38" s="89">
        <v>1351</v>
      </c>
      <c r="K38" s="89">
        <v>3461</v>
      </c>
      <c r="L38" s="12">
        <v>16320</v>
      </c>
      <c r="M38" s="12">
        <v>-4370</v>
      </c>
      <c r="N38" s="12">
        <v>1539.6373291015625</v>
      </c>
      <c r="O38" s="12">
        <v>-548.6102294921875</v>
      </c>
      <c r="P38" s="11">
        <v>2.8064320465309289</v>
      </c>
      <c r="Q38" s="13">
        <v>37.592784573916653</v>
      </c>
      <c r="R38" s="89">
        <v>7</v>
      </c>
      <c r="S38" s="89">
        <v>18</v>
      </c>
      <c r="T38" s="89">
        <v>99</v>
      </c>
      <c r="U38" s="89">
        <v>22</v>
      </c>
      <c r="V38" s="12">
        <v>-46475</v>
      </c>
      <c r="W38" s="11">
        <v>1.095489640498436</v>
      </c>
      <c r="X38" s="89">
        <v>1</v>
      </c>
      <c r="Y38" s="12">
        <v>46475</v>
      </c>
      <c r="Z38" s="11">
        <v>390.12372243141476</v>
      </c>
      <c r="AA38" s="14">
        <v>5270.5714900484136</v>
      </c>
      <c r="AB38" s="11">
        <v>2.1854376370087878</v>
      </c>
      <c r="AC38" s="11">
        <v>1.569940499870768</v>
      </c>
      <c r="AD38" s="15">
        <v>172404.89143225539</v>
      </c>
      <c r="AE38" s="11">
        <v>103.3358349495537</v>
      </c>
      <c r="AF38" s="11">
        <f>(Opti_Medias__30_ALL_DATA_1[[#This Row],[All: TS Index]]-AA$114) /ABS(AA$114)</f>
        <v>-0.66832582089444525</v>
      </c>
      <c r="AG38" s="11">
        <f>(Opti_Medias__30_ALL_DATA_1[[#This Row],[All: Expectancy Score]]-AB$114) /ABS(AB$114)</f>
        <v>-0.24983894202530904</v>
      </c>
      <c r="AH38" s="11"/>
      <c r="AI38" s="11">
        <f>(Opti_Medias__30_ALL_DATA_1[[#This Row],[All: Perfect Profit Correlation]]-AD$114) /ABS(AD$114)</f>
        <v>-0.44066242093668079</v>
      </c>
      <c r="AJ38" s="11">
        <f>(Opti_Medias__30_ALL_DATA_1[[#This Row],[All: Robustness Index]]-AE$114) /ABS(AE$114)</f>
        <v>-0.87587763172946842</v>
      </c>
      <c r="AK38" s="11">
        <f>SUM(Opti_Medias__30_ALL_DATA_1[[#This Row],[VAR TS Index]:[VAR Robustness Index]])</f>
        <v>-2.2347048155859035</v>
      </c>
      <c r="AL38" s="11">
        <f>Opti_Medias__30_ALL_DATA_1[[#This Row],[SUMA]]-Opti_Medias__30_ALL_DATA_1[[#This Row],[VAR Robustness Index]]</f>
        <v>-1.3588271838564352</v>
      </c>
    </row>
    <row r="39" spans="1:38" x14ac:dyDescent="0.25">
      <c r="A39" s="11"/>
      <c r="B39" s="89">
        <v>19</v>
      </c>
      <c r="C39" s="89">
        <v>11</v>
      </c>
      <c r="D39" s="89">
        <v>469</v>
      </c>
      <c r="E39" s="10">
        <v>230840</v>
      </c>
      <c r="F39" s="10">
        <v>2362140</v>
      </c>
      <c r="G39" s="10">
        <v>-2131300</v>
      </c>
      <c r="H39" s="89">
        <v>5215</v>
      </c>
      <c r="I39" s="11">
        <v>42.991371045062323</v>
      </c>
      <c r="J39" s="89">
        <v>2242</v>
      </c>
      <c r="K39" s="89">
        <v>2940</v>
      </c>
      <c r="L39" s="12">
        <v>17020</v>
      </c>
      <c r="M39" s="12">
        <v>-4880</v>
      </c>
      <c r="N39" s="12">
        <v>1053.5860595703125</v>
      </c>
      <c r="O39" s="12">
        <v>-724.93194580078125</v>
      </c>
      <c r="P39" s="11">
        <v>1.4533585747921349</v>
      </c>
      <c r="Q39" s="13">
        <v>44.264621284755513</v>
      </c>
      <c r="R39" s="89">
        <v>9</v>
      </c>
      <c r="S39" s="89">
        <v>12</v>
      </c>
      <c r="T39" s="89">
        <v>57</v>
      </c>
      <c r="U39" s="89">
        <v>28</v>
      </c>
      <c r="V39" s="12">
        <v>-53095</v>
      </c>
      <c r="W39" s="11">
        <v>1.108309482475484</v>
      </c>
      <c r="X39" s="89">
        <v>1</v>
      </c>
      <c r="Y39" s="12">
        <v>53095</v>
      </c>
      <c r="Z39" s="11">
        <v>434.7678689142104</v>
      </c>
      <c r="AA39" s="14">
        <v>9747.4956210565961</v>
      </c>
      <c r="AB39" s="11">
        <v>0.88170846236920697</v>
      </c>
      <c r="AC39" s="11">
        <v>2.20260041662636</v>
      </c>
      <c r="AD39" s="15">
        <v>220195.64626898491</v>
      </c>
      <c r="AE39" s="11">
        <v>229.28831763700961</v>
      </c>
      <c r="AF39" s="11">
        <f>(Opti_Medias__30_ALL_DATA_1[[#This Row],[All: TS Index]]-AA$114) /ABS(AA$114)</f>
        <v>-0.38659543570307592</v>
      </c>
      <c r="AG39" s="11">
        <f>(Opti_Medias__30_ALL_DATA_1[[#This Row],[All: Expectancy Score]]-AB$114) /ABS(AB$114)</f>
        <v>-0.69734970160877541</v>
      </c>
      <c r="AH39" s="11"/>
      <c r="AI39" s="11">
        <f>(Opti_Medias__30_ALL_DATA_1[[#This Row],[All: Perfect Profit Correlation]]-AD$114) /ABS(AD$114)</f>
        <v>-0.28561365816715911</v>
      </c>
      <c r="AJ39" s="11">
        <f>(Opti_Medias__30_ALL_DATA_1[[#This Row],[All: Robustness Index]]-AE$114) /ABS(AE$114)</f>
        <v>-0.72458916100339255</v>
      </c>
      <c r="AK39" s="11">
        <f>SUM(Opti_Medias__30_ALL_DATA_1[[#This Row],[VAR TS Index]:[VAR Robustness Index]])</f>
        <v>-2.094147956482403</v>
      </c>
      <c r="AL39" s="11">
        <f>Opti_Medias__30_ALL_DATA_1[[#This Row],[SUMA]]-Opti_Medias__30_ALL_DATA_1[[#This Row],[VAR Robustness Index]]</f>
        <v>-1.3695587954790105</v>
      </c>
    </row>
    <row r="40" spans="1:38" x14ac:dyDescent="0.25">
      <c r="A40" s="11"/>
      <c r="B40" s="89">
        <v>27</v>
      </c>
      <c r="C40" s="89">
        <v>8</v>
      </c>
      <c r="D40" s="89">
        <v>342</v>
      </c>
      <c r="E40" s="10">
        <v>230220</v>
      </c>
      <c r="F40" s="10">
        <v>2280280</v>
      </c>
      <c r="G40" s="10">
        <v>-2050060</v>
      </c>
      <c r="H40" s="89">
        <v>5073</v>
      </c>
      <c r="I40" s="11">
        <v>33.550167553715752</v>
      </c>
      <c r="J40" s="89">
        <v>1702</v>
      </c>
      <c r="K40" s="89">
        <v>3355</v>
      </c>
      <c r="L40" s="12">
        <v>17090</v>
      </c>
      <c r="M40" s="12">
        <v>-5240</v>
      </c>
      <c r="N40" s="12">
        <v>1339.7650146484375</v>
      </c>
      <c r="O40" s="12">
        <v>-611.04620361328125</v>
      </c>
      <c r="P40" s="11">
        <v>2.1925756296758658</v>
      </c>
      <c r="Q40" s="13">
        <v>45.381431105854524</v>
      </c>
      <c r="R40" s="89">
        <v>11</v>
      </c>
      <c r="S40" s="89">
        <v>16</v>
      </c>
      <c r="T40" s="89">
        <v>75</v>
      </c>
      <c r="U40" s="89">
        <v>24</v>
      </c>
      <c r="V40" s="12">
        <v>-40305</v>
      </c>
      <c r="W40" s="11">
        <v>1.112299152219935</v>
      </c>
      <c r="X40" s="89">
        <v>1</v>
      </c>
      <c r="Y40" s="12">
        <v>40305</v>
      </c>
      <c r="Z40" s="11">
        <v>571.19464086341645</v>
      </c>
      <c r="AA40" s="14">
        <v>9721.732787495348</v>
      </c>
      <c r="AB40" s="11">
        <v>0.90556741148048503</v>
      </c>
      <c r="AC40" s="11">
        <v>2.1034082919358248</v>
      </c>
      <c r="AD40" s="15">
        <v>209541.033971058</v>
      </c>
      <c r="AE40" s="11">
        <v>246.93832546864161</v>
      </c>
      <c r="AF40" s="11">
        <f>(Opti_Medias__30_ALL_DATA_1[[#This Row],[All: TS Index]]-AA$114) /ABS(AA$114)</f>
        <v>-0.38821667671820947</v>
      </c>
      <c r="AG40" s="11">
        <f>(Opti_Medias__30_ALL_DATA_1[[#This Row],[All: Expectancy Score]]-AB$114) /ABS(AB$114)</f>
        <v>-0.68916001264012683</v>
      </c>
      <c r="AH40" s="11"/>
      <c r="AI40" s="11">
        <f>(Opti_Medias__30_ALL_DATA_1[[#This Row],[All: Perfect Profit Correlation]]-AD$114) /ABS(AD$114)</f>
        <v>-0.32018068813406952</v>
      </c>
      <c r="AJ40" s="11">
        <f>(Opti_Medias__30_ALL_DATA_1[[#This Row],[All: Robustness Index]]-AE$114) /ABS(AE$114)</f>
        <v>-0.70338876355051405</v>
      </c>
      <c r="AK40" s="11">
        <f>SUM(Opti_Medias__30_ALL_DATA_1[[#This Row],[VAR TS Index]:[VAR Robustness Index]])</f>
        <v>-2.10094614104292</v>
      </c>
      <c r="AL40" s="11">
        <f>Opti_Medias__30_ALL_DATA_1[[#This Row],[SUMA]]-Opti_Medias__30_ALL_DATA_1[[#This Row],[VAR Robustness Index]]</f>
        <v>-1.3975573774924059</v>
      </c>
    </row>
    <row r="41" spans="1:38" x14ac:dyDescent="0.25">
      <c r="A41" s="11"/>
      <c r="B41" s="89">
        <v>21</v>
      </c>
      <c r="C41" s="89">
        <v>11</v>
      </c>
      <c r="D41" s="89">
        <v>471</v>
      </c>
      <c r="E41" s="10">
        <v>236320</v>
      </c>
      <c r="F41" s="10">
        <v>2358390</v>
      </c>
      <c r="G41" s="10">
        <v>-2122070</v>
      </c>
      <c r="H41" s="89">
        <v>5267</v>
      </c>
      <c r="I41" s="11">
        <v>42.282134042149231</v>
      </c>
      <c r="J41" s="89">
        <v>2227</v>
      </c>
      <c r="K41" s="89">
        <v>3020</v>
      </c>
      <c r="L41" s="12">
        <v>16700</v>
      </c>
      <c r="M41" s="12">
        <v>-6220</v>
      </c>
      <c r="N41" s="12">
        <v>1058.9986572265625</v>
      </c>
      <c r="O41" s="12">
        <v>-702.67218017578125</v>
      </c>
      <c r="P41" s="11">
        <v>1.507102013006467</v>
      </c>
      <c r="Q41" s="13">
        <v>44.86804632618189</v>
      </c>
      <c r="R41" s="89">
        <v>9</v>
      </c>
      <c r="S41" s="89">
        <v>14</v>
      </c>
      <c r="T41" s="89">
        <v>58</v>
      </c>
      <c r="U41" s="89">
        <v>27</v>
      </c>
      <c r="V41" s="12">
        <v>-53715</v>
      </c>
      <c r="W41" s="11">
        <v>1.111362961636515</v>
      </c>
      <c r="X41" s="89">
        <v>1</v>
      </c>
      <c r="Y41" s="12">
        <v>53715</v>
      </c>
      <c r="Z41" s="11">
        <v>439.95159638834588</v>
      </c>
      <c r="AA41" s="14">
        <v>9797.7220515684639</v>
      </c>
      <c r="AB41" s="11">
        <v>0.75295699859956899</v>
      </c>
      <c r="AC41" s="11">
        <v>2.2495970510958019</v>
      </c>
      <c r="AD41" s="15">
        <v>223596.87971694791</v>
      </c>
      <c r="AE41" s="11">
        <v>336.25438627283955</v>
      </c>
      <c r="AF41" s="11">
        <f>(Opti_Medias__30_ALL_DATA_1[[#This Row],[All: TS Index]]-AA$114) /ABS(AA$114)</f>
        <v>-0.38343471392159928</v>
      </c>
      <c r="AG41" s="11">
        <f>(Opti_Medias__30_ALL_DATA_1[[#This Row],[All: Expectancy Score]]-AB$114) /ABS(AB$114)</f>
        <v>-0.74154420647207453</v>
      </c>
      <c r="AH41" s="11"/>
      <c r="AI41" s="11">
        <f>(Opti_Medias__30_ALL_DATA_1[[#This Row],[All: Perfect Profit Correlation]]-AD$114) /ABS(AD$114)</f>
        <v>-0.27457894988940501</v>
      </c>
      <c r="AJ41" s="11">
        <f>(Opti_Medias__30_ALL_DATA_1[[#This Row],[All: Robustness Index]]-AE$114) /ABS(AE$114)</f>
        <v>-0.59610631891720889</v>
      </c>
      <c r="AK41" s="11">
        <f>SUM(Opti_Medias__30_ALL_DATA_1[[#This Row],[VAR TS Index]:[VAR Robustness Index]])</f>
        <v>-1.9956641892002875</v>
      </c>
      <c r="AL41" s="11">
        <f>Opti_Medias__30_ALL_DATA_1[[#This Row],[SUMA]]-Opti_Medias__30_ALL_DATA_1[[#This Row],[VAR Robustness Index]]</f>
        <v>-1.3995578702830787</v>
      </c>
    </row>
    <row r="42" spans="1:38" x14ac:dyDescent="0.25">
      <c r="A42" s="11"/>
      <c r="B42" s="89">
        <v>11</v>
      </c>
      <c r="C42" s="89">
        <v>8</v>
      </c>
      <c r="D42" s="89">
        <v>326</v>
      </c>
      <c r="E42" s="10">
        <v>259920</v>
      </c>
      <c r="F42" s="10">
        <v>2437640</v>
      </c>
      <c r="G42" s="10">
        <v>-2177720</v>
      </c>
      <c r="H42" s="89">
        <v>5457</v>
      </c>
      <c r="I42" s="11">
        <v>36.705149349459411</v>
      </c>
      <c r="J42" s="89">
        <v>2003</v>
      </c>
      <c r="K42" s="89">
        <v>3439</v>
      </c>
      <c r="L42" s="12">
        <v>17970</v>
      </c>
      <c r="M42" s="12">
        <v>-6520</v>
      </c>
      <c r="N42" s="12">
        <v>1216.9945068359375</v>
      </c>
      <c r="O42" s="12">
        <v>-633.24224853515625</v>
      </c>
      <c r="P42" s="11">
        <v>1.921846670292676</v>
      </c>
      <c r="Q42" s="13">
        <v>47.630566245189662</v>
      </c>
      <c r="R42" s="89">
        <v>7</v>
      </c>
      <c r="S42" s="89">
        <v>15</v>
      </c>
      <c r="T42" s="89">
        <v>62</v>
      </c>
      <c r="U42" s="89">
        <v>25</v>
      </c>
      <c r="V42" s="12">
        <v>-47465</v>
      </c>
      <c r="W42" s="11">
        <v>1.119354186947817</v>
      </c>
      <c r="X42" s="89">
        <v>1</v>
      </c>
      <c r="Y42" s="12">
        <v>47465</v>
      </c>
      <c r="Z42" s="11">
        <v>547.60349731381018</v>
      </c>
      <c r="AA42" s="14">
        <v>10968.498051195618</v>
      </c>
      <c r="AB42" s="11">
        <v>0.38745553411895101</v>
      </c>
      <c r="AC42" s="11">
        <v>2.4258876286229309</v>
      </c>
      <c r="AD42" s="15">
        <v>237073.52199380996</v>
      </c>
      <c r="AE42" s="11">
        <v>276.36040917236488</v>
      </c>
      <c r="AF42" s="11">
        <f>(Opti_Medias__30_ALL_DATA_1[[#This Row],[All: TS Index]]-AA$114) /ABS(AA$114)</f>
        <v>-0.3097584210706214</v>
      </c>
      <c r="AG42" s="11">
        <f>(Opti_Medias__30_ALL_DATA_1[[#This Row],[All: Expectancy Score]]-AB$114) /ABS(AB$114)</f>
        <v>-0.86700418787028855</v>
      </c>
      <c r="AH42" s="11"/>
      <c r="AI42" s="11">
        <f>(Opti_Medias__30_ALL_DATA_1[[#This Row],[All: Perfect Profit Correlation]]-AD$114) /ABS(AD$114)</f>
        <v>-0.23085633620704105</v>
      </c>
      <c r="AJ42" s="11">
        <f>(Opti_Medias__30_ALL_DATA_1[[#This Row],[All: Robustness Index]]-AE$114) /ABS(AE$114)</f>
        <v>-0.66804827677220779</v>
      </c>
      <c r="AK42" s="11">
        <f>SUM(Opti_Medias__30_ALL_DATA_1[[#This Row],[VAR TS Index]:[VAR Robustness Index]])</f>
        <v>-2.0756672219201588</v>
      </c>
      <c r="AL42" s="11">
        <f>Opti_Medias__30_ALL_DATA_1[[#This Row],[SUMA]]-Opti_Medias__30_ALL_DATA_1[[#This Row],[VAR Robustness Index]]</f>
        <v>-1.4076189451479511</v>
      </c>
    </row>
    <row r="43" spans="1:38" x14ac:dyDescent="0.25">
      <c r="A43" s="11"/>
      <c r="B43" s="89">
        <v>12</v>
      </c>
      <c r="C43" s="89">
        <v>8</v>
      </c>
      <c r="D43" s="89">
        <v>327</v>
      </c>
      <c r="E43" s="10">
        <v>231060</v>
      </c>
      <c r="F43" s="10">
        <v>2420140</v>
      </c>
      <c r="G43" s="10">
        <v>-2189080</v>
      </c>
      <c r="H43" s="89">
        <v>5413</v>
      </c>
      <c r="I43" s="11">
        <v>36.504710881211899</v>
      </c>
      <c r="J43" s="89">
        <v>1976</v>
      </c>
      <c r="K43" s="89">
        <v>3416</v>
      </c>
      <c r="L43" s="12">
        <v>17970</v>
      </c>
      <c r="M43" s="12">
        <v>-6520</v>
      </c>
      <c r="N43" s="12">
        <v>1224.7672119140625</v>
      </c>
      <c r="O43" s="12">
        <v>-640.83135986328125</v>
      </c>
      <c r="P43" s="11">
        <v>1.911216099310997</v>
      </c>
      <c r="Q43" s="13">
        <v>42.686125992979861</v>
      </c>
      <c r="R43" s="89">
        <v>7</v>
      </c>
      <c r="S43" s="89">
        <v>15</v>
      </c>
      <c r="T43" s="89">
        <v>63</v>
      </c>
      <c r="U43" s="89">
        <v>25</v>
      </c>
      <c r="V43" s="12">
        <v>-52525</v>
      </c>
      <c r="W43" s="11">
        <v>1.1055511904544379</v>
      </c>
      <c r="X43" s="89">
        <v>1</v>
      </c>
      <c r="Y43" s="12">
        <v>52525</v>
      </c>
      <c r="Z43" s="11">
        <v>439.90480723465015</v>
      </c>
      <c r="AA43" s="14">
        <v>8692.518990956687</v>
      </c>
      <c r="AB43" s="11">
        <v>0.99529647895835605</v>
      </c>
      <c r="AC43" s="11">
        <v>2.1407076454248459</v>
      </c>
      <c r="AD43" s="15">
        <v>209117.46550303043</v>
      </c>
      <c r="AE43" s="11">
        <v>273.14299672429433</v>
      </c>
      <c r="AF43" s="11">
        <f>(Opti_Medias__30_ALL_DATA_1[[#This Row],[All: TS Index]]-AA$114) /ABS(AA$114)</f>
        <v>-0.45298453761064117</v>
      </c>
      <c r="AG43" s="11">
        <f>(Opti_Medias__30_ALL_DATA_1[[#This Row],[All: Expectancy Score]]-AB$114) /ABS(AB$114)</f>
        <v>-0.65836011652302173</v>
      </c>
      <c r="AH43" s="11"/>
      <c r="AI43" s="11">
        <f>(Opti_Medias__30_ALL_DATA_1[[#This Row],[All: Perfect Profit Correlation]]-AD$114) /ABS(AD$114)</f>
        <v>-0.32155488209983174</v>
      </c>
      <c r="AJ43" s="11">
        <f>(Opti_Medias__30_ALL_DATA_1[[#This Row],[All: Robustness Index]]-AE$114) /ABS(AE$114)</f>
        <v>-0.6719128882397839</v>
      </c>
      <c r="AK43" s="11">
        <f>SUM(Opti_Medias__30_ALL_DATA_1[[#This Row],[VAR TS Index]:[VAR Robustness Index]])</f>
        <v>-2.1048124244732787</v>
      </c>
      <c r="AL43" s="11">
        <f>Opti_Medias__30_ALL_DATA_1[[#This Row],[SUMA]]-Opti_Medias__30_ALL_DATA_1[[#This Row],[VAR Robustness Index]]</f>
        <v>-1.4328995362334949</v>
      </c>
    </row>
    <row r="44" spans="1:38" x14ac:dyDescent="0.25">
      <c r="A44" s="11"/>
      <c r="B44" s="89">
        <v>32</v>
      </c>
      <c r="C44" s="89">
        <v>8</v>
      </c>
      <c r="D44" s="89">
        <v>347</v>
      </c>
      <c r="E44" s="10">
        <v>210750</v>
      </c>
      <c r="F44" s="10">
        <v>2329150</v>
      </c>
      <c r="G44" s="10">
        <v>-2118400</v>
      </c>
      <c r="H44" s="89">
        <v>5411</v>
      </c>
      <c r="I44" s="11">
        <v>32.193679541674364</v>
      </c>
      <c r="J44" s="89">
        <v>1742</v>
      </c>
      <c r="K44" s="89">
        <v>3649</v>
      </c>
      <c r="L44" s="12">
        <v>16890</v>
      </c>
      <c r="M44" s="12">
        <v>-5350</v>
      </c>
      <c r="N44" s="12">
        <v>1337.0550537109375</v>
      </c>
      <c r="O44" s="12">
        <v>-580.5426025390625</v>
      </c>
      <c r="P44" s="11">
        <v>2.3031127222415551</v>
      </c>
      <c r="Q44" s="13">
        <v>38.948438366290887</v>
      </c>
      <c r="R44" s="89">
        <v>11</v>
      </c>
      <c r="S44" s="89">
        <v>17</v>
      </c>
      <c r="T44" s="89">
        <v>75</v>
      </c>
      <c r="U44" s="89">
        <v>22</v>
      </c>
      <c r="V44" s="12">
        <v>-34285</v>
      </c>
      <c r="W44" s="11">
        <v>1.099485460725075</v>
      </c>
      <c r="X44" s="89">
        <v>1</v>
      </c>
      <c r="Y44" s="12">
        <v>34285</v>
      </c>
      <c r="Z44" s="11">
        <v>614.70030625638037</v>
      </c>
      <c r="AA44" s="14">
        <v>10708.079334986145</v>
      </c>
      <c r="AB44" s="11">
        <v>0.72924894324374701</v>
      </c>
      <c r="AC44" s="11">
        <v>1.9001377577961911</v>
      </c>
      <c r="AD44" s="15">
        <v>195746.92362762123</v>
      </c>
      <c r="AE44" s="11">
        <v>141.16410330126342</v>
      </c>
      <c r="AF44" s="11">
        <f>(Opti_Medias__30_ALL_DATA_1[[#This Row],[All: TS Index]]-AA$114) /ABS(AA$114)</f>
        <v>-0.32614642834565527</v>
      </c>
      <c r="AG44" s="11">
        <f>(Opti_Medias__30_ALL_DATA_1[[#This Row],[All: Expectancy Score]]-AB$114) /ABS(AB$114)</f>
        <v>-0.7496821004970845</v>
      </c>
      <c r="AH44" s="11"/>
      <c r="AI44" s="11">
        <f>(Opti_Medias__30_ALL_DATA_1[[#This Row],[All: Perfect Profit Correlation]]-AD$114) /ABS(AD$114)</f>
        <v>-0.36493327154822375</v>
      </c>
      <c r="AJ44" s="11">
        <f>(Opti_Medias__30_ALL_DATA_1[[#This Row],[All: Robustness Index]]-AE$114) /ABS(AE$114)</f>
        <v>-0.83044001313685178</v>
      </c>
      <c r="AK44" s="11">
        <f>SUM(Opti_Medias__30_ALL_DATA_1[[#This Row],[VAR TS Index]:[VAR Robustness Index]])</f>
        <v>-2.2712018135278154</v>
      </c>
      <c r="AL44" s="11">
        <f>Opti_Medias__30_ALL_DATA_1[[#This Row],[SUMA]]-Opti_Medias__30_ALL_DATA_1[[#This Row],[VAR Robustness Index]]</f>
        <v>-1.4407618003909635</v>
      </c>
    </row>
    <row r="45" spans="1:38" x14ac:dyDescent="0.25">
      <c r="A45" s="11"/>
      <c r="B45" s="89">
        <v>27</v>
      </c>
      <c r="C45" s="89">
        <v>11</v>
      </c>
      <c r="D45" s="89">
        <v>477</v>
      </c>
      <c r="E45" s="10">
        <v>206420</v>
      </c>
      <c r="F45" s="10">
        <v>2352070</v>
      </c>
      <c r="G45" s="10">
        <v>-2145650</v>
      </c>
      <c r="H45" s="89">
        <v>5241</v>
      </c>
      <c r="I45" s="11">
        <v>39.896966227819121</v>
      </c>
      <c r="J45" s="89">
        <v>2091</v>
      </c>
      <c r="K45" s="89">
        <v>3128</v>
      </c>
      <c r="L45" s="12">
        <v>17310</v>
      </c>
      <c r="M45" s="12">
        <v>-5240</v>
      </c>
      <c r="N45" s="12">
        <v>1124.8541259765625</v>
      </c>
      <c r="O45" s="12">
        <v>-685.949462890625</v>
      </c>
      <c r="P45" s="11">
        <v>1.639849853131121</v>
      </c>
      <c r="Q45" s="13">
        <v>39.38561343255104</v>
      </c>
      <c r="R45" s="89">
        <v>8</v>
      </c>
      <c r="S45" s="89">
        <v>15</v>
      </c>
      <c r="T45" s="89">
        <v>61</v>
      </c>
      <c r="U45" s="89">
        <v>26</v>
      </c>
      <c r="V45" s="12">
        <v>-38635</v>
      </c>
      <c r="W45" s="11">
        <v>1.09620394752173</v>
      </c>
      <c r="X45" s="89">
        <v>1</v>
      </c>
      <c r="Y45" s="12">
        <v>38635</v>
      </c>
      <c r="Z45" s="11">
        <v>534.28238643716838</v>
      </c>
      <c r="AA45" s="14">
        <v>11171.84470040119</v>
      </c>
      <c r="AB45" s="11">
        <v>0.61330550343745505</v>
      </c>
      <c r="AC45" s="11">
        <v>1.9334742848631929</v>
      </c>
      <c r="AD45" s="15">
        <v>198076.10379981721</v>
      </c>
      <c r="AE45" s="11">
        <v>75.851615888452912</v>
      </c>
      <c r="AF45" s="11">
        <f>(Opti_Medias__30_ALL_DATA_1[[#This Row],[All: TS Index]]-AA$114) /ABS(AA$114)</f>
        <v>-0.29696192773465796</v>
      </c>
      <c r="AG45" s="11">
        <f>(Opti_Medias__30_ALL_DATA_1[[#This Row],[All: Expectancy Score]]-AB$114) /ABS(AB$114)</f>
        <v>-0.78948019493704202</v>
      </c>
      <c r="AH45" s="11"/>
      <c r="AI45" s="11">
        <f>(Opti_Medias__30_ALL_DATA_1[[#This Row],[All: Perfect Profit Correlation]]-AD$114) /ABS(AD$114)</f>
        <v>-0.35737665300976246</v>
      </c>
      <c r="AJ45" s="11">
        <f>(Opti_Medias__30_ALL_DATA_1[[#This Row],[All: Robustness Index]]-AE$114) /ABS(AE$114)</f>
        <v>-0.90889044245089234</v>
      </c>
      <c r="AK45" s="11">
        <f>SUM(Opti_Medias__30_ALL_DATA_1[[#This Row],[VAR TS Index]:[VAR Robustness Index]])</f>
        <v>-2.3527092181323548</v>
      </c>
      <c r="AL45" s="11">
        <f>Opti_Medias__30_ALL_DATA_1[[#This Row],[SUMA]]-Opti_Medias__30_ALL_DATA_1[[#This Row],[VAR Robustness Index]]</f>
        <v>-1.4438187756814624</v>
      </c>
    </row>
    <row r="46" spans="1:38" x14ac:dyDescent="0.25">
      <c r="A46" s="11"/>
      <c r="B46" s="89">
        <v>36</v>
      </c>
      <c r="C46" s="89">
        <v>5</v>
      </c>
      <c r="D46" s="89">
        <v>216</v>
      </c>
      <c r="E46" s="4">
        <v>215510</v>
      </c>
      <c r="F46" s="4">
        <v>2183820</v>
      </c>
      <c r="G46" s="4">
        <v>-1968310</v>
      </c>
      <c r="H46" s="89">
        <v>5398</v>
      </c>
      <c r="I46" s="5">
        <v>30.752130418673584</v>
      </c>
      <c r="J46" s="89">
        <v>1660</v>
      </c>
      <c r="K46" s="89">
        <v>3707</v>
      </c>
      <c r="L46" s="6">
        <v>17360</v>
      </c>
      <c r="M46" s="6">
        <v>-4450</v>
      </c>
      <c r="N46" s="6">
        <v>1315.55419921875</v>
      </c>
      <c r="O46" s="6">
        <v>-530.97113037109375</v>
      </c>
      <c r="P46" s="5">
        <v>2.4776379052836899</v>
      </c>
      <c r="Q46" s="7">
        <v>39.924045942941831</v>
      </c>
      <c r="R46" s="89">
        <v>7</v>
      </c>
      <c r="S46" s="89">
        <v>21</v>
      </c>
      <c r="T46" s="89">
        <v>80</v>
      </c>
      <c r="U46" s="89">
        <v>21</v>
      </c>
      <c r="V46" s="6">
        <v>-50285</v>
      </c>
      <c r="W46" s="5">
        <v>1.109489866941691</v>
      </c>
      <c r="X46" s="89">
        <v>1</v>
      </c>
      <c r="Y46" s="6">
        <v>50285</v>
      </c>
      <c r="Z46" s="5">
        <v>428.57711047031916</v>
      </c>
      <c r="AA46" s="8">
        <v>7114.3800338072988</v>
      </c>
      <c r="AB46" s="5">
        <v>1.3216264164031319</v>
      </c>
      <c r="AC46" s="5">
        <v>1.94238496919849</v>
      </c>
      <c r="AD46" s="9">
        <v>200023.78306286968</v>
      </c>
      <c r="AE46" s="5">
        <v>190.05625448382173</v>
      </c>
      <c r="AF46" s="11">
        <f>(Opti_Medias__30_ALL_DATA_1[[#This Row],[All: TS Index]]-AA$114) /ABS(AA$114)</f>
        <v>-0.55229595841487955</v>
      </c>
      <c r="AG46" s="11">
        <f>(Opti_Medias__30_ALL_DATA_1[[#This Row],[All: Expectancy Score]]-AB$114) /ABS(AB$114)</f>
        <v>-0.54634593365324824</v>
      </c>
      <c r="AH46" s="11"/>
      <c r="AI46" s="11">
        <f>(Opti_Medias__30_ALL_DATA_1[[#This Row],[All: Perfect Profit Correlation]]-AD$114) /ABS(AD$114)</f>
        <v>-0.35105774758464769</v>
      </c>
      <c r="AJ46" s="11">
        <f>(Opti_Medias__30_ALL_DATA_1[[#This Row],[All: Robustness Index]]-AE$114) /ABS(AE$114)</f>
        <v>-0.77171295492338132</v>
      </c>
      <c r="AK46" s="11">
        <f>SUM(Opti_Medias__30_ALL_DATA_1[[#This Row],[VAR TS Index]:[VAR Robustness Index]])</f>
        <v>-2.2214125945761567</v>
      </c>
      <c r="AL46" s="11">
        <f>Opti_Medias__30_ALL_DATA_1[[#This Row],[SUMA]]-Opti_Medias__30_ALL_DATA_1[[#This Row],[VAR Robustness Index]]</f>
        <v>-1.4496996396527755</v>
      </c>
    </row>
    <row r="47" spans="1:38" x14ac:dyDescent="0.25">
      <c r="A47" s="11"/>
      <c r="B47" s="89">
        <v>19</v>
      </c>
      <c r="C47" s="89">
        <v>8</v>
      </c>
      <c r="D47" s="89">
        <v>334</v>
      </c>
      <c r="E47" s="10">
        <v>255400</v>
      </c>
      <c r="F47" s="10">
        <v>2327480</v>
      </c>
      <c r="G47" s="10">
        <v>-2072080</v>
      </c>
      <c r="H47" s="89">
        <v>5119</v>
      </c>
      <c r="I47" s="11">
        <v>34.596600898613012</v>
      </c>
      <c r="J47" s="89">
        <v>1771</v>
      </c>
      <c r="K47" s="89">
        <v>3330</v>
      </c>
      <c r="L47" s="12">
        <v>16840</v>
      </c>
      <c r="M47" s="12">
        <v>-5940</v>
      </c>
      <c r="N47" s="12">
        <v>1314.2178955078125</v>
      </c>
      <c r="O47" s="12">
        <v>-622.2462158203125</v>
      </c>
      <c r="P47" s="11">
        <v>2.1120544602674172</v>
      </c>
      <c r="Q47" s="13">
        <v>49.892557140066423</v>
      </c>
      <c r="R47" s="89">
        <v>7</v>
      </c>
      <c r="S47" s="89">
        <v>13</v>
      </c>
      <c r="T47" s="89">
        <v>72</v>
      </c>
      <c r="U47" s="89">
        <v>25</v>
      </c>
      <c r="V47" s="12">
        <v>-40775</v>
      </c>
      <c r="W47" s="11">
        <v>1.123257789274545</v>
      </c>
      <c r="X47" s="89">
        <v>1</v>
      </c>
      <c r="Y47" s="12">
        <v>40775</v>
      </c>
      <c r="Z47" s="11">
        <v>626.36419374616798</v>
      </c>
      <c r="AA47" s="14">
        <v>11092.909871244636</v>
      </c>
      <c r="AB47" s="11">
        <v>0.25802207298729501</v>
      </c>
      <c r="AC47" s="11">
        <v>2.3600087270317651</v>
      </c>
      <c r="AD47" s="15">
        <v>233991.9100267952</v>
      </c>
      <c r="AE47" s="11">
        <v>254.70013569046932</v>
      </c>
      <c r="AF47" s="11">
        <f>(Opti_Medias__30_ALL_DATA_1[[#This Row],[All: TS Index]]-AA$114) /ABS(AA$114)</f>
        <v>-0.30192925332976095</v>
      </c>
      <c r="AG47" s="11">
        <f>(Opti_Medias__30_ALL_DATA_1[[#This Row],[All: Expectancy Score]]-AB$114) /ABS(AB$114)</f>
        <v>-0.91143279132050858</v>
      </c>
      <c r="AH47" s="11"/>
      <c r="AI47" s="11">
        <f>(Opti_Medias__30_ALL_DATA_1[[#This Row],[All: Perfect Profit Correlation]]-AD$114) /ABS(AD$114)</f>
        <v>-0.24085408837592243</v>
      </c>
      <c r="AJ47" s="11">
        <f>(Opti_Medias__30_ALL_DATA_1[[#This Row],[All: Robustness Index]]-AE$114) /ABS(AE$114)</f>
        <v>-0.69406562538387517</v>
      </c>
      <c r="AK47" s="11">
        <f>SUM(Opti_Medias__30_ALL_DATA_1[[#This Row],[VAR TS Index]:[VAR Robustness Index]])</f>
        <v>-2.1482817584100671</v>
      </c>
      <c r="AL47" s="11">
        <f>Opti_Medias__30_ALL_DATA_1[[#This Row],[SUMA]]-Opti_Medias__30_ALL_DATA_1[[#This Row],[VAR Robustness Index]]</f>
        <v>-1.454216133026192</v>
      </c>
    </row>
    <row r="48" spans="1:38" x14ac:dyDescent="0.25">
      <c r="A48" s="11"/>
      <c r="B48" s="89">
        <v>36</v>
      </c>
      <c r="C48" s="89">
        <v>11</v>
      </c>
      <c r="D48" s="89">
        <v>486</v>
      </c>
      <c r="E48" s="4">
        <v>197660</v>
      </c>
      <c r="F48" s="4">
        <v>2314720</v>
      </c>
      <c r="G48" s="4">
        <v>-2117060</v>
      </c>
      <c r="H48" s="89">
        <v>5311</v>
      </c>
      <c r="I48" s="5">
        <v>35.266428167953308</v>
      </c>
      <c r="J48" s="89">
        <v>1873</v>
      </c>
      <c r="K48" s="89">
        <v>3407</v>
      </c>
      <c r="L48" s="6">
        <v>18560</v>
      </c>
      <c r="M48" s="6">
        <v>-5640</v>
      </c>
      <c r="N48" s="6">
        <v>1235.8355712890625</v>
      </c>
      <c r="O48" s="6">
        <v>-621.3853759765625</v>
      </c>
      <c r="P48" s="5">
        <v>1.988839163372387</v>
      </c>
      <c r="Q48" s="7">
        <v>37.217096591978908</v>
      </c>
      <c r="R48" s="89">
        <v>9</v>
      </c>
      <c r="S48" s="89">
        <v>15</v>
      </c>
      <c r="T48" s="89">
        <v>69</v>
      </c>
      <c r="U48" s="89">
        <v>23</v>
      </c>
      <c r="V48" s="6">
        <v>-69185</v>
      </c>
      <c r="W48" s="5">
        <v>1.093365327387982</v>
      </c>
      <c r="X48" s="89">
        <v>1</v>
      </c>
      <c r="Y48" s="6">
        <v>69185</v>
      </c>
      <c r="Z48" s="5">
        <v>285.69776685697769</v>
      </c>
      <c r="AA48" s="8">
        <v>5351.1191732311918</v>
      </c>
      <c r="AB48" s="5">
        <v>1.728541463406974</v>
      </c>
      <c r="AC48" s="5">
        <v>1.8044526054953971</v>
      </c>
      <c r="AD48" s="9">
        <v>177940.21511145803</v>
      </c>
      <c r="AE48" s="5">
        <v>143.10244110352781</v>
      </c>
      <c r="AF48" s="11">
        <f>(Opti_Medias__30_ALL_DATA_1[[#This Row],[All: TS Index]]-AA$114) /ABS(AA$114)</f>
        <v>-0.66325699927824178</v>
      </c>
      <c r="AG48" s="11">
        <f>(Opti_Medias__30_ALL_DATA_1[[#This Row],[All: Expectancy Score]]-AB$114) /ABS(AB$114)</f>
        <v>-0.40667055834305554</v>
      </c>
      <c r="AH48" s="11"/>
      <c r="AI48" s="11">
        <f>(Opti_Medias__30_ALL_DATA_1[[#This Row],[All: Perfect Profit Correlation]]-AD$114) /ABS(AD$114)</f>
        <v>-0.42270402938330853</v>
      </c>
      <c r="AJ48" s="11">
        <f>(Opti_Medias__30_ALL_DATA_1[[#This Row],[All: Robustness Index]]-AE$114) /ABS(AE$114)</f>
        <v>-0.82811176874183812</v>
      </c>
      <c r="AK48" s="11">
        <f>SUM(Opti_Medias__30_ALL_DATA_1[[#This Row],[VAR TS Index]:[VAR Robustness Index]])</f>
        <v>-2.3207433557464441</v>
      </c>
      <c r="AL48" s="11">
        <f>Opti_Medias__30_ALL_DATA_1[[#This Row],[SUMA]]-Opti_Medias__30_ALL_DATA_1[[#This Row],[VAR Robustness Index]]</f>
        <v>-1.4926315870046061</v>
      </c>
    </row>
    <row r="49" spans="1:38" x14ac:dyDescent="0.25">
      <c r="A49" s="11"/>
      <c r="B49" s="89">
        <v>33</v>
      </c>
      <c r="C49" s="89">
        <v>8</v>
      </c>
      <c r="D49" s="89">
        <v>348</v>
      </c>
      <c r="E49" s="10">
        <v>207650</v>
      </c>
      <c r="F49" s="10">
        <v>2342020</v>
      </c>
      <c r="G49" s="10">
        <v>-2134370</v>
      </c>
      <c r="H49" s="89">
        <v>5499</v>
      </c>
      <c r="I49" s="11">
        <v>32.005819239861793</v>
      </c>
      <c r="J49" s="89">
        <v>1760</v>
      </c>
      <c r="K49" s="89">
        <v>3720</v>
      </c>
      <c r="L49" s="12">
        <v>16890</v>
      </c>
      <c r="M49" s="12">
        <v>-4300</v>
      </c>
      <c r="N49" s="12">
        <v>1330.6932373046875</v>
      </c>
      <c r="O49" s="12">
        <v>-573.75537109375</v>
      </c>
      <c r="P49" s="11">
        <v>2.3192693338416799</v>
      </c>
      <c r="Q49" s="13">
        <v>37.761411165666487</v>
      </c>
      <c r="R49" s="89">
        <v>11</v>
      </c>
      <c r="S49" s="89">
        <v>18</v>
      </c>
      <c r="T49" s="89">
        <v>74</v>
      </c>
      <c r="U49" s="89">
        <v>21</v>
      </c>
      <c r="V49" s="12">
        <v>-33645</v>
      </c>
      <c r="W49" s="11">
        <v>1.0972886612911541</v>
      </c>
      <c r="X49" s="89">
        <v>1</v>
      </c>
      <c r="Y49" s="12">
        <v>33645</v>
      </c>
      <c r="Z49" s="11">
        <v>617.17937286372421</v>
      </c>
      <c r="AA49" s="14">
        <v>10862.356962401545</v>
      </c>
      <c r="AB49" s="11">
        <v>0.56555337849438503</v>
      </c>
      <c r="AC49" s="11">
        <v>1.868186633964307</v>
      </c>
      <c r="AD49" s="15">
        <v>193945.37127365178</v>
      </c>
      <c r="AE49" s="11">
        <v>134.36730786796733</v>
      </c>
      <c r="AF49" s="11">
        <f>(Opti_Medias__30_ALL_DATA_1[[#This Row],[All: TS Index]]-AA$114) /ABS(AA$114)</f>
        <v>-0.31643782169380136</v>
      </c>
      <c r="AG49" s="11">
        <f>(Opti_Medias__30_ALL_DATA_1[[#This Row],[All: Expectancy Score]]-AB$114) /ABS(AB$114)</f>
        <v>-0.80587132134633277</v>
      </c>
      <c r="AH49" s="11"/>
      <c r="AI49" s="11">
        <f>(Opti_Medias__30_ALL_DATA_1[[#This Row],[All: Perfect Profit Correlation]]-AD$114) /ABS(AD$114)</f>
        <v>-0.37077809372150328</v>
      </c>
      <c r="AJ49" s="11">
        <f>(Opti_Medias__30_ALL_DATA_1[[#This Row],[All: Robustness Index]]-AE$114) /ABS(AE$114)</f>
        <v>-0.83860401883964475</v>
      </c>
      <c r="AK49" s="11">
        <f>SUM(Opti_Medias__30_ALL_DATA_1[[#This Row],[VAR TS Index]:[VAR Robustness Index]])</f>
        <v>-2.3316912556012821</v>
      </c>
      <c r="AL49" s="11">
        <f>Opti_Medias__30_ALL_DATA_1[[#This Row],[SUMA]]-Opti_Medias__30_ALL_DATA_1[[#This Row],[VAR Robustness Index]]</f>
        <v>-1.4930872367616375</v>
      </c>
    </row>
    <row r="50" spans="1:38" x14ac:dyDescent="0.25">
      <c r="A50" s="11"/>
      <c r="B50" s="89">
        <v>36</v>
      </c>
      <c r="C50" s="89">
        <v>8</v>
      </c>
      <c r="D50" s="89">
        <v>351</v>
      </c>
      <c r="E50" s="10">
        <v>161490</v>
      </c>
      <c r="F50" s="10">
        <v>2390140</v>
      </c>
      <c r="G50" s="10">
        <v>-2228650</v>
      </c>
      <c r="H50" s="89">
        <v>5965</v>
      </c>
      <c r="I50" s="11">
        <v>30.578373847443419</v>
      </c>
      <c r="J50" s="89">
        <v>1824</v>
      </c>
      <c r="K50" s="89">
        <v>4118</v>
      </c>
      <c r="L50" s="12">
        <v>18070</v>
      </c>
      <c r="M50" s="12">
        <v>-4490</v>
      </c>
      <c r="N50" s="12">
        <v>1310.3837890625</v>
      </c>
      <c r="O50" s="12">
        <v>-541.19720458984375</v>
      </c>
      <c r="P50" s="11">
        <v>2.4212685837052659</v>
      </c>
      <c r="Q50" s="13">
        <v>27.07292539815591</v>
      </c>
      <c r="R50" s="89">
        <v>7</v>
      </c>
      <c r="S50" s="89">
        <v>21</v>
      </c>
      <c r="T50" s="89">
        <v>72</v>
      </c>
      <c r="U50" s="89">
        <v>19</v>
      </c>
      <c r="V50" s="12">
        <v>-51545</v>
      </c>
      <c r="W50" s="11">
        <v>1.072460906827003</v>
      </c>
      <c r="X50" s="89">
        <v>1</v>
      </c>
      <c r="Y50" s="12">
        <v>51545</v>
      </c>
      <c r="Z50" s="11">
        <v>313.29905907459499</v>
      </c>
      <c r="AA50" s="14">
        <v>5714.5748375206131</v>
      </c>
      <c r="AB50" s="11">
        <v>1.9432855784615051</v>
      </c>
      <c r="AC50" s="11">
        <v>1.402552331236615</v>
      </c>
      <c r="AD50" s="15">
        <v>147008.10582134762</v>
      </c>
      <c r="AE50" s="11">
        <v>86.975597612054173</v>
      </c>
      <c r="AF50" s="11">
        <f>(Opti_Medias__30_ALL_DATA_1[[#This Row],[All: TS Index]]-AA$114) /ABS(AA$114)</f>
        <v>-0.64038493325616597</v>
      </c>
      <c r="AG50" s="11">
        <f>(Opti_Medias__30_ALL_DATA_1[[#This Row],[All: Expectancy Score]]-AB$114) /ABS(AB$114)</f>
        <v>-0.3329586986152101</v>
      </c>
      <c r="AH50" s="11"/>
      <c r="AI50" s="11">
        <f>(Opti_Medias__30_ALL_DATA_1[[#This Row],[All: Perfect Profit Correlation]]-AD$114) /ABS(AD$114)</f>
        <v>-0.52305785914950631</v>
      </c>
      <c r="AJ50" s="11">
        <f>(Opti_Medias__30_ALL_DATA_1[[#This Row],[All: Robustness Index]]-AE$114) /ABS(AE$114)</f>
        <v>-0.89552881473669677</v>
      </c>
      <c r="AK50" s="11">
        <f>SUM(Opti_Medias__30_ALL_DATA_1[[#This Row],[VAR TS Index]:[VAR Robustness Index]])</f>
        <v>-2.3919303057575791</v>
      </c>
      <c r="AL50" s="11">
        <f>Opti_Medias__30_ALL_DATA_1[[#This Row],[SUMA]]-Opti_Medias__30_ALL_DATA_1[[#This Row],[VAR Robustness Index]]</f>
        <v>-1.4964014910208823</v>
      </c>
    </row>
    <row r="51" spans="1:38" x14ac:dyDescent="0.25">
      <c r="A51" s="11"/>
      <c r="B51" s="89">
        <v>28</v>
      </c>
      <c r="C51" s="89">
        <v>8</v>
      </c>
      <c r="D51" s="89">
        <v>343</v>
      </c>
      <c r="E51" s="10">
        <v>237820</v>
      </c>
      <c r="F51" s="10">
        <v>2285960</v>
      </c>
      <c r="G51" s="10">
        <v>-2048140</v>
      </c>
      <c r="H51" s="89">
        <v>5107</v>
      </c>
      <c r="I51" s="11">
        <v>33.365968278832973</v>
      </c>
      <c r="J51" s="89">
        <v>1704</v>
      </c>
      <c r="K51" s="89">
        <v>3386</v>
      </c>
      <c r="L51" s="12">
        <v>17090</v>
      </c>
      <c r="M51" s="12">
        <v>-5240</v>
      </c>
      <c r="N51" s="12">
        <v>1341.52587890625</v>
      </c>
      <c r="O51" s="12">
        <v>-604.88482666015625</v>
      </c>
      <c r="P51" s="11">
        <v>2.2178203515426622</v>
      </c>
      <c r="Q51" s="13">
        <v>46.567456432347761</v>
      </c>
      <c r="R51" s="89">
        <v>11</v>
      </c>
      <c r="S51" s="89">
        <v>16</v>
      </c>
      <c r="T51" s="89">
        <v>75</v>
      </c>
      <c r="U51" s="89">
        <v>24</v>
      </c>
      <c r="V51" s="12">
        <v>-39965</v>
      </c>
      <c r="W51" s="11">
        <v>1.116115109318699</v>
      </c>
      <c r="X51" s="89">
        <v>1</v>
      </c>
      <c r="Y51" s="12">
        <v>39965</v>
      </c>
      <c r="Z51" s="11">
        <v>595.07068685099466</v>
      </c>
      <c r="AA51" s="14">
        <v>10140.004503940949</v>
      </c>
      <c r="AB51" s="11">
        <v>0.35035415831725403</v>
      </c>
      <c r="AC51" s="11">
        <v>2.176402901885623</v>
      </c>
      <c r="AD51" s="15">
        <v>218663.11494420015</v>
      </c>
      <c r="AE51" s="11">
        <v>229.98567250644243</v>
      </c>
      <c r="AF51" s="11">
        <f>(Opti_Medias__30_ALL_DATA_1[[#This Row],[All: TS Index]]-AA$114) /ABS(AA$114)</f>
        <v>-0.36189506653663661</v>
      </c>
      <c r="AG51" s="11">
        <f>(Opti_Medias__30_ALL_DATA_1[[#This Row],[All: Expectancy Score]]-AB$114) /ABS(AB$114)</f>
        <v>-0.87973939790438105</v>
      </c>
      <c r="AH51" s="11"/>
      <c r="AI51" s="11">
        <f>(Opti_Medias__30_ALL_DATA_1[[#This Row],[All: Perfect Profit Correlation]]-AD$114) /ABS(AD$114)</f>
        <v>-0.29058568856561584</v>
      </c>
      <c r="AJ51" s="11">
        <f>(Opti_Medias__30_ALL_DATA_1[[#This Row],[All: Robustness Index]]-AE$114) /ABS(AE$114)</f>
        <v>-0.72375152962448863</v>
      </c>
      <c r="AK51" s="11">
        <f>SUM(Opti_Medias__30_ALL_DATA_1[[#This Row],[VAR TS Index]:[VAR Robustness Index]])</f>
        <v>-2.255971682631122</v>
      </c>
      <c r="AL51" s="11">
        <f>Opti_Medias__30_ALL_DATA_1[[#This Row],[SUMA]]-Opti_Medias__30_ALL_DATA_1[[#This Row],[VAR Robustness Index]]</f>
        <v>-1.5322201530066333</v>
      </c>
    </row>
    <row r="52" spans="1:38" x14ac:dyDescent="0.25">
      <c r="A52" s="11"/>
      <c r="B52" s="89">
        <v>33</v>
      </c>
      <c r="C52" s="89">
        <v>1</v>
      </c>
      <c r="D52" s="89">
        <v>33</v>
      </c>
      <c r="E52" s="10">
        <v>231690</v>
      </c>
      <c r="F52" s="10">
        <v>2300560</v>
      </c>
      <c r="G52" s="10">
        <v>-2068870</v>
      </c>
      <c r="H52" s="89">
        <v>5326</v>
      </c>
      <c r="I52" s="11">
        <v>33.871573413443485</v>
      </c>
      <c r="J52" s="89">
        <v>1804</v>
      </c>
      <c r="K52" s="89">
        <v>3491</v>
      </c>
      <c r="L52" s="12">
        <v>17190</v>
      </c>
      <c r="M52" s="12">
        <v>-5700</v>
      </c>
      <c r="N52" s="12">
        <v>1275.2550048828125</v>
      </c>
      <c r="O52" s="12">
        <v>-592.629638671875</v>
      </c>
      <c r="P52" s="11">
        <v>2.1518582967614468</v>
      </c>
      <c r="Q52" s="13">
        <v>43.50168982350732</v>
      </c>
      <c r="R52" s="89">
        <v>7</v>
      </c>
      <c r="S52" s="89">
        <v>14</v>
      </c>
      <c r="T52" s="89">
        <v>70</v>
      </c>
      <c r="U52" s="89">
        <v>24</v>
      </c>
      <c r="V52" s="12">
        <v>-52485</v>
      </c>
      <c r="W52" s="11">
        <v>1.111988670143605</v>
      </c>
      <c r="X52" s="89">
        <v>1</v>
      </c>
      <c r="Y52" s="12">
        <v>52485</v>
      </c>
      <c r="Z52" s="11">
        <v>441.44041154615604</v>
      </c>
      <c r="AA52" s="14">
        <v>7963.5850242926554</v>
      </c>
      <c r="AB52" s="11">
        <v>0.72313747554553298</v>
      </c>
      <c r="AC52" s="11">
        <v>2.1254076459363431</v>
      </c>
      <c r="AD52" s="15">
        <v>214611.96717925285</v>
      </c>
      <c r="AE52" s="11">
        <v>179.91638469562076</v>
      </c>
      <c r="AF52" s="11">
        <f>(Opti_Medias__30_ALL_DATA_1[[#This Row],[All: TS Index]]-AA$114) /ABS(AA$114)</f>
        <v>-0.49885595316243508</v>
      </c>
      <c r="AG52" s="11">
        <f>(Opti_Medias__30_ALL_DATA_1[[#This Row],[All: Expectancy Score]]-AB$114) /ABS(AB$114)</f>
        <v>-0.751779888599858</v>
      </c>
      <c r="AH52" s="11"/>
      <c r="AI52" s="11">
        <f>(Opti_Medias__30_ALL_DATA_1[[#This Row],[All: Perfect Profit Correlation]]-AD$114) /ABS(AD$114)</f>
        <v>-0.30372893041014193</v>
      </c>
      <c r="AJ52" s="11">
        <f>(Opti_Medias__30_ALL_DATA_1[[#This Row],[All: Robustness Index]]-AE$114) /ABS(AE$114)</f>
        <v>-0.78389251153780004</v>
      </c>
      <c r="AK52" s="11">
        <f>SUM(Opti_Medias__30_ALL_DATA_1[[#This Row],[VAR TS Index]:[VAR Robustness Index]])</f>
        <v>-2.3382572837102349</v>
      </c>
      <c r="AL52" s="11">
        <f>Opti_Medias__30_ALL_DATA_1[[#This Row],[SUMA]]-Opti_Medias__30_ALL_DATA_1[[#This Row],[VAR Robustness Index]]</f>
        <v>-1.554364772172435</v>
      </c>
    </row>
    <row r="53" spans="1:38" x14ac:dyDescent="0.25">
      <c r="A53" s="11"/>
      <c r="B53" s="89">
        <v>37</v>
      </c>
      <c r="C53" s="89">
        <v>1</v>
      </c>
      <c r="D53" s="89">
        <v>37</v>
      </c>
      <c r="E53" s="10">
        <v>182780</v>
      </c>
      <c r="F53" s="10">
        <v>2396530</v>
      </c>
      <c r="G53" s="10">
        <v>-2213750</v>
      </c>
      <c r="H53" s="89">
        <v>6002</v>
      </c>
      <c r="I53" s="11">
        <v>32.005998000666445</v>
      </c>
      <c r="J53" s="89">
        <v>1921</v>
      </c>
      <c r="K53" s="89">
        <v>4054</v>
      </c>
      <c r="L53" s="12">
        <v>18220</v>
      </c>
      <c r="M53" s="12">
        <v>-4830</v>
      </c>
      <c r="N53" s="12">
        <v>1247.54296875</v>
      </c>
      <c r="O53" s="12">
        <v>-546.06561279296875</v>
      </c>
      <c r="P53" s="11">
        <v>2.2846026915505191</v>
      </c>
      <c r="Q53" s="13">
        <v>30.453182272575809</v>
      </c>
      <c r="R53" s="89">
        <v>7</v>
      </c>
      <c r="S53" s="89">
        <v>19</v>
      </c>
      <c r="T53" s="89">
        <v>67</v>
      </c>
      <c r="U53" s="89">
        <v>20</v>
      </c>
      <c r="V53" s="12">
        <v>-57355</v>
      </c>
      <c r="W53" s="11">
        <v>1.0825657820440431</v>
      </c>
      <c r="X53" s="89">
        <v>1</v>
      </c>
      <c r="Y53" s="12">
        <v>57355</v>
      </c>
      <c r="Z53" s="11">
        <v>318.68189347049082</v>
      </c>
      <c r="AA53" s="14">
        <v>6121.879173568128</v>
      </c>
      <c r="AB53" s="11">
        <v>1.564572199276639</v>
      </c>
      <c r="AC53" s="11">
        <v>1.6286973306832511</v>
      </c>
      <c r="AD53" s="15">
        <v>160951.47545408702</v>
      </c>
      <c r="AE53" s="11">
        <v>181.37812813660551</v>
      </c>
      <c r="AF53" s="11">
        <f>(Opti_Medias__30_ALL_DATA_1[[#This Row],[All: TS Index]]-AA$114) /ABS(AA$114)</f>
        <v>-0.61475349432022408</v>
      </c>
      <c r="AG53" s="11">
        <f>(Opti_Medias__30_ALL_DATA_1[[#This Row],[All: Expectancy Score]]-AB$114) /ABS(AB$114)</f>
        <v>-0.46295372770573684</v>
      </c>
      <c r="AH53" s="11"/>
      <c r="AI53" s="11">
        <f>(Opti_Medias__30_ALL_DATA_1[[#This Row],[All: Perfect Profit Correlation]]-AD$114) /ABS(AD$114)</f>
        <v>-0.47782103002261339</v>
      </c>
      <c r="AJ53" s="11">
        <f>(Opti_Medias__30_ALL_DATA_1[[#This Row],[All: Robustness Index]]-AE$114) /ABS(AE$114)</f>
        <v>-0.78213673090480362</v>
      </c>
      <c r="AK53" s="11">
        <f>SUM(Opti_Medias__30_ALL_DATA_1[[#This Row],[VAR TS Index]:[VAR Robustness Index]])</f>
        <v>-2.337664982953378</v>
      </c>
      <c r="AL53" s="11">
        <f>Opti_Medias__30_ALL_DATA_1[[#This Row],[SUMA]]-Opti_Medias__30_ALL_DATA_1[[#This Row],[VAR Robustness Index]]</f>
        <v>-1.5555282520485743</v>
      </c>
    </row>
    <row r="54" spans="1:38" x14ac:dyDescent="0.25">
      <c r="A54" s="11"/>
      <c r="B54" s="89">
        <v>30</v>
      </c>
      <c r="C54" s="89">
        <v>8</v>
      </c>
      <c r="D54" s="89">
        <v>345</v>
      </c>
      <c r="E54" s="10">
        <v>218850</v>
      </c>
      <c r="F54" s="10">
        <v>2303380</v>
      </c>
      <c r="G54" s="10">
        <v>-2084530</v>
      </c>
      <c r="H54" s="89">
        <v>5223</v>
      </c>
      <c r="I54" s="11">
        <v>32.950411640819453</v>
      </c>
      <c r="J54" s="89">
        <v>1721</v>
      </c>
      <c r="K54" s="89">
        <v>3480</v>
      </c>
      <c r="L54" s="12">
        <v>16890</v>
      </c>
      <c r="M54" s="12">
        <v>-5240</v>
      </c>
      <c r="N54" s="12">
        <v>1338.396240234375</v>
      </c>
      <c r="O54" s="12">
        <v>-599.00286865234375</v>
      </c>
      <c r="P54" s="11">
        <v>2.234373673778129</v>
      </c>
      <c r="Q54" s="13">
        <v>41.901206203331419</v>
      </c>
      <c r="R54" s="89">
        <v>11</v>
      </c>
      <c r="S54" s="89">
        <v>16</v>
      </c>
      <c r="T54" s="89">
        <v>75</v>
      </c>
      <c r="U54" s="89">
        <v>23</v>
      </c>
      <c r="V54" s="12">
        <v>-34915</v>
      </c>
      <c r="W54" s="11">
        <v>1.1049876950679529</v>
      </c>
      <c r="X54" s="89">
        <v>1</v>
      </c>
      <c r="Y54" s="12">
        <v>34915</v>
      </c>
      <c r="Z54" s="11">
        <v>626.80796219389947</v>
      </c>
      <c r="AA54" s="14">
        <v>10787.36502935701</v>
      </c>
      <c r="AB54" s="11">
        <v>0.295127262106615</v>
      </c>
      <c r="AC54" s="11">
        <v>1.986628074381573</v>
      </c>
      <c r="AD54" s="15">
        <v>202914.88085770849</v>
      </c>
      <c r="AE54" s="11">
        <v>188.24115577874636</v>
      </c>
      <c r="AF54" s="11">
        <f>(Opti_Medias__30_ALL_DATA_1[[#This Row],[All: TS Index]]-AA$114) /ABS(AA$114)</f>
        <v>-0.3211570229946562</v>
      </c>
      <c r="AG54" s="11">
        <f>(Opti_Medias__30_ALL_DATA_1[[#This Row],[All: Expectancy Score]]-AB$114) /ABS(AB$114)</f>
        <v>-0.89869627234841021</v>
      </c>
      <c r="AH54" s="11"/>
      <c r="AI54" s="11">
        <f>(Opti_Medias__30_ALL_DATA_1[[#This Row],[All: Perfect Profit Correlation]]-AD$114) /ABS(AD$114)</f>
        <v>-0.34167808539544664</v>
      </c>
      <c r="AJ54" s="11">
        <f>(Opti_Medias__30_ALL_DATA_1[[#This Row],[All: Robustness Index]]-AE$114) /ABS(AE$114)</f>
        <v>-0.77389317004458025</v>
      </c>
      <c r="AK54" s="11">
        <f>SUM(Opti_Medias__30_ALL_DATA_1[[#This Row],[VAR TS Index]:[VAR Robustness Index]])</f>
        <v>-2.3354245507830935</v>
      </c>
      <c r="AL54" s="11">
        <f>Opti_Medias__30_ALL_DATA_1[[#This Row],[SUMA]]-Opti_Medias__30_ALL_DATA_1[[#This Row],[VAR Robustness Index]]</f>
        <v>-1.5615313807385132</v>
      </c>
    </row>
    <row r="55" spans="1:38" x14ac:dyDescent="0.25">
      <c r="A55" s="11"/>
      <c r="B55" s="89">
        <v>37</v>
      </c>
      <c r="C55" s="89">
        <v>2</v>
      </c>
      <c r="D55" s="89">
        <v>82</v>
      </c>
      <c r="E55" s="10">
        <v>142790</v>
      </c>
      <c r="F55" s="10">
        <v>2206300</v>
      </c>
      <c r="G55" s="10">
        <v>-2063510</v>
      </c>
      <c r="H55" s="89">
        <v>5795</v>
      </c>
      <c r="I55" s="11">
        <v>26.24676445211389</v>
      </c>
      <c r="J55" s="89">
        <v>1521</v>
      </c>
      <c r="K55" s="89">
        <v>4256</v>
      </c>
      <c r="L55" s="12">
        <v>17460</v>
      </c>
      <c r="M55" s="12">
        <v>-4300</v>
      </c>
      <c r="N55" s="12">
        <v>1450.558837890625</v>
      </c>
      <c r="O55" s="12">
        <v>-484.84725952148438</v>
      </c>
      <c r="P55" s="11">
        <v>2.9917851640993929</v>
      </c>
      <c r="Q55" s="13">
        <v>24.640207075064712</v>
      </c>
      <c r="R55" s="89">
        <v>6</v>
      </c>
      <c r="S55" s="89">
        <v>22</v>
      </c>
      <c r="T55" s="89">
        <v>88</v>
      </c>
      <c r="U55" s="89">
        <v>18</v>
      </c>
      <c r="V55" s="12">
        <v>-57805</v>
      </c>
      <c r="W55" s="11">
        <v>1.069197629282145</v>
      </c>
      <c r="X55" s="89">
        <v>1</v>
      </c>
      <c r="Y55" s="12">
        <v>57805</v>
      </c>
      <c r="Z55" s="11">
        <v>247.02015396591992</v>
      </c>
      <c r="AA55" s="14">
        <v>3757.1765418216419</v>
      </c>
      <c r="AB55" s="11">
        <v>2.2719688623432579</v>
      </c>
      <c r="AC55" s="11">
        <v>1.1784868408872069</v>
      </c>
      <c r="AD55" s="15">
        <v>128415.68108505401</v>
      </c>
      <c r="AE55" s="11">
        <v>121.75380217793558</v>
      </c>
      <c r="AF55" s="11">
        <f>(Opti_Medias__30_ALL_DATA_1[[#This Row],[All: TS Index]]-AA$114) /ABS(AA$114)</f>
        <v>-0.76356293665378328</v>
      </c>
      <c r="AG55" s="11">
        <f>(Opti_Medias__30_ALL_DATA_1[[#This Row],[All: Expectancy Score]]-AB$114) /ABS(AB$114)</f>
        <v>-0.22013671925513742</v>
      </c>
      <c r="AH55" s="11"/>
      <c r="AI55" s="11">
        <f>(Opti_Medias__30_ALL_DATA_1[[#This Row],[All: Perfect Profit Correlation]]-AD$114) /ABS(AD$114)</f>
        <v>-0.58337773612354094</v>
      </c>
      <c r="AJ55" s="11">
        <f>(Opti_Medias__30_ALL_DATA_1[[#This Row],[All: Robustness Index]]-AE$114) /ABS(AE$114)</f>
        <v>-0.85375479590749237</v>
      </c>
      <c r="AK55" s="11">
        <f>SUM(Opti_Medias__30_ALL_DATA_1[[#This Row],[VAR TS Index]:[VAR Robustness Index]])</f>
        <v>-2.4208321879399541</v>
      </c>
      <c r="AL55" s="11">
        <f>Opti_Medias__30_ALL_DATA_1[[#This Row],[SUMA]]-Opti_Medias__30_ALL_DATA_1[[#This Row],[VAR Robustness Index]]</f>
        <v>-1.5670773920324619</v>
      </c>
    </row>
    <row r="56" spans="1:38" x14ac:dyDescent="0.25">
      <c r="A56" s="11"/>
      <c r="B56" s="89">
        <v>34</v>
      </c>
      <c r="C56" s="89">
        <v>2</v>
      </c>
      <c r="D56" s="89">
        <v>79</v>
      </c>
      <c r="E56" s="10">
        <v>154090</v>
      </c>
      <c r="F56" s="10">
        <v>2105170</v>
      </c>
      <c r="G56" s="10">
        <v>-1951080</v>
      </c>
      <c r="H56" s="89">
        <v>5035</v>
      </c>
      <c r="I56" s="11">
        <v>27.24925521350546</v>
      </c>
      <c r="J56" s="89">
        <v>1372</v>
      </c>
      <c r="K56" s="89">
        <v>3650</v>
      </c>
      <c r="L56" s="12">
        <v>16320</v>
      </c>
      <c r="M56" s="12">
        <v>-4450</v>
      </c>
      <c r="N56" s="12">
        <v>1534.3804931640625</v>
      </c>
      <c r="O56" s="12">
        <v>-534.54248046875</v>
      </c>
      <c r="P56" s="11">
        <v>2.870455668590711</v>
      </c>
      <c r="Q56" s="13">
        <v>30.60377358490566</v>
      </c>
      <c r="R56" s="89">
        <v>6</v>
      </c>
      <c r="S56" s="89">
        <v>20</v>
      </c>
      <c r="T56" s="89">
        <v>97</v>
      </c>
      <c r="U56" s="89">
        <v>21</v>
      </c>
      <c r="V56" s="12">
        <v>-49965</v>
      </c>
      <c r="W56" s="11">
        <v>1.0789767718391861</v>
      </c>
      <c r="X56" s="89">
        <v>1</v>
      </c>
      <c r="Y56" s="12">
        <v>49965</v>
      </c>
      <c r="Z56" s="11">
        <v>308.39587711397979</v>
      </c>
      <c r="AA56" s="14">
        <v>4231.1914340038029</v>
      </c>
      <c r="AB56" s="11">
        <v>2.016535365653866</v>
      </c>
      <c r="AC56" s="11">
        <v>1.295502581109123</v>
      </c>
      <c r="AD56" s="15">
        <v>142658.63609151007</v>
      </c>
      <c r="AE56" s="11">
        <v>147.94479837179335</v>
      </c>
      <c r="AF56" s="11">
        <f>(Opti_Medias__30_ALL_DATA_1[[#This Row],[All: TS Index]]-AA$114) /ABS(AA$114)</f>
        <v>-0.73373343893324638</v>
      </c>
      <c r="AG56" s="11">
        <f>(Opti_Medias__30_ALL_DATA_1[[#This Row],[All: Expectancy Score]]-AB$114) /ABS(AB$114)</f>
        <v>-0.30781538776244582</v>
      </c>
      <c r="AH56" s="11"/>
      <c r="AI56" s="11">
        <f>(Opti_Medias__30_ALL_DATA_1[[#This Row],[All: Perfect Profit Correlation]]-AD$114) /ABS(AD$114)</f>
        <v>-0.53716895454062796</v>
      </c>
      <c r="AJ56" s="11">
        <f>(Opti_Medias__30_ALL_DATA_1[[#This Row],[All: Robustness Index]]-AE$114) /ABS(AE$114)</f>
        <v>-0.82229534646739133</v>
      </c>
      <c r="AK56" s="11">
        <f>SUM(Opti_Medias__30_ALL_DATA_1[[#This Row],[VAR TS Index]:[VAR Robustness Index]])</f>
        <v>-2.4010131277037114</v>
      </c>
      <c r="AL56" s="11">
        <f>Opti_Medias__30_ALL_DATA_1[[#This Row],[SUMA]]-Opti_Medias__30_ALL_DATA_1[[#This Row],[VAR Robustness Index]]</f>
        <v>-1.5787177812363202</v>
      </c>
    </row>
    <row r="57" spans="1:38" x14ac:dyDescent="0.25">
      <c r="A57" s="11"/>
      <c r="B57" s="89">
        <v>28</v>
      </c>
      <c r="C57" s="89">
        <v>11</v>
      </c>
      <c r="D57" s="89">
        <v>478</v>
      </c>
      <c r="E57" s="10">
        <v>196610</v>
      </c>
      <c r="F57" s="10">
        <v>2349570</v>
      </c>
      <c r="G57" s="10">
        <v>-2152960</v>
      </c>
      <c r="H57" s="89">
        <v>5313</v>
      </c>
      <c r="I57" s="11">
        <v>38.546960286090723</v>
      </c>
      <c r="J57" s="89">
        <v>2048</v>
      </c>
      <c r="K57" s="89">
        <v>3233</v>
      </c>
      <c r="L57" s="12">
        <v>17080</v>
      </c>
      <c r="M57" s="12">
        <v>-4670</v>
      </c>
      <c r="N57" s="12">
        <v>1147.2509765625</v>
      </c>
      <c r="O57" s="12">
        <v>-665.93255615234375</v>
      </c>
      <c r="P57" s="11">
        <v>1.7227735240804869</v>
      </c>
      <c r="Q57" s="13">
        <v>37.005458309806137</v>
      </c>
      <c r="R57" s="89">
        <v>8</v>
      </c>
      <c r="S57" s="89">
        <v>15</v>
      </c>
      <c r="T57" s="89">
        <v>63</v>
      </c>
      <c r="U57" s="89">
        <v>25</v>
      </c>
      <c r="V57" s="12">
        <v>-43475</v>
      </c>
      <c r="W57" s="11">
        <v>1.0913207862663501</v>
      </c>
      <c r="X57" s="89">
        <v>1</v>
      </c>
      <c r="Y57" s="12">
        <v>43475</v>
      </c>
      <c r="Z57" s="11">
        <v>452.23691776883265</v>
      </c>
      <c r="AA57" s="14">
        <v>9261.8120759056928</v>
      </c>
      <c r="AB57" s="11">
        <v>0.66841377917508604</v>
      </c>
      <c r="AC57" s="11">
        <v>1.8255592444206401</v>
      </c>
      <c r="AD57" s="15">
        <v>187181.07291789079</v>
      </c>
      <c r="AE57" s="11">
        <v>157.69909577706284</v>
      </c>
      <c r="AF57" s="11">
        <f>(Opti_Medias__30_ALL_DATA_1[[#This Row],[All: TS Index]]-AA$114) /ABS(AA$114)</f>
        <v>-0.41715923536828486</v>
      </c>
      <c r="AG57" s="11">
        <f>(Opti_Medias__30_ALL_DATA_1[[#This Row],[All: Expectancy Score]]-AB$114) /ABS(AB$114)</f>
        <v>-0.77056403749084523</v>
      </c>
      <c r="AH57" s="11"/>
      <c r="AI57" s="11">
        <f>(Opti_Medias__30_ALL_DATA_1[[#This Row],[All: Perfect Profit Correlation]]-AD$114) /ABS(AD$114)</f>
        <v>-0.3927236791103032</v>
      </c>
      <c r="AJ57" s="11">
        <f>(Opti_Medias__30_ALL_DATA_1[[#This Row],[All: Robustness Index]]-AE$114) /ABS(AE$114)</f>
        <v>-0.81057892209874693</v>
      </c>
      <c r="AK57" s="11">
        <f>SUM(Opti_Medias__30_ALL_DATA_1[[#This Row],[VAR TS Index]:[VAR Robustness Index]])</f>
        <v>-2.3910258740681805</v>
      </c>
      <c r="AL57" s="11">
        <f>Opti_Medias__30_ALL_DATA_1[[#This Row],[SUMA]]-Opti_Medias__30_ALL_DATA_1[[#This Row],[VAR Robustness Index]]</f>
        <v>-1.5804469519694335</v>
      </c>
    </row>
    <row r="58" spans="1:38" x14ac:dyDescent="0.25">
      <c r="A58" s="11"/>
      <c r="B58" s="89">
        <v>34</v>
      </c>
      <c r="C58" s="89">
        <v>8</v>
      </c>
      <c r="D58" s="89">
        <v>349</v>
      </c>
      <c r="E58" s="10">
        <v>193370</v>
      </c>
      <c r="F58" s="10">
        <v>2356810</v>
      </c>
      <c r="G58" s="10">
        <v>-2163440</v>
      </c>
      <c r="H58" s="89">
        <v>5645</v>
      </c>
      <c r="I58" s="11">
        <v>31.248892825509301</v>
      </c>
      <c r="J58" s="89">
        <v>1764</v>
      </c>
      <c r="K58" s="89">
        <v>3858</v>
      </c>
      <c r="L58" s="12">
        <v>16890</v>
      </c>
      <c r="M58" s="12">
        <v>-4300</v>
      </c>
      <c r="N58" s="12">
        <v>1336.06005859375</v>
      </c>
      <c r="O58" s="12">
        <v>-560.7672119140625</v>
      </c>
      <c r="P58" s="11">
        <v>2.3825573789048509</v>
      </c>
      <c r="Q58" s="13">
        <v>34.255093002657219</v>
      </c>
      <c r="R58" s="89">
        <v>11</v>
      </c>
      <c r="S58" s="89">
        <v>18</v>
      </c>
      <c r="T58" s="89">
        <v>73</v>
      </c>
      <c r="U58" s="89">
        <v>21</v>
      </c>
      <c r="V58" s="12">
        <v>-39685</v>
      </c>
      <c r="W58" s="11">
        <v>1.089380800946641</v>
      </c>
      <c r="X58" s="89">
        <v>1</v>
      </c>
      <c r="Y58" s="12">
        <v>39685</v>
      </c>
      <c r="Z58" s="11">
        <v>487.26218974423585</v>
      </c>
      <c r="AA58" s="14">
        <v>8595.3050270883214</v>
      </c>
      <c r="AB58" s="11">
        <v>0.84310593184913096</v>
      </c>
      <c r="AC58" s="11">
        <v>1.720862997670332</v>
      </c>
      <c r="AD58" s="15">
        <v>180420.60560237279</v>
      </c>
      <c r="AE58" s="11">
        <v>116.324725570544</v>
      </c>
      <c r="AF58" s="11">
        <f>(Opti_Medias__30_ALL_DATA_1[[#This Row],[All: TS Index]]-AA$114) /ABS(AA$114)</f>
        <v>-0.45910215914836572</v>
      </c>
      <c r="AG58" s="11">
        <f>(Opti_Medias__30_ALL_DATA_1[[#This Row],[All: Expectancy Score]]-AB$114) /ABS(AB$114)</f>
        <v>-0.71060018958658644</v>
      </c>
      <c r="AH58" s="11"/>
      <c r="AI58" s="11">
        <f>(Opti_Medias__30_ALL_DATA_1[[#This Row],[All: Perfect Profit Correlation]]-AD$114) /ABS(AD$114)</f>
        <v>-0.41465683535769648</v>
      </c>
      <c r="AJ58" s="11">
        <f>(Opti_Medias__30_ALL_DATA_1[[#This Row],[All: Robustness Index]]-AE$114) /ABS(AE$114)</f>
        <v>-0.86027595912604615</v>
      </c>
      <c r="AK58" s="11">
        <f>SUM(Opti_Medias__30_ALL_DATA_1[[#This Row],[VAR TS Index]:[VAR Robustness Index]])</f>
        <v>-2.4446351432186946</v>
      </c>
      <c r="AL58" s="11">
        <f>Opti_Medias__30_ALL_DATA_1[[#This Row],[SUMA]]-Opti_Medias__30_ALL_DATA_1[[#This Row],[VAR Robustness Index]]</f>
        <v>-1.5843591840926483</v>
      </c>
    </row>
    <row r="59" spans="1:38" x14ac:dyDescent="0.25">
      <c r="A59" s="11"/>
      <c r="B59" s="89">
        <v>32</v>
      </c>
      <c r="C59" s="89">
        <v>11</v>
      </c>
      <c r="D59" s="89">
        <v>482</v>
      </c>
      <c r="E59" s="10">
        <v>237460</v>
      </c>
      <c r="F59" s="10">
        <v>2326120</v>
      </c>
      <c r="G59" s="10">
        <v>-2088660</v>
      </c>
      <c r="H59" s="89">
        <v>5265</v>
      </c>
      <c r="I59" s="11">
        <v>37.264957264957268</v>
      </c>
      <c r="J59" s="89">
        <v>1962</v>
      </c>
      <c r="K59" s="89">
        <v>3271</v>
      </c>
      <c r="L59" s="12">
        <v>18440</v>
      </c>
      <c r="M59" s="12">
        <v>-5240</v>
      </c>
      <c r="N59" s="12">
        <v>1185.586181640625</v>
      </c>
      <c r="O59" s="12">
        <v>-638.5386962890625</v>
      </c>
      <c r="P59" s="11">
        <v>1.8567178285839041</v>
      </c>
      <c r="Q59" s="13">
        <v>45.10161443494777</v>
      </c>
      <c r="R59" s="89">
        <v>8</v>
      </c>
      <c r="S59" s="89">
        <v>13</v>
      </c>
      <c r="T59" s="89">
        <v>65</v>
      </c>
      <c r="U59" s="89">
        <v>25</v>
      </c>
      <c r="V59" s="12">
        <v>-46665</v>
      </c>
      <c r="W59" s="11">
        <v>1.1136901171085769</v>
      </c>
      <c r="X59" s="89">
        <v>1</v>
      </c>
      <c r="Y59" s="12">
        <v>46665</v>
      </c>
      <c r="Z59" s="11">
        <v>508.86103075109827</v>
      </c>
      <c r="AA59" s="14">
        <v>9983.8534233365481</v>
      </c>
      <c r="AB59" s="11">
        <v>0.18698835644790701</v>
      </c>
      <c r="AC59" s="11">
        <v>2.2146481464625589</v>
      </c>
      <c r="AD59" s="15">
        <v>221911.91633360536</v>
      </c>
      <c r="AE59" s="11">
        <v>173.47769981265205</v>
      </c>
      <c r="AF59" s="11">
        <f>(Opti_Medias__30_ALL_DATA_1[[#This Row],[All: TS Index]]-AA$114) /ABS(AA$114)</f>
        <v>-0.37172156857226962</v>
      </c>
      <c r="AG59" s="11">
        <f>(Opti_Medias__30_ALL_DATA_1[[#This Row],[All: Expectancy Score]]-AB$114) /ABS(AB$114)</f>
        <v>-0.93581542619815938</v>
      </c>
      <c r="AH59" s="11"/>
      <c r="AI59" s="11">
        <f>(Opti_Medias__30_ALL_DATA_1[[#This Row],[All: Perfect Profit Correlation]]-AD$114) /ABS(AD$114)</f>
        <v>-0.28004551949668027</v>
      </c>
      <c r="AJ59" s="11">
        <f>(Opti_Medias__30_ALL_DATA_1[[#This Row],[All: Robustness Index]]-AE$114) /ABS(AE$114)</f>
        <v>-0.79162637091593235</v>
      </c>
      <c r="AK59" s="11">
        <f>SUM(Opti_Medias__30_ALL_DATA_1[[#This Row],[VAR TS Index]:[VAR Robustness Index]])</f>
        <v>-2.3792088851830417</v>
      </c>
      <c r="AL59" s="11">
        <f>Opti_Medias__30_ALL_DATA_1[[#This Row],[SUMA]]-Opti_Medias__30_ALL_DATA_1[[#This Row],[VAR Robustness Index]]</f>
        <v>-1.5875825142671094</v>
      </c>
    </row>
    <row r="60" spans="1:38" x14ac:dyDescent="0.25">
      <c r="A60" s="11"/>
      <c r="B60" s="89">
        <v>29</v>
      </c>
      <c r="C60" s="89">
        <v>8</v>
      </c>
      <c r="D60" s="89">
        <v>344</v>
      </c>
      <c r="E60" s="10">
        <v>235440</v>
      </c>
      <c r="F60" s="10">
        <v>2298560</v>
      </c>
      <c r="G60" s="10">
        <v>-2063120</v>
      </c>
      <c r="H60" s="89">
        <v>5179</v>
      </c>
      <c r="I60" s="11">
        <v>33.095192122031278</v>
      </c>
      <c r="J60" s="89">
        <v>1714</v>
      </c>
      <c r="K60" s="89">
        <v>3447</v>
      </c>
      <c r="L60" s="12">
        <v>17090</v>
      </c>
      <c r="M60" s="12">
        <v>-5240</v>
      </c>
      <c r="N60" s="12">
        <v>1341.0501708984375</v>
      </c>
      <c r="O60" s="12">
        <v>-598.5262451171875</v>
      </c>
      <c r="P60" s="11">
        <v>2.2405870784093498</v>
      </c>
      <c r="Q60" s="13">
        <v>45.460513612666539</v>
      </c>
      <c r="R60" s="89">
        <v>11</v>
      </c>
      <c r="S60" s="89">
        <v>16</v>
      </c>
      <c r="T60" s="89">
        <v>75</v>
      </c>
      <c r="U60" s="89">
        <v>23</v>
      </c>
      <c r="V60" s="12">
        <v>-37585</v>
      </c>
      <c r="W60" s="11">
        <v>1.1141184225832721</v>
      </c>
      <c r="X60" s="89">
        <v>1</v>
      </c>
      <c r="Y60" s="12">
        <v>37585</v>
      </c>
      <c r="Z60" s="11">
        <v>626.42011440734336</v>
      </c>
      <c r="AA60" s="14">
        <v>10736.840760941865</v>
      </c>
      <c r="AB60" s="11">
        <v>7.3494111501162002E-2</v>
      </c>
      <c r="AC60" s="11">
        <v>2.150600440392529</v>
      </c>
      <c r="AD60" s="15">
        <v>218094.03785165318</v>
      </c>
      <c r="AE60" s="11">
        <v>222.38108987004108</v>
      </c>
      <c r="AF60" s="11">
        <f>(Opti_Medias__30_ALL_DATA_1[[#This Row],[All: TS Index]]-AA$114) /ABS(AA$114)</f>
        <v>-0.32433648755236932</v>
      </c>
      <c r="AG60" s="11">
        <f>(Opti_Medias__30_ALL_DATA_1[[#This Row],[All: Expectancy Score]]-AB$114) /ABS(AB$114)</f>
        <v>-0.9747728237562151</v>
      </c>
      <c r="AH60" s="11"/>
      <c r="AI60" s="11">
        <f>(Opti_Medias__30_ALL_DATA_1[[#This Row],[All: Perfect Profit Correlation]]-AD$114) /ABS(AD$114)</f>
        <v>-0.29243195986686077</v>
      </c>
      <c r="AJ60" s="11">
        <f>(Opti_Medias__30_ALL_DATA_1[[#This Row],[All: Robustness Index]]-AE$114) /ABS(AE$114)</f>
        <v>-0.73288581307030287</v>
      </c>
      <c r="AK60" s="11">
        <f>SUM(Opti_Medias__30_ALL_DATA_1[[#This Row],[VAR TS Index]:[VAR Robustness Index]])</f>
        <v>-2.3244270842457482</v>
      </c>
      <c r="AL60" s="11">
        <f>Opti_Medias__30_ALL_DATA_1[[#This Row],[SUMA]]-Opti_Medias__30_ALL_DATA_1[[#This Row],[VAR Robustness Index]]</f>
        <v>-1.5915412711754453</v>
      </c>
    </row>
    <row r="61" spans="1:38" x14ac:dyDescent="0.25">
      <c r="A61" s="11"/>
      <c r="B61" s="89">
        <v>40</v>
      </c>
      <c r="C61" s="89">
        <v>11</v>
      </c>
      <c r="D61" s="89">
        <v>490</v>
      </c>
      <c r="E61" s="10">
        <v>158100</v>
      </c>
      <c r="F61" s="10">
        <v>2339470</v>
      </c>
      <c r="G61" s="10">
        <v>-2181370</v>
      </c>
      <c r="H61" s="89">
        <v>5561</v>
      </c>
      <c r="I61" s="11">
        <v>32.727926631900736</v>
      </c>
      <c r="J61" s="89">
        <v>1820</v>
      </c>
      <c r="K61" s="89">
        <v>3729</v>
      </c>
      <c r="L61" s="12">
        <v>18310</v>
      </c>
      <c r="M61" s="12">
        <v>-5200</v>
      </c>
      <c r="N61" s="12">
        <v>1285.423095703125</v>
      </c>
      <c r="O61" s="12">
        <v>-584.97454833984375</v>
      </c>
      <c r="P61" s="11">
        <v>2.1974000396276261</v>
      </c>
      <c r="Q61" s="13">
        <v>28.430138464304981</v>
      </c>
      <c r="R61" s="89">
        <v>7</v>
      </c>
      <c r="S61" s="89">
        <v>17</v>
      </c>
      <c r="T61" s="89">
        <v>72</v>
      </c>
      <c r="U61" s="89">
        <v>21</v>
      </c>
      <c r="V61" s="12">
        <v>-51355</v>
      </c>
      <c r="W61" s="11">
        <v>1.072477388063465</v>
      </c>
      <c r="X61" s="89">
        <v>1</v>
      </c>
      <c r="Y61" s="12">
        <v>51355</v>
      </c>
      <c r="Z61" s="11">
        <v>307.85707331321197</v>
      </c>
      <c r="AA61" s="14">
        <v>5602.9987343004577</v>
      </c>
      <c r="AB61" s="11">
        <v>1.5752633809141601</v>
      </c>
      <c r="AC61" s="11">
        <v>1.389837617256273</v>
      </c>
      <c r="AD61" s="15">
        <v>147023.29237140922</v>
      </c>
      <c r="AE61" s="11">
        <v>111.69254096173941</v>
      </c>
      <c r="AF61" s="11">
        <f>(Opti_Medias__30_ALL_DATA_1[[#This Row],[All: TS Index]]-AA$114) /ABS(AA$114)</f>
        <v>-0.64740635636241095</v>
      </c>
      <c r="AG61" s="11">
        <f>(Opti_Medias__30_ALL_DATA_1[[#This Row],[All: Expectancy Score]]-AB$114) /ABS(AB$114)</f>
        <v>-0.45928393269882944</v>
      </c>
      <c r="AH61" s="11"/>
      <c r="AI61" s="11">
        <f>(Opti_Medias__30_ALL_DATA_1[[#This Row],[All: Perfect Profit Correlation]]-AD$114) /ABS(AD$114)</f>
        <v>-0.52300858903846004</v>
      </c>
      <c r="AJ61" s="11">
        <f>(Opti_Medias__30_ALL_DATA_1[[#This Row],[All: Robustness Index]]-AE$114) /ABS(AE$114)</f>
        <v>-0.86583993143237936</v>
      </c>
      <c r="AK61" s="11">
        <f>SUM(Opti_Medias__30_ALL_DATA_1[[#This Row],[VAR TS Index]:[VAR Robustness Index]])</f>
        <v>-2.4955388095320798</v>
      </c>
      <c r="AL61" s="11">
        <f>Opti_Medias__30_ALL_DATA_1[[#This Row],[SUMA]]-Opti_Medias__30_ALL_DATA_1[[#This Row],[VAR Robustness Index]]</f>
        <v>-1.6296988780997004</v>
      </c>
    </row>
    <row r="62" spans="1:38" x14ac:dyDescent="0.25">
      <c r="A62" s="11"/>
      <c r="B62" s="89">
        <v>36</v>
      </c>
      <c r="C62" s="89">
        <v>1</v>
      </c>
      <c r="D62" s="89">
        <v>36</v>
      </c>
      <c r="E62" s="10">
        <v>165650</v>
      </c>
      <c r="F62" s="10">
        <v>2365670</v>
      </c>
      <c r="G62" s="10">
        <v>-2200020</v>
      </c>
      <c r="H62" s="89">
        <v>5810</v>
      </c>
      <c r="I62" s="11">
        <v>32.616179001721171</v>
      </c>
      <c r="J62" s="89">
        <v>1895</v>
      </c>
      <c r="K62" s="89">
        <v>3889</v>
      </c>
      <c r="L62" s="12">
        <v>18070</v>
      </c>
      <c r="M62" s="12">
        <v>-4830</v>
      </c>
      <c r="N62" s="12">
        <v>1248.3746337890625</v>
      </c>
      <c r="O62" s="12">
        <v>-565.7032470703125</v>
      </c>
      <c r="P62" s="11">
        <v>2.2067658975871129</v>
      </c>
      <c r="Q62" s="13">
        <v>28.511187607573149</v>
      </c>
      <c r="R62" s="89">
        <v>7</v>
      </c>
      <c r="S62" s="89">
        <v>17</v>
      </c>
      <c r="T62" s="89">
        <v>68</v>
      </c>
      <c r="U62" s="89">
        <v>21</v>
      </c>
      <c r="V62" s="12">
        <v>-56365</v>
      </c>
      <c r="W62" s="11">
        <v>1.075294770047545</v>
      </c>
      <c r="X62" s="89">
        <v>1</v>
      </c>
      <c r="Y62" s="12">
        <v>56365</v>
      </c>
      <c r="Z62" s="11">
        <v>293.888051095538</v>
      </c>
      <c r="AA62" s="14">
        <v>5569.178568260445</v>
      </c>
      <c r="AB62" s="11">
        <v>1.55158238972426</v>
      </c>
      <c r="AC62" s="11">
        <v>1.4658455672828949</v>
      </c>
      <c r="AD62" s="15">
        <v>144863.34621592797</v>
      </c>
      <c r="AE62" s="11">
        <v>192.02057789134926</v>
      </c>
      <c r="AF62" s="11">
        <f>(Opti_Medias__30_ALL_DATA_1[[#This Row],[All: TS Index]]-AA$114) /ABS(AA$114)</f>
        <v>-0.64953464090038071</v>
      </c>
      <c r="AG62" s="11">
        <f>(Opti_Medias__30_ALL_DATA_1[[#This Row],[All: Expectancy Score]]-AB$114) /ABS(AB$114)</f>
        <v>-0.46741253683013706</v>
      </c>
      <c r="AH62" s="11"/>
      <c r="AI62" s="11">
        <f>(Opti_Medias__30_ALL_DATA_1[[#This Row],[All: Perfect Profit Correlation]]-AD$114) /ABS(AD$114)</f>
        <v>-0.53001615734744123</v>
      </c>
      <c r="AJ62" s="11">
        <f>(Opti_Medias__30_ALL_DATA_1[[#This Row],[All: Robustness Index]]-AE$114) /ABS(AE$114)</f>
        <v>-0.76935349778529771</v>
      </c>
      <c r="AK62" s="11">
        <f>SUM(Opti_Medias__30_ALL_DATA_1[[#This Row],[VAR TS Index]:[VAR Robustness Index]])</f>
        <v>-2.4163168328632567</v>
      </c>
      <c r="AL62" s="11">
        <f>Opti_Medias__30_ALL_DATA_1[[#This Row],[SUMA]]-Opti_Medias__30_ALL_DATA_1[[#This Row],[VAR Robustness Index]]</f>
        <v>-1.6469633350779591</v>
      </c>
    </row>
    <row r="63" spans="1:38" x14ac:dyDescent="0.25">
      <c r="A63" s="11"/>
      <c r="B63" s="89">
        <v>31</v>
      </c>
      <c r="C63" s="89">
        <v>8</v>
      </c>
      <c r="D63" s="89">
        <v>346</v>
      </c>
      <c r="E63" s="10">
        <v>218630</v>
      </c>
      <c r="F63" s="10">
        <v>2315930</v>
      </c>
      <c r="G63" s="10">
        <v>-2097300</v>
      </c>
      <c r="H63" s="89">
        <v>5299</v>
      </c>
      <c r="I63" s="11">
        <v>32.798641253066613</v>
      </c>
      <c r="J63" s="89">
        <v>1738</v>
      </c>
      <c r="K63" s="89">
        <v>3541</v>
      </c>
      <c r="L63" s="12">
        <v>16890</v>
      </c>
      <c r="M63" s="12">
        <v>-5240</v>
      </c>
      <c r="N63" s="12">
        <v>1332.52587890625</v>
      </c>
      <c r="O63" s="12">
        <v>-592.290283203125</v>
      </c>
      <c r="P63" s="11">
        <v>2.249785142008252</v>
      </c>
      <c r="Q63" s="13">
        <v>41.258728061898474</v>
      </c>
      <c r="R63" s="89">
        <v>11</v>
      </c>
      <c r="S63" s="89">
        <v>16</v>
      </c>
      <c r="T63" s="89">
        <v>75</v>
      </c>
      <c r="U63" s="89">
        <v>22</v>
      </c>
      <c r="V63" s="12">
        <v>-36995</v>
      </c>
      <c r="W63" s="11">
        <v>1.104243551232537</v>
      </c>
      <c r="X63" s="89">
        <v>1</v>
      </c>
      <c r="Y63" s="12">
        <v>36995</v>
      </c>
      <c r="Z63" s="11">
        <v>590.97175293958639</v>
      </c>
      <c r="AA63" s="14">
        <v>10271.089066090011</v>
      </c>
      <c r="AB63" s="11">
        <v>0.12144258520604299</v>
      </c>
      <c r="AC63" s="11">
        <v>1.9832289850718601</v>
      </c>
      <c r="AD63" s="15">
        <v>203758.08730343304</v>
      </c>
      <c r="AE63" s="11">
        <v>157.90797118406388</v>
      </c>
      <c r="AF63" s="11">
        <f>(Opti_Medias__30_ALL_DATA_1[[#This Row],[All: TS Index]]-AA$114) /ABS(AA$114)</f>
        <v>-0.3536459867876392</v>
      </c>
      <c r="AG63" s="11">
        <f>(Opti_Medias__30_ALL_DATA_1[[#This Row],[All: Expectancy Score]]-AB$114) /ABS(AB$114)</f>
        <v>-0.95831429977291072</v>
      </c>
      <c r="AH63" s="11"/>
      <c r="AI63" s="11">
        <f>(Opti_Medias__30_ALL_DATA_1[[#This Row],[All: Perfect Profit Correlation]]-AD$114) /ABS(AD$114)</f>
        <v>-0.3389424492537802</v>
      </c>
      <c r="AJ63" s="11">
        <f>(Opti_Medias__30_ALL_DATA_1[[#This Row],[All: Robustness Index]]-AE$114) /ABS(AE$114)</f>
        <v>-0.81032803033208067</v>
      </c>
      <c r="AK63" s="11">
        <f>SUM(Opti_Medias__30_ALL_DATA_1[[#This Row],[VAR TS Index]:[VAR Robustness Index]])</f>
        <v>-2.4612307661464108</v>
      </c>
      <c r="AL63" s="11">
        <f>Opti_Medias__30_ALL_DATA_1[[#This Row],[SUMA]]-Opti_Medias__30_ALL_DATA_1[[#This Row],[VAR Robustness Index]]</f>
        <v>-1.6509027358143302</v>
      </c>
    </row>
    <row r="64" spans="1:38" x14ac:dyDescent="0.25">
      <c r="A64" s="11"/>
      <c r="B64" s="89">
        <v>33</v>
      </c>
      <c r="C64" s="89">
        <v>11</v>
      </c>
      <c r="D64" s="89">
        <v>483</v>
      </c>
      <c r="E64" s="10">
        <v>247710</v>
      </c>
      <c r="F64" s="10">
        <v>2334720</v>
      </c>
      <c r="G64" s="10">
        <v>-2087010</v>
      </c>
      <c r="H64" s="89">
        <v>5257</v>
      </c>
      <c r="I64" s="11">
        <v>36.636865132204683</v>
      </c>
      <c r="J64" s="89">
        <v>1926</v>
      </c>
      <c r="K64" s="89">
        <v>3304</v>
      </c>
      <c r="L64" s="12">
        <v>18440</v>
      </c>
      <c r="M64" s="12">
        <v>-5240</v>
      </c>
      <c r="N64" s="12">
        <v>1212.2117919921875</v>
      </c>
      <c r="O64" s="12">
        <v>-631.66162109375</v>
      </c>
      <c r="P64" s="11">
        <v>1.9190841290835261</v>
      </c>
      <c r="Q64" s="13">
        <v>47.120030435609664</v>
      </c>
      <c r="R64" s="89">
        <v>7</v>
      </c>
      <c r="S64" s="89">
        <v>15</v>
      </c>
      <c r="T64" s="89">
        <v>67</v>
      </c>
      <c r="U64" s="89">
        <v>24</v>
      </c>
      <c r="V64" s="12">
        <v>-64745</v>
      </c>
      <c r="W64" s="11">
        <v>1.1186913335345781</v>
      </c>
      <c r="X64" s="89">
        <v>1</v>
      </c>
      <c r="Y64" s="12">
        <v>64745</v>
      </c>
      <c r="Z64" s="11">
        <v>382.59325044404972</v>
      </c>
      <c r="AA64" s="14">
        <v>7368.7460035523982</v>
      </c>
      <c r="AB64" s="11">
        <v>0.43170962695779602</v>
      </c>
      <c r="AC64" s="11">
        <v>2.3081879139583421</v>
      </c>
      <c r="AD64" s="15">
        <v>224510.36149770676</v>
      </c>
      <c r="AE64" s="11">
        <v>190.50887660752514</v>
      </c>
      <c r="AF64" s="11">
        <f>(Opti_Medias__30_ALL_DATA_1[[#This Row],[All: TS Index]]-AA$114) /ABS(AA$114)</f>
        <v>-0.53628884716197456</v>
      </c>
      <c r="AG64" s="11">
        <f>(Opti_Medias__30_ALL_DATA_1[[#This Row],[All: Expectancy Score]]-AB$114) /ABS(AB$114)</f>
        <v>-0.85181377632913113</v>
      </c>
      <c r="AH64" s="11"/>
      <c r="AI64" s="11">
        <f>(Opti_Medias__30_ALL_DATA_1[[#This Row],[All: Perfect Profit Correlation]]-AD$114) /ABS(AD$114)</f>
        <v>-0.27161531768892955</v>
      </c>
      <c r="AJ64" s="11">
        <f>(Opti_Medias__30_ALL_DATA_1[[#This Row],[All: Robustness Index]]-AE$114) /ABS(AE$114)</f>
        <v>-0.77116928553750819</v>
      </c>
      <c r="AK64" s="11">
        <f>SUM(Opti_Medias__30_ALL_DATA_1[[#This Row],[VAR TS Index]:[VAR Robustness Index]])</f>
        <v>-2.4308872267175436</v>
      </c>
      <c r="AL64" s="11">
        <f>Opti_Medias__30_ALL_DATA_1[[#This Row],[SUMA]]-Opti_Medias__30_ALL_DATA_1[[#This Row],[VAR Robustness Index]]</f>
        <v>-1.6597179411800353</v>
      </c>
    </row>
    <row r="65" spans="1:38" x14ac:dyDescent="0.25">
      <c r="A65" s="11"/>
      <c r="B65" s="89">
        <v>35</v>
      </c>
      <c r="C65" s="89">
        <v>5</v>
      </c>
      <c r="D65" s="89">
        <v>215</v>
      </c>
      <c r="E65" s="10">
        <v>187930</v>
      </c>
      <c r="F65" s="10">
        <v>2117330</v>
      </c>
      <c r="G65" s="10">
        <v>-1929400</v>
      </c>
      <c r="H65" s="89">
        <v>5128</v>
      </c>
      <c r="I65" s="11">
        <v>31.493759750390016</v>
      </c>
      <c r="J65" s="89">
        <v>1615</v>
      </c>
      <c r="K65" s="89">
        <v>3474</v>
      </c>
      <c r="L65" s="12">
        <v>16600</v>
      </c>
      <c r="M65" s="12">
        <v>-4240</v>
      </c>
      <c r="N65" s="12">
        <v>1311.040283203125</v>
      </c>
      <c r="O65" s="12">
        <v>-555.38287353515625</v>
      </c>
      <c r="P65" s="11">
        <v>2.36060625142798</v>
      </c>
      <c r="Q65" s="13">
        <v>36.647815912636503</v>
      </c>
      <c r="R65" s="89">
        <v>6</v>
      </c>
      <c r="S65" s="89">
        <v>19</v>
      </c>
      <c r="T65" s="89">
        <v>82</v>
      </c>
      <c r="U65" s="89">
        <v>22</v>
      </c>
      <c r="V65" s="12">
        <v>-44165</v>
      </c>
      <c r="W65" s="11">
        <v>1.097403337825231</v>
      </c>
      <c r="X65" s="89">
        <v>1</v>
      </c>
      <c r="Y65" s="12">
        <v>44165</v>
      </c>
      <c r="Z65" s="11">
        <v>425.51794407336126</v>
      </c>
      <c r="AA65" s="14">
        <v>6872.1147967847846</v>
      </c>
      <c r="AB65" s="11">
        <v>0.97589654232305101</v>
      </c>
      <c r="AC65" s="11">
        <v>1.6797776827757811</v>
      </c>
      <c r="AD65" s="15">
        <v>173241.48161047287</v>
      </c>
      <c r="AE65" s="11">
        <v>185.36812726484854</v>
      </c>
      <c r="AF65" s="11">
        <f>(Opti_Medias__30_ALL_DATA_1[[#This Row],[All: TS Index]]-AA$114) /ABS(AA$114)</f>
        <v>-0.5675415771806952</v>
      </c>
      <c r="AG65" s="11">
        <f>(Opti_Medias__30_ALL_DATA_1[[#This Row],[All: Expectancy Score]]-AB$114) /ABS(AB$114)</f>
        <v>-0.66501922989442919</v>
      </c>
      <c r="AH65" s="11"/>
      <c r="AI65" s="11">
        <f>(Opti_Medias__30_ALL_DATA_1[[#This Row],[All: Perfect Profit Correlation]]-AD$114) /ABS(AD$114)</f>
        <v>-0.43794825012015154</v>
      </c>
      <c r="AJ65" s="11">
        <f>(Opti_Medias__30_ALL_DATA_1[[#This Row],[All: Robustness Index]]-AE$114) /ABS(AE$114)</f>
        <v>-0.77734412298290845</v>
      </c>
      <c r="AK65" s="11">
        <f>SUM(Opti_Medias__30_ALL_DATA_1[[#This Row],[VAR TS Index]:[VAR Robustness Index]])</f>
        <v>-2.4478531801781842</v>
      </c>
      <c r="AL65" s="11">
        <f>Opti_Medias__30_ALL_DATA_1[[#This Row],[SUMA]]-Opti_Medias__30_ALL_DATA_1[[#This Row],[VAR Robustness Index]]</f>
        <v>-1.6705090571952756</v>
      </c>
    </row>
    <row r="66" spans="1:38" x14ac:dyDescent="0.25">
      <c r="A66" s="11"/>
      <c r="B66" s="89">
        <v>32</v>
      </c>
      <c r="C66" s="89">
        <v>2</v>
      </c>
      <c r="D66" s="89">
        <v>77</v>
      </c>
      <c r="E66" s="10">
        <v>158670</v>
      </c>
      <c r="F66" s="10">
        <v>2052760</v>
      </c>
      <c r="G66" s="10">
        <v>-1894090</v>
      </c>
      <c r="H66" s="89">
        <v>4727</v>
      </c>
      <c r="I66" s="11">
        <v>27.903532896128624</v>
      </c>
      <c r="J66" s="89">
        <v>1319</v>
      </c>
      <c r="K66" s="89">
        <v>3404</v>
      </c>
      <c r="L66" s="12">
        <v>16560</v>
      </c>
      <c r="M66" s="12">
        <v>-4370</v>
      </c>
      <c r="N66" s="12">
        <v>1556.3001708984375</v>
      </c>
      <c r="O66" s="12">
        <v>-556.4306640625</v>
      </c>
      <c r="P66" s="11">
        <v>2.796934589362654</v>
      </c>
      <c r="Q66" s="13">
        <v>33.566744235244343</v>
      </c>
      <c r="R66" s="89">
        <v>7</v>
      </c>
      <c r="S66" s="89">
        <v>16</v>
      </c>
      <c r="T66" s="89">
        <v>101</v>
      </c>
      <c r="U66" s="89">
        <v>22</v>
      </c>
      <c r="V66" s="12">
        <v>-46075</v>
      </c>
      <c r="W66" s="11">
        <v>1.083771098522246</v>
      </c>
      <c r="X66" s="89">
        <v>1</v>
      </c>
      <c r="Y66" s="12">
        <v>46075</v>
      </c>
      <c r="Z66" s="11">
        <v>344.37330439500812</v>
      </c>
      <c r="AA66" s="14">
        <v>4542.2838849701575</v>
      </c>
      <c r="AB66" s="11">
        <v>1.5839955508392529</v>
      </c>
      <c r="AC66" s="11">
        <v>1.3461251120713771</v>
      </c>
      <c r="AD66" s="15">
        <v>148762.90827629989</v>
      </c>
      <c r="AE66" s="11">
        <v>156.42566382376569</v>
      </c>
      <c r="AF66" s="11">
        <f>(Opti_Medias__30_ALL_DATA_1[[#This Row],[All: TS Index]]-AA$114) /ABS(AA$114)</f>
        <v>-0.71415656126542193</v>
      </c>
      <c r="AG66" s="11">
        <f>(Opti_Medias__30_ALL_DATA_1[[#This Row],[All: Expectancy Score]]-AB$114) /ABS(AB$114)</f>
        <v>-0.45628657705779263</v>
      </c>
      <c r="AH66" s="11"/>
      <c r="AI66" s="11">
        <f>(Opti_Medias__30_ALL_DATA_1[[#This Row],[All: Perfect Profit Correlation]]-AD$114) /ABS(AD$114)</f>
        <v>-0.51736470886395858</v>
      </c>
      <c r="AJ66" s="11">
        <f>(Opti_Medias__30_ALL_DATA_1[[#This Row],[All: Robustness Index]]-AE$114) /ABS(AE$114)</f>
        <v>-0.81210851142225493</v>
      </c>
      <c r="AK66" s="11">
        <f>SUM(Opti_Medias__30_ALL_DATA_1[[#This Row],[VAR TS Index]:[VAR Robustness Index]])</f>
        <v>-2.4999163586094282</v>
      </c>
      <c r="AL66" s="11">
        <f>Opti_Medias__30_ALL_DATA_1[[#This Row],[SUMA]]-Opti_Medias__30_ALL_DATA_1[[#This Row],[VAR Robustness Index]]</f>
        <v>-1.6878078471871731</v>
      </c>
    </row>
    <row r="67" spans="1:38" x14ac:dyDescent="0.25">
      <c r="A67" s="11"/>
      <c r="B67" s="89">
        <v>37</v>
      </c>
      <c r="C67" s="89">
        <v>8</v>
      </c>
      <c r="D67" s="89">
        <v>352</v>
      </c>
      <c r="E67" s="10">
        <v>153170</v>
      </c>
      <c r="F67" s="10">
        <v>2401080</v>
      </c>
      <c r="G67" s="10">
        <v>-2247910</v>
      </c>
      <c r="H67" s="89">
        <v>6111</v>
      </c>
      <c r="I67" s="11">
        <v>30.175094092619865</v>
      </c>
      <c r="J67" s="89">
        <v>1844</v>
      </c>
      <c r="K67" s="89">
        <v>4244</v>
      </c>
      <c r="L67" s="12">
        <v>18070</v>
      </c>
      <c r="M67" s="12">
        <v>-4490</v>
      </c>
      <c r="N67" s="12">
        <v>1302.1041259765625</v>
      </c>
      <c r="O67" s="12">
        <v>-529.66778564453125</v>
      </c>
      <c r="P67" s="11">
        <v>2.4583411739720682</v>
      </c>
      <c r="Q67" s="13">
        <v>25.064637538864343</v>
      </c>
      <c r="R67" s="89">
        <v>7</v>
      </c>
      <c r="S67" s="89">
        <v>17</v>
      </c>
      <c r="T67" s="89">
        <v>71</v>
      </c>
      <c r="U67" s="89">
        <v>19</v>
      </c>
      <c r="V67" s="12">
        <v>-58855</v>
      </c>
      <c r="W67" s="11">
        <v>1.0681388489752699</v>
      </c>
      <c r="X67" s="89">
        <v>1</v>
      </c>
      <c r="Y67" s="12">
        <v>58855</v>
      </c>
      <c r="Z67" s="11">
        <v>260.24976637498941</v>
      </c>
      <c r="AA67" s="14">
        <v>4799.0056919548042</v>
      </c>
      <c r="AB67" s="11">
        <v>1.620510040371141</v>
      </c>
      <c r="AC67" s="11">
        <v>1.317610087035205</v>
      </c>
      <c r="AD67" s="15">
        <v>136177.70695975824</v>
      </c>
      <c r="AE67" s="11">
        <v>121.29890602184798</v>
      </c>
      <c r="AF67" s="11">
        <f>(Opti_Medias__30_ALL_DATA_1[[#This Row],[All: TS Index]]-AA$114) /ABS(AA$114)</f>
        <v>-0.69800119846446218</v>
      </c>
      <c r="AG67" s="11">
        <f>(Opti_Medias__30_ALL_DATA_1[[#This Row],[All: Expectancy Score]]-AB$114) /ABS(AB$114)</f>
        <v>-0.44375281831090013</v>
      </c>
      <c r="AH67" s="11"/>
      <c r="AI67" s="11">
        <f>(Opti_Medias__30_ALL_DATA_1[[#This Row],[All: Perfect Profit Correlation]]-AD$114) /ABS(AD$114)</f>
        <v>-0.55819519794080097</v>
      </c>
      <c r="AJ67" s="11">
        <f>(Opti_Medias__30_ALL_DATA_1[[#This Row],[All: Robustness Index]]-AE$114) /ABS(AE$114)</f>
        <v>-0.8543011967590296</v>
      </c>
      <c r="AK67" s="11">
        <f>SUM(Opti_Medias__30_ALL_DATA_1[[#This Row],[VAR TS Index]:[VAR Robustness Index]])</f>
        <v>-2.5542504114751927</v>
      </c>
      <c r="AL67" s="11">
        <f>Opti_Medias__30_ALL_DATA_1[[#This Row],[SUMA]]-Opti_Medias__30_ALL_DATA_1[[#This Row],[VAR Robustness Index]]</f>
        <v>-1.6999492147161632</v>
      </c>
    </row>
    <row r="68" spans="1:38" x14ac:dyDescent="0.25">
      <c r="A68" s="11"/>
      <c r="B68" s="89">
        <v>36</v>
      </c>
      <c r="C68" s="89">
        <v>2</v>
      </c>
      <c r="D68" s="89">
        <v>81</v>
      </c>
      <c r="E68" s="10">
        <v>140570</v>
      </c>
      <c r="F68" s="10">
        <v>2171800</v>
      </c>
      <c r="G68" s="10">
        <v>-2031230</v>
      </c>
      <c r="H68" s="89">
        <v>5509</v>
      </c>
      <c r="I68" s="11">
        <v>26.556543837357051</v>
      </c>
      <c r="J68" s="89">
        <v>1463</v>
      </c>
      <c r="K68" s="89">
        <v>4025</v>
      </c>
      <c r="L68" s="12">
        <v>16720</v>
      </c>
      <c r="M68" s="12">
        <v>-4370</v>
      </c>
      <c r="N68" s="12">
        <v>1484.48388671875</v>
      </c>
      <c r="O68" s="12">
        <v>-504.65341186523438</v>
      </c>
      <c r="P68" s="11">
        <v>2.9415909053938489</v>
      </c>
      <c r="Q68" s="13">
        <v>25.516427663822835</v>
      </c>
      <c r="R68" s="89">
        <v>5</v>
      </c>
      <c r="S68" s="89">
        <v>22</v>
      </c>
      <c r="T68" s="89">
        <v>91</v>
      </c>
      <c r="U68" s="89">
        <v>19</v>
      </c>
      <c r="V68" s="12">
        <v>-53345</v>
      </c>
      <c r="W68" s="11">
        <v>1.0692043737046031</v>
      </c>
      <c r="X68" s="89">
        <v>1</v>
      </c>
      <c r="Y68" s="12">
        <v>53345</v>
      </c>
      <c r="Z68" s="11">
        <v>263.51110694535572</v>
      </c>
      <c r="AA68" s="14">
        <v>3855.1674946105541</v>
      </c>
      <c r="AB68" s="11">
        <v>1.872054816819634</v>
      </c>
      <c r="AC68" s="11">
        <v>1.1580637224125929</v>
      </c>
      <c r="AD68" s="15">
        <v>126492.66755106694</v>
      </c>
      <c r="AE68" s="11">
        <v>92.481670683948664</v>
      </c>
      <c r="AF68" s="11">
        <f>(Opti_Medias__30_ALL_DATA_1[[#This Row],[All: TS Index]]-AA$114) /ABS(AA$114)</f>
        <v>-0.75739641962856119</v>
      </c>
      <c r="AG68" s="11">
        <f>(Opti_Medias__30_ALL_DATA_1[[#This Row],[All: Expectancy Score]]-AB$114) /ABS(AB$114)</f>
        <v>-0.35740897008886557</v>
      </c>
      <c r="AH68" s="11"/>
      <c r="AI68" s="11">
        <f>(Opti_Medias__30_ALL_DATA_1[[#This Row],[All: Perfect Profit Correlation]]-AD$114) /ABS(AD$114)</f>
        <v>-0.58961661789580755</v>
      </c>
      <c r="AJ68" s="11">
        <f>(Opti_Medias__30_ALL_DATA_1[[#This Row],[All: Robustness Index]]-AE$114) /ABS(AE$114)</f>
        <v>-0.88891516681980731</v>
      </c>
      <c r="AK68" s="11">
        <f>SUM(Opti_Medias__30_ALL_DATA_1[[#This Row],[VAR TS Index]:[VAR Robustness Index]])</f>
        <v>-2.5933371744330418</v>
      </c>
      <c r="AL68" s="11">
        <f>Opti_Medias__30_ALL_DATA_1[[#This Row],[SUMA]]-Opti_Medias__30_ALL_DATA_1[[#This Row],[VAR Robustness Index]]</f>
        <v>-1.7044220076132346</v>
      </c>
    </row>
    <row r="69" spans="1:38" x14ac:dyDescent="0.25">
      <c r="A69" s="11"/>
      <c r="B69" s="89">
        <v>29</v>
      </c>
      <c r="C69" s="89">
        <v>1</v>
      </c>
      <c r="D69" s="89">
        <v>29</v>
      </c>
      <c r="E69" s="10">
        <v>175070</v>
      </c>
      <c r="F69" s="10">
        <v>2237050</v>
      </c>
      <c r="G69" s="10">
        <v>-2061980</v>
      </c>
      <c r="H69" s="89">
        <v>5072</v>
      </c>
      <c r="I69" s="11">
        <v>35.410094637223978</v>
      </c>
      <c r="J69" s="89">
        <v>1796</v>
      </c>
      <c r="K69" s="89">
        <v>3244</v>
      </c>
      <c r="L69" s="12">
        <v>17550</v>
      </c>
      <c r="M69" s="12">
        <v>-5020</v>
      </c>
      <c r="N69" s="12">
        <v>1245.573486328125</v>
      </c>
      <c r="O69" s="12">
        <v>-635.62884521484375</v>
      </c>
      <c r="P69" s="11">
        <v>1.9595924503821389</v>
      </c>
      <c r="Q69" s="13">
        <v>34.516955835962143</v>
      </c>
      <c r="R69" s="89">
        <v>9</v>
      </c>
      <c r="S69" s="89">
        <v>13</v>
      </c>
      <c r="T69" s="89">
        <v>70</v>
      </c>
      <c r="U69" s="89">
        <v>25</v>
      </c>
      <c r="V69" s="12">
        <v>-59035</v>
      </c>
      <c r="W69" s="11">
        <v>1.084903830299033</v>
      </c>
      <c r="X69" s="89">
        <v>1</v>
      </c>
      <c r="Y69" s="12">
        <v>59035</v>
      </c>
      <c r="Z69" s="11">
        <v>296.55289235199456</v>
      </c>
      <c r="AA69" s="14">
        <v>5326.0899466418223</v>
      </c>
      <c r="AB69" s="11">
        <v>1.2210286459444151</v>
      </c>
      <c r="AC69" s="11">
        <v>1.584864970410145</v>
      </c>
      <c r="AD69" s="15">
        <v>159987.62309045746</v>
      </c>
      <c r="AE69" s="11">
        <v>230.87064269186129</v>
      </c>
      <c r="AF69" s="11">
        <f>(Opti_Medias__30_ALL_DATA_1[[#This Row],[All: TS Index]]-AA$114) /ABS(AA$114)</f>
        <v>-0.66483207480816309</v>
      </c>
      <c r="AG69" s="11">
        <f>(Opti_Medias__30_ALL_DATA_1[[#This Row],[All: Expectancy Score]]-AB$114) /ABS(AB$114)</f>
        <v>-0.58087655975726948</v>
      </c>
      <c r="AH69" s="11"/>
      <c r="AI69" s="11">
        <f>(Opti_Medias__30_ALL_DATA_1[[#This Row],[All: Perfect Profit Correlation]]-AD$114) /ABS(AD$114)</f>
        <v>-0.48094808078763684</v>
      </c>
      <c r="AJ69" s="11">
        <f>(Opti_Medias__30_ALL_DATA_1[[#This Row],[All: Robustness Index]]-AE$114) /ABS(AE$114)</f>
        <v>-0.72268854314630671</v>
      </c>
      <c r="AK69" s="11">
        <f>SUM(Opti_Medias__30_ALL_DATA_1[[#This Row],[VAR TS Index]:[VAR Robustness Index]])</f>
        <v>-2.4493452584993762</v>
      </c>
      <c r="AL69" s="11">
        <f>Opti_Medias__30_ALL_DATA_1[[#This Row],[SUMA]]-Opti_Medias__30_ALL_DATA_1[[#This Row],[VAR Robustness Index]]</f>
        <v>-1.7266567153530694</v>
      </c>
    </row>
    <row r="70" spans="1:38" x14ac:dyDescent="0.25">
      <c r="A70" s="11"/>
      <c r="B70" s="89">
        <v>10</v>
      </c>
      <c r="C70" s="89">
        <v>3</v>
      </c>
      <c r="D70" s="89">
        <v>100</v>
      </c>
      <c r="E70" s="10">
        <v>275310</v>
      </c>
      <c r="F70" s="10">
        <v>2363820</v>
      </c>
      <c r="G70" s="10">
        <v>-2088510</v>
      </c>
      <c r="H70" s="89">
        <v>4836</v>
      </c>
      <c r="I70" s="11">
        <v>44.478908188585606</v>
      </c>
      <c r="J70" s="89">
        <v>2151</v>
      </c>
      <c r="K70" s="89">
        <v>2645</v>
      </c>
      <c r="L70" s="12">
        <v>13810</v>
      </c>
      <c r="M70" s="12">
        <v>-6530</v>
      </c>
      <c r="N70" s="12">
        <v>1098.9400634765625</v>
      </c>
      <c r="O70" s="12">
        <v>-789.6068115234375</v>
      </c>
      <c r="P70" s="11">
        <v>1.3917560581276009</v>
      </c>
      <c r="Q70" s="13">
        <v>56.929280397022332</v>
      </c>
      <c r="R70" s="89">
        <v>10</v>
      </c>
      <c r="S70" s="89">
        <v>12</v>
      </c>
      <c r="T70" s="89">
        <v>54</v>
      </c>
      <c r="U70" s="89">
        <v>35</v>
      </c>
      <c r="V70" s="12">
        <v>-83035</v>
      </c>
      <c r="W70" s="11">
        <v>1.131821250556617</v>
      </c>
      <c r="X70" s="89">
        <v>1</v>
      </c>
      <c r="Y70" s="12">
        <v>83035</v>
      </c>
      <c r="Z70" s="11">
        <v>331.55898115252603</v>
      </c>
      <c r="AA70" s="14">
        <v>7131.8336845908352</v>
      </c>
      <c r="AB70" s="11">
        <v>4.5444159208414998E-2</v>
      </c>
      <c r="AC70" s="11">
        <v>2.649515316809627</v>
      </c>
      <c r="AD70" s="15">
        <v>246546.60028758735</v>
      </c>
      <c r="AE70" s="11">
        <v>832.53193110469419</v>
      </c>
      <c r="AF70" s="11">
        <f>(Opti_Medias__30_ALL_DATA_1[[#This Row],[All: TS Index]]-AA$114) /ABS(AA$114)</f>
        <v>-0.55119760972404885</v>
      </c>
      <c r="AG70" s="11">
        <f>(Opti_Medias__30_ALL_DATA_1[[#This Row],[All: Expectancy Score]]-AB$114) /ABS(AB$114)</f>
        <v>-0.98440109295581879</v>
      </c>
      <c r="AH70" s="11"/>
      <c r="AI70" s="11">
        <f>(Opti_Medias__30_ALL_DATA_1[[#This Row],[All: Perfect Profit Correlation]]-AD$114) /ABS(AD$114)</f>
        <v>-0.20012258709412351</v>
      </c>
      <c r="AJ70" s="11">
        <f>(Opti_Medias__30_ALL_DATA_1[[#This Row],[All: Robustness Index]]-AE$114) /ABS(AE$114)</f>
        <v>0</v>
      </c>
      <c r="AK70" s="11">
        <f>SUM(Opti_Medias__30_ALL_DATA_1[[#This Row],[VAR TS Index]:[VAR Robustness Index]])</f>
        <v>-1.7357212897739911</v>
      </c>
      <c r="AL70" s="11">
        <f>Opti_Medias__30_ALL_DATA_1[[#This Row],[SUMA]]-Opti_Medias__30_ALL_DATA_1[[#This Row],[VAR Robustness Index]]</f>
        <v>-1.7357212897739911</v>
      </c>
    </row>
    <row r="71" spans="1:38" x14ac:dyDescent="0.25">
      <c r="A71" s="11"/>
      <c r="B71" s="89">
        <v>29</v>
      </c>
      <c r="C71" s="89">
        <v>2</v>
      </c>
      <c r="D71" s="89">
        <v>74</v>
      </c>
      <c r="E71" s="10">
        <v>161770</v>
      </c>
      <c r="F71" s="10">
        <v>1978580</v>
      </c>
      <c r="G71" s="10">
        <v>-1816810</v>
      </c>
      <c r="H71" s="89">
        <v>4257</v>
      </c>
      <c r="I71" s="11">
        <v>28.212356119332863</v>
      </c>
      <c r="J71" s="89">
        <v>1201</v>
      </c>
      <c r="K71" s="89">
        <v>3049</v>
      </c>
      <c r="L71" s="12">
        <v>19170</v>
      </c>
      <c r="M71" s="12">
        <v>-4190</v>
      </c>
      <c r="N71" s="12">
        <v>1647.44384765625</v>
      </c>
      <c r="O71" s="12">
        <v>-595.87078857421875</v>
      </c>
      <c r="P71" s="11">
        <v>2.7647669247190372</v>
      </c>
      <c r="Q71" s="13">
        <v>38.000939628846602</v>
      </c>
      <c r="R71" s="89">
        <v>9</v>
      </c>
      <c r="S71" s="89">
        <v>18</v>
      </c>
      <c r="T71" s="89">
        <v>110</v>
      </c>
      <c r="U71" s="89">
        <v>25</v>
      </c>
      <c r="V71" s="12">
        <v>-51345</v>
      </c>
      <c r="W71" s="11">
        <v>1.089040681193961</v>
      </c>
      <c r="X71" s="89">
        <v>1</v>
      </c>
      <c r="Y71" s="12">
        <v>51345</v>
      </c>
      <c r="Z71" s="11">
        <v>315.06475800954331</v>
      </c>
      <c r="AA71" s="14">
        <v>3783.9277436946149</v>
      </c>
      <c r="AB71" s="11">
        <v>1.5171755170154979</v>
      </c>
      <c r="AC71" s="11">
        <v>1.3757974304595539</v>
      </c>
      <c r="AD71" s="15">
        <v>150166.08679868988</v>
      </c>
      <c r="AE71" s="11">
        <v>168.43946006725594</v>
      </c>
      <c r="AF71" s="11">
        <f>(Opti_Medias__30_ALL_DATA_1[[#This Row],[All: TS Index]]-AA$114) /ABS(AA$114)</f>
        <v>-0.76187949816176059</v>
      </c>
      <c r="AG71" s="11">
        <f>(Opti_Medias__30_ALL_DATA_1[[#This Row],[All: Expectancy Score]]-AB$114) /ABS(AB$114)</f>
        <v>-0.47922284685487543</v>
      </c>
      <c r="AH71" s="11"/>
      <c r="AI71" s="11">
        <f>(Opti_Medias__30_ALL_DATA_1[[#This Row],[All: Perfect Profit Correlation]]-AD$114) /ABS(AD$114)</f>
        <v>-0.51281234105590445</v>
      </c>
      <c r="AJ71" s="11">
        <f>(Opti_Medias__30_ALL_DATA_1[[#This Row],[All: Robustness Index]]-AE$114) /ABS(AE$114)</f>
        <v>-0.79767807843267691</v>
      </c>
      <c r="AK71" s="11">
        <f>SUM(Opti_Medias__30_ALL_DATA_1[[#This Row],[VAR TS Index]:[VAR Robustness Index]])</f>
        <v>-2.5515927645052177</v>
      </c>
      <c r="AL71" s="11">
        <f>Opti_Medias__30_ALL_DATA_1[[#This Row],[SUMA]]-Opti_Medias__30_ALL_DATA_1[[#This Row],[VAR Robustness Index]]</f>
        <v>-1.7539146860725408</v>
      </c>
    </row>
    <row r="72" spans="1:38" x14ac:dyDescent="0.25">
      <c r="A72" s="11"/>
      <c r="B72" s="89">
        <v>28</v>
      </c>
      <c r="C72" s="89">
        <v>2</v>
      </c>
      <c r="D72" s="89">
        <v>73</v>
      </c>
      <c r="E72" s="10">
        <v>147310</v>
      </c>
      <c r="F72" s="10">
        <v>1940030</v>
      </c>
      <c r="G72" s="10">
        <v>-1792720</v>
      </c>
      <c r="H72" s="89">
        <v>4129</v>
      </c>
      <c r="I72" s="11">
        <v>28.626786146766772</v>
      </c>
      <c r="J72" s="89">
        <v>1182</v>
      </c>
      <c r="K72" s="89">
        <v>2941</v>
      </c>
      <c r="L72" s="12">
        <v>19430</v>
      </c>
      <c r="M72" s="12">
        <v>-4120</v>
      </c>
      <c r="N72" s="12">
        <v>1641.311279296875</v>
      </c>
      <c r="O72" s="12">
        <v>-609.5614013671875</v>
      </c>
      <c r="P72" s="11">
        <v>2.6926102532338372</v>
      </c>
      <c r="Q72" s="13">
        <v>35.67691935093243</v>
      </c>
      <c r="R72" s="89">
        <v>6</v>
      </c>
      <c r="S72" s="89">
        <v>18</v>
      </c>
      <c r="T72" s="89">
        <v>112</v>
      </c>
      <c r="U72" s="89">
        <v>26</v>
      </c>
      <c r="V72" s="12">
        <v>-44335</v>
      </c>
      <c r="W72" s="11">
        <v>1.082171225846758</v>
      </c>
      <c r="X72" s="89">
        <v>1</v>
      </c>
      <c r="Y72" s="12">
        <v>44335</v>
      </c>
      <c r="Z72" s="11">
        <v>332.26570429683096</v>
      </c>
      <c r="AA72" s="14">
        <v>3927.3806247885418</v>
      </c>
      <c r="AB72" s="11">
        <v>1.620797776747199</v>
      </c>
      <c r="AC72" s="11">
        <v>1.2393845907787211</v>
      </c>
      <c r="AD72" s="15">
        <v>135318.83473028755</v>
      </c>
      <c r="AE72" s="11">
        <v>189.71341392835023</v>
      </c>
      <c r="AF72" s="11">
        <f>(Opti_Medias__30_ALL_DATA_1[[#This Row],[All: TS Index]]-AA$114) /ABS(AA$114)</f>
        <v>-0.75285208687116478</v>
      </c>
      <c r="AG72" s="11">
        <f>(Opti_Medias__30_ALL_DATA_1[[#This Row],[All: Expectancy Score]]-AB$114) /ABS(AB$114)</f>
        <v>-0.4436540515373138</v>
      </c>
      <c r="AH72" s="11"/>
      <c r="AI72" s="11">
        <f>(Opti_Medias__30_ALL_DATA_1[[#This Row],[All: Perfect Profit Correlation]]-AD$114) /ABS(AD$114)</f>
        <v>-0.56098165898355867</v>
      </c>
      <c r="AJ72" s="11">
        <f>(Opti_Medias__30_ALL_DATA_1[[#This Row],[All: Robustness Index]]-AE$114) /ABS(AE$114)</f>
        <v>-0.77212475961538451</v>
      </c>
      <c r="AK72" s="11">
        <f>SUM(Opti_Medias__30_ALL_DATA_1[[#This Row],[VAR TS Index]:[VAR Robustness Index]])</f>
        <v>-2.5296125570074217</v>
      </c>
      <c r="AL72" s="11">
        <f>Opti_Medias__30_ALL_DATA_1[[#This Row],[SUMA]]-Opti_Medias__30_ALL_DATA_1[[#This Row],[VAR Robustness Index]]</f>
        <v>-1.7574877973920371</v>
      </c>
    </row>
    <row r="73" spans="1:38" x14ac:dyDescent="0.25">
      <c r="A73" s="11"/>
      <c r="B73" s="89">
        <v>26</v>
      </c>
      <c r="C73" s="89">
        <v>11</v>
      </c>
      <c r="D73" s="89">
        <v>476</v>
      </c>
      <c r="E73" s="10">
        <v>190870</v>
      </c>
      <c r="F73" s="10">
        <v>2362960</v>
      </c>
      <c r="G73" s="10">
        <v>-2172090</v>
      </c>
      <c r="H73" s="89">
        <v>5265</v>
      </c>
      <c r="I73" s="11">
        <v>40.227920227920229</v>
      </c>
      <c r="J73" s="89">
        <v>2118</v>
      </c>
      <c r="K73" s="89">
        <v>3117</v>
      </c>
      <c r="L73" s="12">
        <v>17650</v>
      </c>
      <c r="M73" s="12">
        <v>-4670</v>
      </c>
      <c r="N73" s="12">
        <v>1115.65625</v>
      </c>
      <c r="O73" s="12">
        <v>-696.85272216796875</v>
      </c>
      <c r="P73" s="11">
        <v>1.600992884879745</v>
      </c>
      <c r="Q73" s="13">
        <v>36.252611585944919</v>
      </c>
      <c r="R73" s="89">
        <v>9</v>
      </c>
      <c r="S73" s="89">
        <v>16</v>
      </c>
      <c r="T73" s="89">
        <v>61</v>
      </c>
      <c r="U73" s="89">
        <v>26</v>
      </c>
      <c r="V73" s="12">
        <v>-45275</v>
      </c>
      <c r="W73" s="11">
        <v>1.0878738910450301</v>
      </c>
      <c r="X73" s="89">
        <v>1</v>
      </c>
      <c r="Y73" s="12">
        <v>45275</v>
      </c>
      <c r="Z73" s="11">
        <v>421.57923799006073</v>
      </c>
      <c r="AA73" s="14">
        <v>8929.0482606294863</v>
      </c>
      <c r="AB73" s="11">
        <v>0.31711400777895299</v>
      </c>
      <c r="AC73" s="11">
        <v>1.784309213896967</v>
      </c>
      <c r="AD73" s="15">
        <v>176224.75461371374</v>
      </c>
      <c r="AE73" s="11">
        <v>58.900646125626096</v>
      </c>
      <c r="AF73" s="11">
        <f>(Opti_Medias__30_ALL_DATA_1[[#This Row],[All: TS Index]]-AA$114) /ABS(AA$114)</f>
        <v>-0.43809988013065287</v>
      </c>
      <c r="AG73" s="11">
        <f>(Opti_Medias__30_ALL_DATA_1[[#This Row],[All: Expectancy Score]]-AB$114) /ABS(AB$114)</f>
        <v>-0.89114922542486752</v>
      </c>
      <c r="AH73" s="11"/>
      <c r="AI73" s="11">
        <f>(Opti_Medias__30_ALL_DATA_1[[#This Row],[All: Perfect Profit Correlation]]-AD$114) /ABS(AD$114)</f>
        <v>-0.42826954155535779</v>
      </c>
      <c r="AJ73" s="11">
        <f>(Opti_Medias__30_ALL_DATA_1[[#This Row],[All: Robustness Index]]-AE$114) /ABS(AE$114)</f>
        <v>-0.9292511867413058</v>
      </c>
      <c r="AK73" s="11">
        <f>SUM(Opti_Medias__30_ALL_DATA_1[[#This Row],[VAR TS Index]:[VAR Robustness Index]])</f>
        <v>-2.6867698338521842</v>
      </c>
      <c r="AL73" s="11">
        <f>Opti_Medias__30_ALL_DATA_1[[#This Row],[SUMA]]-Opti_Medias__30_ALL_DATA_1[[#This Row],[VAR Robustness Index]]</f>
        <v>-1.7575186471108784</v>
      </c>
    </row>
    <row r="74" spans="1:38" x14ac:dyDescent="0.25">
      <c r="A74" s="11"/>
      <c r="B74" s="89">
        <v>28</v>
      </c>
      <c r="C74" s="89">
        <v>1</v>
      </c>
      <c r="D74" s="89">
        <v>28</v>
      </c>
      <c r="E74" s="10">
        <v>200810</v>
      </c>
      <c r="F74" s="10">
        <v>2238800</v>
      </c>
      <c r="G74" s="10">
        <v>-2037990</v>
      </c>
      <c r="H74" s="89">
        <v>5038</v>
      </c>
      <c r="I74" s="11">
        <v>35.37117903930131</v>
      </c>
      <c r="J74" s="89">
        <v>1782</v>
      </c>
      <c r="K74" s="89">
        <v>3232</v>
      </c>
      <c r="L74" s="12">
        <v>17290</v>
      </c>
      <c r="M74" s="12">
        <v>-5820</v>
      </c>
      <c r="N74" s="12">
        <v>1256.3411865234375</v>
      </c>
      <c r="O74" s="12">
        <v>-630.56622314453125</v>
      </c>
      <c r="P74" s="11">
        <v>1.9924016549098811</v>
      </c>
      <c r="Q74" s="13">
        <v>39.859071059944419</v>
      </c>
      <c r="R74" s="89">
        <v>7</v>
      </c>
      <c r="S74" s="89">
        <v>15</v>
      </c>
      <c r="T74" s="89">
        <v>70</v>
      </c>
      <c r="U74" s="89">
        <v>26</v>
      </c>
      <c r="V74" s="12">
        <v>-61675</v>
      </c>
      <c r="W74" s="11">
        <v>1.098533358848669</v>
      </c>
      <c r="X74" s="89">
        <v>1</v>
      </c>
      <c r="Y74" s="12">
        <v>61675</v>
      </c>
      <c r="Z74" s="11">
        <v>325.59383867044994</v>
      </c>
      <c r="AA74" s="14">
        <v>5802.0822051074183</v>
      </c>
      <c r="AB74" s="11">
        <v>0.73037263337626301</v>
      </c>
      <c r="AC74" s="11">
        <v>1.8362325636273999</v>
      </c>
      <c r="AD74" s="15">
        <v>186408.11391314765</v>
      </c>
      <c r="AE74" s="11">
        <v>222.90800845259636</v>
      </c>
      <c r="AF74" s="11">
        <f>(Opti_Medias__30_ALL_DATA_1[[#This Row],[All: TS Index]]-AA$114) /ABS(AA$114)</f>
        <v>-0.63487814250968955</v>
      </c>
      <c r="AG74" s="11">
        <f>(Opti_Medias__30_ALL_DATA_1[[#This Row],[All: Expectancy Score]]-AB$114) /ABS(AB$114)</f>
        <v>-0.74929638892866957</v>
      </c>
      <c r="AH74" s="11"/>
      <c r="AI74" s="11">
        <f>(Opti_Medias__30_ALL_DATA_1[[#This Row],[All: Perfect Profit Correlation]]-AD$114) /ABS(AD$114)</f>
        <v>-0.39523140969054665</v>
      </c>
      <c r="AJ74" s="11">
        <f>(Opti_Medias__30_ALL_DATA_1[[#This Row],[All: Robustness Index]]-AE$114) /ABS(AE$114)</f>
        <v>-0.73225290211173311</v>
      </c>
      <c r="AK74" s="11">
        <f>SUM(Opti_Medias__30_ALL_DATA_1[[#This Row],[VAR TS Index]:[VAR Robustness Index]])</f>
        <v>-2.5116588432406388</v>
      </c>
      <c r="AL74" s="11">
        <f>Opti_Medias__30_ALL_DATA_1[[#This Row],[SUMA]]-Opti_Medias__30_ALL_DATA_1[[#This Row],[VAR Robustness Index]]</f>
        <v>-1.7794059411289056</v>
      </c>
    </row>
    <row r="75" spans="1:38" x14ac:dyDescent="0.25">
      <c r="A75" s="11"/>
      <c r="B75" s="89">
        <v>30</v>
      </c>
      <c r="C75" s="89">
        <v>1</v>
      </c>
      <c r="D75" s="89">
        <v>30</v>
      </c>
      <c r="E75" s="10">
        <v>181350</v>
      </c>
      <c r="F75" s="10">
        <v>2242880</v>
      </c>
      <c r="G75" s="10">
        <v>-2061530</v>
      </c>
      <c r="H75" s="89">
        <v>5116</v>
      </c>
      <c r="I75" s="11">
        <v>35.379202501954651</v>
      </c>
      <c r="J75" s="89">
        <v>1810</v>
      </c>
      <c r="K75" s="89">
        <v>3281</v>
      </c>
      <c r="L75" s="12">
        <v>17550</v>
      </c>
      <c r="M75" s="12">
        <v>-5590</v>
      </c>
      <c r="N75" s="12">
        <v>1239.1602783203125</v>
      </c>
      <c r="O75" s="12">
        <v>-628.32366943359375</v>
      </c>
      <c r="P75" s="11">
        <v>1.972168706356966</v>
      </c>
      <c r="Q75" s="13">
        <v>35.447615324472245</v>
      </c>
      <c r="R75" s="89">
        <v>7</v>
      </c>
      <c r="S75" s="89">
        <v>13</v>
      </c>
      <c r="T75" s="89">
        <v>70</v>
      </c>
      <c r="U75" s="89">
        <v>25</v>
      </c>
      <c r="V75" s="12">
        <v>-60585</v>
      </c>
      <c r="W75" s="11">
        <v>1.0879686446474219</v>
      </c>
      <c r="X75" s="89">
        <v>1</v>
      </c>
      <c r="Y75" s="12">
        <v>60585</v>
      </c>
      <c r="Z75" s="11">
        <v>299.33151770240158</v>
      </c>
      <c r="AA75" s="14">
        <v>5417.9004704134686</v>
      </c>
      <c r="AB75" s="11">
        <v>0.95283387502195005</v>
      </c>
      <c r="AC75" s="11">
        <v>1.6462143938908731</v>
      </c>
      <c r="AD75" s="15">
        <v>166009.87353703688</v>
      </c>
      <c r="AE75" s="11">
        <v>236.62776190802876</v>
      </c>
      <c r="AF75" s="11">
        <f>(Opti_Medias__30_ALL_DATA_1[[#This Row],[All: TS Index]]-AA$114) /ABS(AA$114)</f>
        <v>-0.65905448879823847</v>
      </c>
      <c r="AG75" s="11">
        <f>(Opti_Medias__30_ALL_DATA_1[[#This Row],[All: Expectancy Score]]-AB$114) /ABS(AB$114)</f>
        <v>-0.67293559163787919</v>
      </c>
      <c r="AH75" s="11"/>
      <c r="AI75" s="11">
        <f>(Opti_Medias__30_ALL_DATA_1[[#This Row],[All: Perfect Profit Correlation]]-AD$114) /ABS(AD$114)</f>
        <v>-0.46140994032468874</v>
      </c>
      <c r="AJ75" s="11">
        <f>(Opti_Medias__30_ALL_DATA_1[[#This Row],[All: Robustness Index]]-AE$114) /ABS(AE$114)</f>
        <v>-0.71577334986533758</v>
      </c>
      <c r="AK75" s="11">
        <f>SUM(Opti_Medias__30_ALL_DATA_1[[#This Row],[VAR TS Index]:[VAR Robustness Index]])</f>
        <v>-2.5091733706261437</v>
      </c>
      <c r="AL75" s="11">
        <f>Opti_Medias__30_ALL_DATA_1[[#This Row],[SUMA]]-Opti_Medias__30_ALL_DATA_1[[#This Row],[VAR Robustness Index]]</f>
        <v>-1.7934000207608061</v>
      </c>
    </row>
    <row r="76" spans="1:38" x14ac:dyDescent="0.25">
      <c r="A76" s="11"/>
      <c r="B76" s="89">
        <v>22</v>
      </c>
      <c r="C76" s="89">
        <v>11</v>
      </c>
      <c r="D76" s="89">
        <v>472</v>
      </c>
      <c r="E76" s="10">
        <v>183270</v>
      </c>
      <c r="F76" s="10">
        <v>2360340</v>
      </c>
      <c r="G76" s="10">
        <v>-2177070</v>
      </c>
      <c r="H76" s="89">
        <v>5293</v>
      </c>
      <c r="I76" s="11">
        <v>41.450972983185338</v>
      </c>
      <c r="J76" s="89">
        <v>2194</v>
      </c>
      <c r="K76" s="89">
        <v>3070</v>
      </c>
      <c r="L76" s="12">
        <v>17900</v>
      </c>
      <c r="M76" s="12">
        <v>-7220</v>
      </c>
      <c r="N76" s="12">
        <v>1075.81591796875</v>
      </c>
      <c r="O76" s="12">
        <v>-709.143310546875</v>
      </c>
      <c r="P76" s="11">
        <v>1.517064184303037</v>
      </c>
      <c r="Q76" s="13">
        <v>34.624976383903267</v>
      </c>
      <c r="R76" s="89">
        <v>9</v>
      </c>
      <c r="S76" s="89">
        <v>13</v>
      </c>
      <c r="T76" s="89">
        <v>58</v>
      </c>
      <c r="U76" s="89">
        <v>27</v>
      </c>
      <c r="V76" s="12">
        <v>-48955</v>
      </c>
      <c r="W76" s="11">
        <v>1.0841819509707999</v>
      </c>
      <c r="X76" s="89">
        <v>1</v>
      </c>
      <c r="Y76" s="12">
        <v>48955</v>
      </c>
      <c r="Z76" s="11">
        <v>374.36421203145744</v>
      </c>
      <c r="AA76" s="14">
        <v>8213.5508119701772</v>
      </c>
      <c r="AB76" s="11">
        <v>0.38359820295772301</v>
      </c>
      <c r="AC76" s="11">
        <v>1.7217053555577391</v>
      </c>
      <c r="AD76" s="15">
        <v>169883.09733593269</v>
      </c>
      <c r="AE76" s="11">
        <v>382.9423610291488</v>
      </c>
      <c r="AF76" s="11">
        <f>(Opti_Medias__30_ALL_DATA_1[[#This Row],[All: TS Index]]-AA$114) /ABS(AA$114)</f>
        <v>-0.48312574295867333</v>
      </c>
      <c r="AG76" s="11">
        <f>(Opti_Medias__30_ALL_DATA_1[[#This Row],[All: Expectancy Score]]-AB$114) /ABS(AB$114)</f>
        <v>-0.86832823371623913</v>
      </c>
      <c r="AH76" s="11"/>
      <c r="AI76" s="11">
        <f>(Opti_Medias__30_ALL_DATA_1[[#This Row],[All: Perfect Profit Correlation]]-AD$114) /ABS(AD$114)</f>
        <v>-0.44884394173354031</v>
      </c>
      <c r="AJ76" s="11">
        <f>(Opti_Medias__30_ALL_DATA_1[[#This Row],[All: Robustness Index]]-AE$114) /ABS(AE$114)</f>
        <v>-0.54002681852572421</v>
      </c>
      <c r="AK76" s="11">
        <f>SUM(Opti_Medias__30_ALL_DATA_1[[#This Row],[VAR TS Index]:[VAR Robustness Index]])</f>
        <v>-2.3403247369341771</v>
      </c>
      <c r="AL76" s="11">
        <f>Opti_Medias__30_ALL_DATA_1[[#This Row],[SUMA]]-Opti_Medias__30_ALL_DATA_1[[#This Row],[VAR Robustness Index]]</f>
        <v>-1.8002979184084529</v>
      </c>
    </row>
    <row r="77" spans="1:38" x14ac:dyDescent="0.25">
      <c r="A77" s="11"/>
      <c r="B77" s="89">
        <v>37</v>
      </c>
      <c r="C77" s="89">
        <v>5</v>
      </c>
      <c r="D77" s="89">
        <v>217</v>
      </c>
      <c r="E77" s="10">
        <v>161110</v>
      </c>
      <c r="F77" s="10">
        <v>2207230</v>
      </c>
      <c r="G77" s="10">
        <v>-2046120</v>
      </c>
      <c r="H77" s="89">
        <v>5736</v>
      </c>
      <c r="I77" s="11">
        <v>29.741980474198048</v>
      </c>
      <c r="J77" s="89">
        <v>1706</v>
      </c>
      <c r="K77" s="89">
        <v>4000</v>
      </c>
      <c r="L77" s="12">
        <v>17380</v>
      </c>
      <c r="M77" s="12">
        <v>-4450</v>
      </c>
      <c r="N77" s="12">
        <v>1293.80419921875</v>
      </c>
      <c r="O77" s="12">
        <v>-511.52999877929688</v>
      </c>
      <c r="P77" s="11">
        <v>2.5292831355077001</v>
      </c>
      <c r="Q77" s="13">
        <v>28.087517433751742</v>
      </c>
      <c r="R77" s="89">
        <v>5</v>
      </c>
      <c r="S77" s="89">
        <v>22</v>
      </c>
      <c r="T77" s="89">
        <v>78</v>
      </c>
      <c r="U77" s="89">
        <v>19</v>
      </c>
      <c r="V77" s="12">
        <v>-51225</v>
      </c>
      <c r="W77" s="11">
        <v>1.078739272378942</v>
      </c>
      <c r="X77" s="89">
        <v>1</v>
      </c>
      <c r="Y77" s="12">
        <v>51225</v>
      </c>
      <c r="Z77" s="11">
        <v>314.51439726695952</v>
      </c>
      <c r="AA77" s="14">
        <v>5365.6156173743293</v>
      </c>
      <c r="AB77" s="11">
        <v>1.144948244810958</v>
      </c>
      <c r="AC77" s="11">
        <v>1.4002302806656131</v>
      </c>
      <c r="AD77" s="15">
        <v>143329.3897537447</v>
      </c>
      <c r="AE77" s="11">
        <v>204.80860493766082</v>
      </c>
      <c r="AF77" s="11">
        <f>(Opti_Medias__30_ALL_DATA_1[[#This Row],[All: TS Index]]-AA$114) /ABS(AA$114)</f>
        <v>-0.66234474598271154</v>
      </c>
      <c r="AG77" s="11">
        <f>(Opti_Medias__30_ALL_DATA_1[[#This Row],[All: Expectancy Score]]-AB$114) /ABS(AB$114)</f>
        <v>-0.60699149126523433</v>
      </c>
      <c r="AH77" s="11"/>
      <c r="AI77" s="11">
        <f>(Opti_Medias__30_ALL_DATA_1[[#This Row],[All: Perfect Profit Correlation]]-AD$114) /ABS(AD$114)</f>
        <v>-0.53499281135544696</v>
      </c>
      <c r="AJ77" s="11">
        <f>(Opti_Medias__30_ALL_DATA_1[[#This Row],[All: Robustness Index]]-AE$114) /ABS(AE$114)</f>
        <v>-0.75399309349504662</v>
      </c>
      <c r="AK77" s="11">
        <f>SUM(Opti_Medias__30_ALL_DATA_1[[#This Row],[VAR TS Index]:[VAR Robustness Index]])</f>
        <v>-2.5583221420984392</v>
      </c>
      <c r="AL77" s="11">
        <f>Opti_Medias__30_ALL_DATA_1[[#This Row],[SUMA]]-Opti_Medias__30_ALL_DATA_1[[#This Row],[VAR Robustness Index]]</f>
        <v>-1.8043290486033925</v>
      </c>
    </row>
    <row r="78" spans="1:38" x14ac:dyDescent="0.25">
      <c r="A78" s="11"/>
      <c r="B78" s="89">
        <v>25</v>
      </c>
      <c r="C78" s="89">
        <v>11</v>
      </c>
      <c r="D78" s="89">
        <v>475</v>
      </c>
      <c r="E78" s="10">
        <v>169150</v>
      </c>
      <c r="F78" s="10">
        <v>2352480</v>
      </c>
      <c r="G78" s="10">
        <v>-2183330</v>
      </c>
      <c r="H78" s="89">
        <v>5283</v>
      </c>
      <c r="I78" s="11">
        <v>40.696573916335417</v>
      </c>
      <c r="J78" s="89">
        <v>2150</v>
      </c>
      <c r="K78" s="89">
        <v>3096</v>
      </c>
      <c r="L78" s="12">
        <v>17430</v>
      </c>
      <c r="M78" s="12">
        <v>-6480</v>
      </c>
      <c r="N78" s="12">
        <v>1094.1767578125</v>
      </c>
      <c r="O78" s="12">
        <v>-705.2099609375</v>
      </c>
      <c r="P78" s="11">
        <v>1.551561688603931</v>
      </c>
      <c r="Q78" s="13">
        <v>32.017792920689004</v>
      </c>
      <c r="R78" s="89">
        <v>10</v>
      </c>
      <c r="S78" s="89">
        <v>14</v>
      </c>
      <c r="T78" s="89">
        <v>60</v>
      </c>
      <c r="U78" s="89">
        <v>26</v>
      </c>
      <c r="V78" s="12">
        <v>-52275</v>
      </c>
      <c r="W78" s="11">
        <v>1.0774734007227491</v>
      </c>
      <c r="X78" s="89">
        <v>1</v>
      </c>
      <c r="Y78" s="12">
        <v>52275</v>
      </c>
      <c r="Z78" s="11">
        <v>323.57723577235771</v>
      </c>
      <c r="AA78" s="14">
        <v>6956.9105691056911</v>
      </c>
      <c r="AB78" s="11">
        <v>0.68967038721540597</v>
      </c>
      <c r="AC78" s="11">
        <v>1.5765419965858569</v>
      </c>
      <c r="AD78" s="15">
        <v>154537.60010125642</v>
      </c>
      <c r="AE78" s="11">
        <v>82.06123666986997</v>
      </c>
      <c r="AF78" s="11">
        <f>(Opti_Medias__30_ALL_DATA_1[[#This Row],[All: TS Index]]-AA$114) /ABS(AA$114)</f>
        <v>-0.5622054256401533</v>
      </c>
      <c r="AG78" s="11">
        <f>(Opti_Medias__30_ALL_DATA_1[[#This Row],[All: Expectancy Score]]-AB$114) /ABS(AB$114)</f>
        <v>-0.76326761351312655</v>
      </c>
      <c r="AH78" s="11"/>
      <c r="AI78" s="11">
        <f>(Opti_Medias__30_ALL_DATA_1[[#This Row],[All: Perfect Profit Correlation]]-AD$114) /ABS(AD$114)</f>
        <v>-0.49862972914050263</v>
      </c>
      <c r="AJ78" s="11">
        <f>(Opti_Medias__30_ALL_DATA_1[[#This Row],[All: Robustness Index]]-AE$114) /ABS(AE$114)</f>
        <v>-0.90143172459345544</v>
      </c>
      <c r="AK78" s="11">
        <f>SUM(Opti_Medias__30_ALL_DATA_1[[#This Row],[VAR TS Index]:[VAR Robustness Index]])</f>
        <v>-2.7255344928872378</v>
      </c>
      <c r="AL78" s="11">
        <f>Opti_Medias__30_ALL_DATA_1[[#This Row],[SUMA]]-Opti_Medias__30_ALL_DATA_1[[#This Row],[VAR Robustness Index]]</f>
        <v>-1.8241027682937823</v>
      </c>
    </row>
    <row r="79" spans="1:38" x14ac:dyDescent="0.25">
      <c r="A79" s="11"/>
      <c r="B79" s="89">
        <v>31</v>
      </c>
      <c r="C79" s="89">
        <v>1</v>
      </c>
      <c r="D79" s="89">
        <v>31</v>
      </c>
      <c r="E79" s="10">
        <v>194330</v>
      </c>
      <c r="F79" s="10">
        <v>2257990</v>
      </c>
      <c r="G79" s="10">
        <v>-2063660</v>
      </c>
      <c r="H79" s="89">
        <v>5182</v>
      </c>
      <c r="I79" s="11">
        <v>34.658433037437284</v>
      </c>
      <c r="J79" s="89">
        <v>1796</v>
      </c>
      <c r="K79" s="89">
        <v>3363</v>
      </c>
      <c r="L79" s="12">
        <v>17310</v>
      </c>
      <c r="M79" s="12">
        <v>-5590</v>
      </c>
      <c r="N79" s="12">
        <v>1257.2327880859375</v>
      </c>
      <c r="O79" s="12">
        <v>-613.63665771484375</v>
      </c>
      <c r="P79" s="11">
        <v>2.0488228209309041</v>
      </c>
      <c r="Q79" s="13">
        <v>37.500964878425322</v>
      </c>
      <c r="R79" s="89">
        <v>7</v>
      </c>
      <c r="S79" s="89">
        <v>15</v>
      </c>
      <c r="T79" s="89">
        <v>70</v>
      </c>
      <c r="U79" s="89">
        <v>25</v>
      </c>
      <c r="V79" s="12">
        <v>-52055</v>
      </c>
      <c r="W79" s="11">
        <v>1.094167643894828</v>
      </c>
      <c r="X79" s="89">
        <v>1</v>
      </c>
      <c r="Y79" s="12">
        <v>52055</v>
      </c>
      <c r="Z79" s="11">
        <v>373.31668427624629</v>
      </c>
      <c r="AA79" s="14">
        <v>6704.7676496013828</v>
      </c>
      <c r="AB79" s="11">
        <v>0.235565555985878</v>
      </c>
      <c r="AC79" s="11">
        <v>1.7663506615310649</v>
      </c>
      <c r="AD79" s="15">
        <v>182470.29388099062</v>
      </c>
      <c r="AE79" s="11">
        <v>183.2011576247385</v>
      </c>
      <c r="AF79" s="11">
        <f>(Opti_Medias__30_ALL_DATA_1[[#This Row],[All: TS Index]]-AA$114) /ABS(AA$114)</f>
        <v>-0.5780726415581563</v>
      </c>
      <c r="AG79" s="11">
        <f>(Opti_Medias__30_ALL_DATA_1[[#This Row],[All: Expectancy Score]]-AB$114) /ABS(AB$114)</f>
        <v>-0.91914108931397887</v>
      </c>
      <c r="AH79" s="11"/>
      <c r="AI79" s="11">
        <f>(Opti_Medias__30_ALL_DATA_1[[#This Row],[All: Perfect Profit Correlation]]-AD$114) /ABS(AD$114)</f>
        <v>-0.40800697948601983</v>
      </c>
      <c r="AJ79" s="11">
        <f>(Opti_Medias__30_ALL_DATA_1[[#This Row],[All: Robustness Index]]-AE$114) /ABS(AE$114)</f>
        <v>-0.77994698968284959</v>
      </c>
      <c r="AK79" s="11">
        <f>SUM(Opti_Medias__30_ALL_DATA_1[[#This Row],[VAR TS Index]:[VAR Robustness Index]])</f>
        <v>-2.6851677000410046</v>
      </c>
      <c r="AL79" s="11">
        <f>Opti_Medias__30_ALL_DATA_1[[#This Row],[SUMA]]-Opti_Medias__30_ALL_DATA_1[[#This Row],[VAR Robustness Index]]</f>
        <v>-1.9052207103581549</v>
      </c>
    </row>
    <row r="80" spans="1:38" x14ac:dyDescent="0.25">
      <c r="A80" s="11"/>
      <c r="B80" s="89">
        <v>38</v>
      </c>
      <c r="C80" s="89">
        <v>1</v>
      </c>
      <c r="D80" s="89">
        <v>38</v>
      </c>
      <c r="E80" s="10">
        <v>168280</v>
      </c>
      <c r="F80" s="10">
        <v>2414870</v>
      </c>
      <c r="G80" s="10">
        <v>-2246590</v>
      </c>
      <c r="H80" s="89">
        <v>6196</v>
      </c>
      <c r="I80" s="11">
        <v>31.681730148482892</v>
      </c>
      <c r="J80" s="89">
        <v>1963</v>
      </c>
      <c r="K80" s="89">
        <v>4207</v>
      </c>
      <c r="L80" s="12">
        <v>18740</v>
      </c>
      <c r="M80" s="12">
        <v>-5240</v>
      </c>
      <c r="N80" s="12">
        <v>1230.193603515625</v>
      </c>
      <c r="O80" s="12">
        <v>-534.01239013671875</v>
      </c>
      <c r="P80" s="11">
        <v>2.303679888776867</v>
      </c>
      <c r="Q80" s="13">
        <v>27.159457714654614</v>
      </c>
      <c r="R80" s="89">
        <v>7</v>
      </c>
      <c r="S80" s="89">
        <v>20</v>
      </c>
      <c r="T80" s="89">
        <v>66</v>
      </c>
      <c r="U80" s="89">
        <v>19</v>
      </c>
      <c r="V80" s="12">
        <v>-52815</v>
      </c>
      <c r="W80" s="11">
        <v>1.074904633244161</v>
      </c>
      <c r="X80" s="89">
        <v>1</v>
      </c>
      <c r="Y80" s="12">
        <v>52815</v>
      </c>
      <c r="Z80" s="11">
        <v>318.62160371106694</v>
      </c>
      <c r="AA80" s="14">
        <v>6254.542080848244</v>
      </c>
      <c r="AB80" s="11">
        <v>0.63123149450164395</v>
      </c>
      <c r="AC80" s="11">
        <v>1.4841212788959031</v>
      </c>
      <c r="AD80" s="15">
        <v>146521.80595859783</v>
      </c>
      <c r="AE80" s="11">
        <v>145.45832720055154</v>
      </c>
      <c r="AF80" s="11">
        <f>(Opti_Medias__30_ALL_DATA_1[[#This Row],[All: TS Index]]-AA$114) /ABS(AA$114)</f>
        <v>-0.60640509017601141</v>
      </c>
      <c r="AG80" s="11">
        <f>(Opti_Medias__30_ALL_DATA_1[[#This Row],[All: Expectancy Score]]-AB$114) /ABS(AB$114)</f>
        <v>-0.78332701985016917</v>
      </c>
      <c r="AH80" s="11"/>
      <c r="AI80" s="11">
        <f>(Opti_Medias__30_ALL_DATA_1[[#This Row],[All: Perfect Profit Correlation]]-AD$114) /ABS(AD$114)</f>
        <v>-0.52463557417643858</v>
      </c>
      <c r="AJ80" s="11">
        <f>(Opti_Medias__30_ALL_DATA_1[[#This Row],[All: Robustness Index]]-AE$114) /ABS(AE$114)</f>
        <v>-0.82528198407051889</v>
      </c>
      <c r="AK80" s="11">
        <f>SUM(Opti_Medias__30_ALL_DATA_1[[#This Row],[VAR TS Index]:[VAR Robustness Index]])</f>
        <v>-2.7396496682731382</v>
      </c>
      <c r="AL80" s="11">
        <f>Opti_Medias__30_ALL_DATA_1[[#This Row],[SUMA]]-Opti_Medias__30_ALL_DATA_1[[#This Row],[VAR Robustness Index]]</f>
        <v>-1.9143676842026194</v>
      </c>
    </row>
    <row r="81" spans="1:38" x14ac:dyDescent="0.25">
      <c r="A81" s="11"/>
      <c r="B81" s="89">
        <v>19</v>
      </c>
      <c r="C81" s="89">
        <v>3</v>
      </c>
      <c r="D81" s="89">
        <v>109</v>
      </c>
      <c r="E81" s="10">
        <v>203920</v>
      </c>
      <c r="F81" s="10">
        <v>2218780</v>
      </c>
      <c r="G81" s="10">
        <v>-2014860</v>
      </c>
      <c r="H81" s="89">
        <v>4068</v>
      </c>
      <c r="I81" s="11">
        <v>40.658800393313669</v>
      </c>
      <c r="J81" s="89">
        <v>1654</v>
      </c>
      <c r="K81" s="89">
        <v>2398</v>
      </c>
      <c r="L81" s="12">
        <v>26020</v>
      </c>
      <c r="M81" s="12">
        <v>-6640</v>
      </c>
      <c r="N81" s="12">
        <v>1341.463134765625</v>
      </c>
      <c r="O81" s="12">
        <v>-840.22515869140625</v>
      </c>
      <c r="P81" s="11">
        <v>1.596551972872204</v>
      </c>
      <c r="Q81" s="13">
        <v>50.127826941986235</v>
      </c>
      <c r="R81" s="89">
        <v>8</v>
      </c>
      <c r="S81" s="89">
        <v>12</v>
      </c>
      <c r="T81" s="89">
        <v>69</v>
      </c>
      <c r="U81" s="89">
        <v>39</v>
      </c>
      <c r="V81" s="12">
        <v>-74875</v>
      </c>
      <c r="W81" s="11">
        <v>1.1012080243788649</v>
      </c>
      <c r="X81" s="89">
        <v>1</v>
      </c>
      <c r="Y81" s="12">
        <v>74875</v>
      </c>
      <c r="Z81" s="11">
        <v>272.34724540901504</v>
      </c>
      <c r="AA81" s="14">
        <v>4504.6234390651089</v>
      </c>
      <c r="AB81" s="11">
        <v>0.592357803188159</v>
      </c>
      <c r="AC81" s="11">
        <v>1.9050880636487619</v>
      </c>
      <c r="AD81" s="15">
        <v>184261.20025086417</v>
      </c>
      <c r="AE81" s="11">
        <v>613.92118894029932</v>
      </c>
      <c r="AF81" s="11">
        <f>(Opti_Medias__30_ALL_DATA_1[[#This Row],[All: TS Index]]-AA$114) /ABS(AA$114)</f>
        <v>-0.71652651251338262</v>
      </c>
      <c r="AG81" s="11">
        <f>(Opti_Medias__30_ALL_DATA_1[[#This Row],[All: Expectancy Score]]-AB$114) /ABS(AB$114)</f>
        <v>-0.79667058496009313</v>
      </c>
      <c r="AH81" s="11"/>
      <c r="AI81" s="11">
        <f>(Opti_Medias__30_ALL_DATA_1[[#This Row],[All: Perfect Profit Correlation]]-AD$114) /ABS(AD$114)</f>
        <v>-0.40219669635001171</v>
      </c>
      <c r="AJ81" s="11">
        <f>(Opti_Medias__30_ALL_DATA_1[[#This Row],[All: Robustness Index]]-AE$114) /ABS(AE$114)</f>
        <v>-0.26258541444088312</v>
      </c>
      <c r="AK81" s="11">
        <f>SUM(Opti_Medias__30_ALL_DATA_1[[#This Row],[VAR TS Index]:[VAR Robustness Index]])</f>
        <v>-2.1779792082643707</v>
      </c>
      <c r="AL81" s="11">
        <f>Opti_Medias__30_ALL_DATA_1[[#This Row],[SUMA]]-Opti_Medias__30_ALL_DATA_1[[#This Row],[VAR Robustness Index]]</f>
        <v>-1.9153937938234877</v>
      </c>
    </row>
    <row r="82" spans="1:38" x14ac:dyDescent="0.25">
      <c r="A82" s="11"/>
      <c r="B82" s="89">
        <v>39</v>
      </c>
      <c r="C82" s="89">
        <v>5</v>
      </c>
      <c r="D82" s="89">
        <v>219</v>
      </c>
      <c r="E82" s="10">
        <v>133820</v>
      </c>
      <c r="F82" s="10">
        <v>2284870</v>
      </c>
      <c r="G82" s="10">
        <v>-2151050</v>
      </c>
      <c r="H82" s="89">
        <v>6420</v>
      </c>
      <c r="I82" s="11">
        <v>28.598130841121495</v>
      </c>
      <c r="J82" s="89">
        <v>1836</v>
      </c>
      <c r="K82" s="89">
        <v>4543</v>
      </c>
      <c r="L82" s="12">
        <v>17230</v>
      </c>
      <c r="M82" s="12">
        <v>-4300</v>
      </c>
      <c r="N82" s="12">
        <v>1244.4825439453125</v>
      </c>
      <c r="O82" s="12">
        <v>-473.4866943359375</v>
      </c>
      <c r="P82" s="11">
        <v>2.6283368864054188</v>
      </c>
      <c r="Q82" s="13">
        <v>20.844236760124609</v>
      </c>
      <c r="R82" s="89">
        <v>6</v>
      </c>
      <c r="S82" s="89">
        <v>20</v>
      </c>
      <c r="T82" s="89">
        <v>73</v>
      </c>
      <c r="U82" s="89">
        <v>17</v>
      </c>
      <c r="V82" s="12">
        <v>-74985</v>
      </c>
      <c r="W82" s="11">
        <v>1.0622114781153389</v>
      </c>
      <c r="X82" s="89">
        <v>1</v>
      </c>
      <c r="Y82" s="12">
        <v>74985</v>
      </c>
      <c r="Z82" s="11">
        <v>178.46235913849438</v>
      </c>
      <c r="AA82" s="14">
        <v>3276.5689137827567</v>
      </c>
      <c r="AB82" s="11">
        <v>1.3990390872407641</v>
      </c>
      <c r="AC82" s="11">
        <v>1.124095461532846</v>
      </c>
      <c r="AD82" s="15">
        <v>116461.86413912244</v>
      </c>
      <c r="AE82" s="11">
        <v>89.136841082616584</v>
      </c>
      <c r="AF82" s="11">
        <f>(Opti_Medias__30_ALL_DATA_1[[#This Row],[All: TS Index]]-AA$114) /ABS(AA$114)</f>
        <v>-0.79380731163335516</v>
      </c>
      <c r="AG82" s="11">
        <f>(Opti_Medias__30_ALL_DATA_1[[#This Row],[All: Expectancy Score]]-AB$114) /ABS(AB$114)</f>
        <v>-0.51977369472370927</v>
      </c>
      <c r="AH82" s="11"/>
      <c r="AI82" s="11">
        <f>(Opti_Medias__30_ALL_DATA_1[[#This Row],[All: Perfect Profit Correlation]]-AD$114) /ABS(AD$114)</f>
        <v>-0.62215980881044453</v>
      </c>
      <c r="AJ82" s="11">
        <f>(Opti_Medias__30_ALL_DATA_1[[#This Row],[All: Robustness Index]]-AE$114) /ABS(AE$114)</f>
        <v>-0.89293282605468349</v>
      </c>
      <c r="AK82" s="11">
        <f>SUM(Opti_Medias__30_ALL_DATA_1[[#This Row],[VAR TS Index]:[VAR Robustness Index]])</f>
        <v>-2.8286736412221924</v>
      </c>
      <c r="AL82" s="11">
        <f>Opti_Medias__30_ALL_DATA_1[[#This Row],[SUMA]]-Opti_Medias__30_ALL_DATA_1[[#This Row],[VAR Robustness Index]]</f>
        <v>-1.9357408151675091</v>
      </c>
    </row>
    <row r="83" spans="1:38" x14ac:dyDescent="0.25">
      <c r="A83" s="11"/>
      <c r="B83" s="89">
        <v>18</v>
      </c>
      <c r="C83" s="89">
        <v>11</v>
      </c>
      <c r="D83" s="89">
        <v>468</v>
      </c>
      <c r="E83" s="4">
        <v>184310</v>
      </c>
      <c r="F83" s="4">
        <v>2341810</v>
      </c>
      <c r="G83" s="4">
        <v>-2157500</v>
      </c>
      <c r="H83" s="89">
        <v>5185</v>
      </c>
      <c r="I83" s="5">
        <v>43.047251687560269</v>
      </c>
      <c r="J83" s="89">
        <v>2232</v>
      </c>
      <c r="K83" s="89">
        <v>2934</v>
      </c>
      <c r="L83" s="6">
        <v>17700</v>
      </c>
      <c r="M83" s="6">
        <v>-6070</v>
      </c>
      <c r="N83" s="6">
        <v>1049.197998046875</v>
      </c>
      <c r="O83" s="6">
        <v>-735.34423828125</v>
      </c>
      <c r="P83" s="5">
        <v>1.42681202004004</v>
      </c>
      <c r="Q83" s="7">
        <v>35.546769527483121</v>
      </c>
      <c r="R83" s="89">
        <v>9</v>
      </c>
      <c r="S83" s="89">
        <v>14</v>
      </c>
      <c r="T83" s="89">
        <v>57</v>
      </c>
      <c r="U83" s="89">
        <v>28</v>
      </c>
      <c r="V83" s="6">
        <v>-60385</v>
      </c>
      <c r="W83" s="5">
        <v>1.0854275782155269</v>
      </c>
      <c r="X83" s="89">
        <v>1</v>
      </c>
      <c r="Y83" s="6">
        <v>60385</v>
      </c>
      <c r="Z83" s="5">
        <v>305.22480748530262</v>
      </c>
      <c r="AA83" s="8">
        <v>6812.6177030719546</v>
      </c>
      <c r="AB83" s="5">
        <v>0.18400101650977599</v>
      </c>
      <c r="AC83" s="5">
        <v>1.7457259654507511</v>
      </c>
      <c r="AD83" s="9">
        <v>171266.3170628623</v>
      </c>
      <c r="AE83" s="5">
        <v>333.8039412706425</v>
      </c>
      <c r="AF83" s="11">
        <f>(Opti_Medias__30_ALL_DATA_1[[#This Row],[All: TS Index]]-AA$114) /ABS(AA$114)</f>
        <v>-0.5712856967232588</v>
      </c>
      <c r="AG83" s="11">
        <f>(Opti_Medias__30_ALL_DATA_1[[#This Row],[All: Expectancy Score]]-AB$114) /ABS(AB$114)</f>
        <v>-0.93684084373951082</v>
      </c>
      <c r="AH83" s="11"/>
      <c r="AI83" s="11">
        <f>(Opti_Medias__30_ALL_DATA_1[[#This Row],[All: Perfect Profit Correlation]]-AD$114) /ABS(AD$114)</f>
        <v>-0.44435632675379105</v>
      </c>
      <c r="AJ83" s="11">
        <f>(Opti_Medias__30_ALL_DATA_1[[#This Row],[All: Robustness Index]]-AE$114) /ABS(AE$114)</f>
        <v>-0.59904968350257148</v>
      </c>
      <c r="AK83" s="11">
        <f>SUM(Opti_Medias__30_ALL_DATA_1[[#This Row],[VAR TS Index]:[VAR Robustness Index]])</f>
        <v>-2.551532550719132</v>
      </c>
      <c r="AL83" s="11">
        <f>Opti_Medias__30_ALL_DATA_1[[#This Row],[SUMA]]-Opti_Medias__30_ALL_DATA_1[[#This Row],[VAR Robustness Index]]</f>
        <v>-1.9524828672165606</v>
      </c>
    </row>
    <row r="84" spans="1:38" x14ac:dyDescent="0.25">
      <c r="A84" s="11"/>
      <c r="B84" s="89">
        <v>38</v>
      </c>
      <c r="C84" s="89">
        <v>2</v>
      </c>
      <c r="D84" s="89">
        <v>83</v>
      </c>
      <c r="E84" s="10">
        <v>113880</v>
      </c>
      <c r="F84" s="10">
        <v>2241830</v>
      </c>
      <c r="G84" s="10">
        <v>-2127950</v>
      </c>
      <c r="H84" s="89">
        <v>6115</v>
      </c>
      <c r="I84" s="11">
        <v>25.756336876533116</v>
      </c>
      <c r="J84" s="89">
        <v>1575</v>
      </c>
      <c r="K84" s="89">
        <v>4517</v>
      </c>
      <c r="L84" s="12">
        <v>17290</v>
      </c>
      <c r="M84" s="12">
        <v>-4300</v>
      </c>
      <c r="N84" s="12">
        <v>1423.3841552734375</v>
      </c>
      <c r="O84" s="12">
        <v>-471.09808349609375</v>
      </c>
      <c r="P84" s="11">
        <v>3.0214178429898881</v>
      </c>
      <c r="Q84" s="13">
        <v>18.623058053965657</v>
      </c>
      <c r="R84" s="89">
        <v>7</v>
      </c>
      <c r="S84" s="89">
        <v>26</v>
      </c>
      <c r="T84" s="89">
        <v>85</v>
      </c>
      <c r="U84" s="89">
        <v>17</v>
      </c>
      <c r="V84" s="12">
        <v>-66955</v>
      </c>
      <c r="W84" s="11">
        <v>1.0535162950257291</v>
      </c>
      <c r="X84" s="89">
        <v>1</v>
      </c>
      <c r="Y84" s="12">
        <v>66955</v>
      </c>
      <c r="Z84" s="11">
        <v>170.08438503472482</v>
      </c>
      <c r="AA84" s="14">
        <v>2678.8290642969159</v>
      </c>
      <c r="AB84" s="11">
        <v>1.6227602652542401</v>
      </c>
      <c r="AC84" s="11">
        <v>0.89053050031172798</v>
      </c>
      <c r="AD84" s="15">
        <v>97968.852816535742</v>
      </c>
      <c r="AE84" s="11">
        <v>95.163480991381618</v>
      </c>
      <c r="AF84" s="11">
        <f>(Opti_Medias__30_ALL_DATA_1[[#This Row],[All: TS Index]]-AA$114) /ABS(AA$114)</f>
        <v>-0.83142275319813197</v>
      </c>
      <c r="AG84" s="11">
        <f>(Opti_Medias__30_ALL_DATA_1[[#This Row],[All: Expectancy Score]]-AB$114) /ABS(AB$114)</f>
        <v>-0.44298041874643712</v>
      </c>
      <c r="AH84" s="11"/>
      <c r="AI84" s="11">
        <f>(Opti_Medias__30_ALL_DATA_1[[#This Row],[All: Perfect Profit Correlation]]-AD$114) /ABS(AD$114)</f>
        <v>-0.68215715631511598</v>
      </c>
      <c r="AJ84" s="11">
        <f>(Opti_Medias__30_ALL_DATA_1[[#This Row],[All: Robustness Index]]-AE$114) /ABS(AE$114)</f>
        <v>-0.88569389661113851</v>
      </c>
      <c r="AK84" s="11">
        <f>SUM(Opti_Medias__30_ALL_DATA_1[[#This Row],[VAR TS Index]:[VAR Robustness Index]])</f>
        <v>-2.8422542248708238</v>
      </c>
      <c r="AL84" s="11">
        <f>Opti_Medias__30_ALL_DATA_1[[#This Row],[SUMA]]-Opti_Medias__30_ALL_DATA_1[[#This Row],[VAR Robustness Index]]</f>
        <v>-1.9565603282596853</v>
      </c>
    </row>
    <row r="85" spans="1:38" x14ac:dyDescent="0.25">
      <c r="A85" s="11"/>
      <c r="B85" s="89">
        <v>41</v>
      </c>
      <c r="C85" s="89">
        <v>11</v>
      </c>
      <c r="D85" s="89">
        <v>491</v>
      </c>
      <c r="E85" s="10">
        <v>153180</v>
      </c>
      <c r="F85" s="10">
        <v>2365230</v>
      </c>
      <c r="G85" s="10">
        <v>-2212050</v>
      </c>
      <c r="H85" s="89">
        <v>5895</v>
      </c>
      <c r="I85" s="11">
        <v>31.569126378286683</v>
      </c>
      <c r="J85" s="89">
        <v>1861</v>
      </c>
      <c r="K85" s="89">
        <v>4015</v>
      </c>
      <c r="L85" s="12">
        <v>18310</v>
      </c>
      <c r="M85" s="12">
        <v>-5080</v>
      </c>
      <c r="N85" s="12">
        <v>1270.9456787109375</v>
      </c>
      <c r="O85" s="12">
        <v>-550.94647216796875</v>
      </c>
      <c r="P85" s="11">
        <v>2.3068405787403981</v>
      </c>
      <c r="Q85" s="13">
        <v>25.984732824427482</v>
      </c>
      <c r="R85" s="89">
        <v>7</v>
      </c>
      <c r="S85" s="89">
        <v>19</v>
      </c>
      <c r="T85" s="89">
        <v>70</v>
      </c>
      <c r="U85" s="89">
        <v>20</v>
      </c>
      <c r="V85" s="12">
        <v>-67295</v>
      </c>
      <c r="W85" s="11">
        <v>1.069247982640537</v>
      </c>
      <c r="X85" s="89">
        <v>1</v>
      </c>
      <c r="Y85" s="12">
        <v>67295</v>
      </c>
      <c r="Z85" s="11">
        <v>227.62463778884018</v>
      </c>
      <c r="AA85" s="14">
        <v>4236.0945092503162</v>
      </c>
      <c r="AB85" s="11">
        <v>0.932197794081149</v>
      </c>
      <c r="AC85" s="11">
        <v>1.332624653758365</v>
      </c>
      <c r="AD85" s="15">
        <v>140217.52280349817</v>
      </c>
      <c r="AE85" s="11">
        <v>82.912734915541591</v>
      </c>
      <c r="AF85" s="11">
        <f>(Opti_Medias__30_ALL_DATA_1[[#This Row],[All: TS Index]]-AA$114) /ABS(AA$114)</f>
        <v>-0.73342489109160325</v>
      </c>
      <c r="AG85" s="11">
        <f>(Opti_Medias__30_ALL_DATA_1[[#This Row],[All: Expectancy Score]]-AB$114) /ABS(AB$114)</f>
        <v>-0.68001901696599365</v>
      </c>
      <c r="AH85" s="11"/>
      <c r="AI85" s="11">
        <f>(Opti_Medias__30_ALL_DATA_1[[#This Row],[All: Perfect Profit Correlation]]-AD$114) /ABS(AD$114)</f>
        <v>-0.54508872053678237</v>
      </c>
      <c r="AJ85" s="11">
        <f>(Opti_Medias__30_ALL_DATA_1[[#This Row],[All: Robustness Index]]-AE$114) /ABS(AE$114)</f>
        <v>-0.90040894310741459</v>
      </c>
      <c r="AK85" s="11">
        <f>SUM(Opti_Medias__30_ALL_DATA_1[[#This Row],[VAR TS Index]:[VAR Robustness Index]])</f>
        <v>-2.8589415717017936</v>
      </c>
      <c r="AL85" s="11">
        <f>Opti_Medias__30_ALL_DATA_1[[#This Row],[SUMA]]-Opti_Medias__30_ALL_DATA_1[[#This Row],[VAR Robustness Index]]</f>
        <v>-1.9585326285943792</v>
      </c>
    </row>
    <row r="86" spans="1:38" x14ac:dyDescent="0.25">
      <c r="A86" s="11"/>
      <c r="B86" s="89">
        <v>42</v>
      </c>
      <c r="C86" s="89">
        <v>12</v>
      </c>
      <c r="D86" s="89">
        <v>537</v>
      </c>
      <c r="E86" s="10">
        <v>102330</v>
      </c>
      <c r="F86" s="10">
        <v>2198540</v>
      </c>
      <c r="G86" s="10">
        <v>-2096210</v>
      </c>
      <c r="H86" s="89">
        <v>5833</v>
      </c>
      <c r="I86" s="11">
        <v>27.687296416938111</v>
      </c>
      <c r="J86" s="89">
        <v>1615</v>
      </c>
      <c r="K86" s="89">
        <v>4199</v>
      </c>
      <c r="L86" s="12">
        <v>17270</v>
      </c>
      <c r="M86" s="12">
        <v>-4370</v>
      </c>
      <c r="N86" s="12">
        <v>1361.3250732421875</v>
      </c>
      <c r="O86" s="12">
        <v>-499.21649169921875</v>
      </c>
      <c r="P86" s="11">
        <v>2.726923280536163</v>
      </c>
      <c r="Q86" s="13">
        <v>17.543288187896451</v>
      </c>
      <c r="R86" s="89">
        <v>6</v>
      </c>
      <c r="S86" s="89">
        <v>21</v>
      </c>
      <c r="T86" s="89">
        <v>83</v>
      </c>
      <c r="U86" s="89">
        <v>18</v>
      </c>
      <c r="V86" s="12">
        <v>-64615</v>
      </c>
      <c r="W86" s="11">
        <v>1.0488166739019471</v>
      </c>
      <c r="X86" s="89">
        <v>1</v>
      </c>
      <c r="Y86" s="12">
        <v>64615</v>
      </c>
      <c r="Z86" s="11">
        <v>158.36879981428461</v>
      </c>
      <c r="AA86" s="14">
        <v>2557.6561170006962</v>
      </c>
      <c r="AB86" s="11">
        <v>1.67599896929715</v>
      </c>
      <c r="AC86" s="11">
        <v>0.79971417734532602</v>
      </c>
      <c r="AD86" s="15">
        <v>93087.445407423264</v>
      </c>
      <c r="AE86" s="11">
        <v>55.770241079829489</v>
      </c>
      <c r="AF86" s="11">
        <f>(Opti_Medias__30_ALL_DATA_1[[#This Row],[All: TS Index]]-AA$114) /ABS(AA$114)</f>
        <v>-0.83904810044940403</v>
      </c>
      <c r="AG86" s="11">
        <f>(Opti_Medias__30_ALL_DATA_1[[#This Row],[All: Expectancy Score]]-AB$114) /ABS(AB$114)</f>
        <v>-0.42470599998759606</v>
      </c>
      <c r="AH86" s="11"/>
      <c r="AI86" s="11">
        <f>(Opti_Medias__30_ALL_DATA_1[[#This Row],[All: Perfect Profit Correlation]]-AD$114) /ABS(AD$114)</f>
        <v>-0.69799403066335686</v>
      </c>
      <c r="AJ86" s="11">
        <f>(Opti_Medias__30_ALL_DATA_1[[#This Row],[All: Robustness Index]]-AE$114) /ABS(AE$114)</f>
        <v>-0.93301128882128592</v>
      </c>
      <c r="AK86" s="11">
        <f>SUM(Opti_Medias__30_ALL_DATA_1[[#This Row],[VAR TS Index]:[VAR Robustness Index]])</f>
        <v>-2.8947594199216429</v>
      </c>
      <c r="AL86" s="11">
        <f>Opti_Medias__30_ALL_DATA_1[[#This Row],[SUMA]]-Opti_Medias__30_ALL_DATA_1[[#This Row],[VAR Robustness Index]]</f>
        <v>-1.9617481311003568</v>
      </c>
    </row>
    <row r="87" spans="1:38" x14ac:dyDescent="0.25">
      <c r="A87" s="11"/>
      <c r="B87" s="89">
        <v>23</v>
      </c>
      <c r="C87" s="89">
        <v>11</v>
      </c>
      <c r="D87" s="89">
        <v>473</v>
      </c>
      <c r="E87" s="10">
        <v>172000</v>
      </c>
      <c r="F87" s="10">
        <v>2365340</v>
      </c>
      <c r="G87" s="10">
        <v>-2193340</v>
      </c>
      <c r="H87" s="89">
        <v>5321</v>
      </c>
      <c r="I87" s="11">
        <v>41.044916369103554</v>
      </c>
      <c r="J87" s="89">
        <v>2184</v>
      </c>
      <c r="K87" s="89">
        <v>3109</v>
      </c>
      <c r="L87" s="12">
        <v>17730</v>
      </c>
      <c r="M87" s="12">
        <v>-6870</v>
      </c>
      <c r="N87" s="12">
        <v>1083.0311279296875</v>
      </c>
      <c r="O87" s="12">
        <v>-705.4808349609375</v>
      </c>
      <c r="P87" s="11">
        <v>1.535167327386938</v>
      </c>
      <c r="Q87" s="13">
        <v>32.324750986656646</v>
      </c>
      <c r="R87" s="89">
        <v>8</v>
      </c>
      <c r="S87" s="89">
        <v>13</v>
      </c>
      <c r="T87" s="89">
        <v>59</v>
      </c>
      <c r="U87" s="89">
        <v>26</v>
      </c>
      <c r="V87" s="12">
        <v>-48485</v>
      </c>
      <c r="W87" s="11">
        <v>1.078419214531263</v>
      </c>
      <c r="X87" s="89">
        <v>1</v>
      </c>
      <c r="Y87" s="12">
        <v>48485</v>
      </c>
      <c r="Z87" s="11">
        <v>354.74889140971436</v>
      </c>
      <c r="AA87" s="14">
        <v>7747.7157883881609</v>
      </c>
      <c r="AB87" s="11">
        <v>3.8846917318994E-2</v>
      </c>
      <c r="AC87" s="11">
        <v>1.607228857759335</v>
      </c>
      <c r="AD87" s="15">
        <v>161182.7860748464</v>
      </c>
      <c r="AE87" s="11">
        <v>286.86941279588558</v>
      </c>
      <c r="AF87" s="11">
        <f>(Opti_Medias__30_ALL_DATA_1[[#This Row],[All: TS Index]]-AA$114) /ABS(AA$114)</f>
        <v>-0.51244048602532377</v>
      </c>
      <c r="AG87" s="11">
        <f>(Opti_Medias__30_ALL_DATA_1[[#This Row],[All: Expectancy Score]]-AB$114) /ABS(AB$114)</f>
        <v>-0.98666562518116152</v>
      </c>
      <c r="AH87" s="11"/>
      <c r="AI87" s="11">
        <f>(Opti_Medias__30_ALL_DATA_1[[#This Row],[All: Perfect Profit Correlation]]-AD$114) /ABS(AD$114)</f>
        <v>-0.47707058308603084</v>
      </c>
      <c r="AJ87" s="11">
        <f>(Opti_Medias__30_ALL_DATA_1[[#This Row],[All: Robustness Index]]-AE$114) /ABS(AE$114)</f>
        <v>-0.65542533315780938</v>
      </c>
      <c r="AK87" s="11">
        <f>SUM(Opti_Medias__30_ALL_DATA_1[[#This Row],[VAR TS Index]:[VAR Robustness Index]])</f>
        <v>-2.6316020274503256</v>
      </c>
      <c r="AL87" s="11">
        <f>Opti_Medias__30_ALL_DATA_1[[#This Row],[SUMA]]-Opti_Medias__30_ALL_DATA_1[[#This Row],[VAR Robustness Index]]</f>
        <v>-1.9761766942925161</v>
      </c>
    </row>
    <row r="88" spans="1:38" x14ac:dyDescent="0.25">
      <c r="A88" s="11"/>
      <c r="B88" s="89">
        <v>40</v>
      </c>
      <c r="C88" s="89">
        <v>5</v>
      </c>
      <c r="D88" s="89">
        <v>220</v>
      </c>
      <c r="E88" s="10">
        <v>110700</v>
      </c>
      <c r="F88" s="10">
        <v>2343740</v>
      </c>
      <c r="G88" s="10">
        <v>-2233040</v>
      </c>
      <c r="H88" s="89">
        <v>6912</v>
      </c>
      <c r="I88" s="11">
        <v>28.052662037037038</v>
      </c>
      <c r="J88" s="89">
        <v>1939</v>
      </c>
      <c r="K88" s="89">
        <v>4937</v>
      </c>
      <c r="L88" s="12">
        <v>17770</v>
      </c>
      <c r="M88" s="12">
        <v>-4310</v>
      </c>
      <c r="N88" s="12">
        <v>1208.7364501953125</v>
      </c>
      <c r="O88" s="12">
        <v>-452.30706787109375</v>
      </c>
      <c r="P88" s="11">
        <v>2.6723801949073209</v>
      </c>
      <c r="Q88" s="13">
        <v>16.015625</v>
      </c>
      <c r="R88" s="89">
        <v>6</v>
      </c>
      <c r="S88" s="89">
        <v>27</v>
      </c>
      <c r="T88" s="89">
        <v>69</v>
      </c>
      <c r="U88" s="89">
        <v>16</v>
      </c>
      <c r="V88" s="12">
        <v>-76265</v>
      </c>
      <c r="W88" s="11">
        <v>1.049573675348404</v>
      </c>
      <c r="X88" s="89">
        <v>1</v>
      </c>
      <c r="Y88" s="12">
        <v>76265</v>
      </c>
      <c r="Z88" s="11">
        <v>145.15177342162198</v>
      </c>
      <c r="AA88" s="14">
        <v>2814.4928866452501</v>
      </c>
      <c r="AB88" s="11">
        <v>1.504174121501445</v>
      </c>
      <c r="AC88" s="11">
        <v>0.89255213014790802</v>
      </c>
      <c r="AD88" s="15">
        <v>96545.210581915875</v>
      </c>
      <c r="AE88" s="11">
        <v>45.127839108414314</v>
      </c>
      <c r="AF88" s="11">
        <f>(Opti_Medias__30_ALL_DATA_1[[#This Row],[All: TS Index]]-AA$114) /ABS(AA$114)</f>
        <v>-0.82288550311117936</v>
      </c>
      <c r="AG88" s="11">
        <f>(Opti_Medias__30_ALL_DATA_1[[#This Row],[All: Expectancy Score]]-AB$114) /ABS(AB$114)</f>
        <v>-0.48368563291145605</v>
      </c>
      <c r="AH88" s="11"/>
      <c r="AI88" s="11">
        <f>(Opti_Medias__30_ALL_DATA_1[[#This Row],[All: Perfect Profit Correlation]]-AD$114) /ABS(AD$114)</f>
        <v>-0.68677591506580649</v>
      </c>
      <c r="AJ88" s="11">
        <f>(Opti_Medias__30_ALL_DATA_1[[#This Row],[All: Robustness Index]]-AE$114) /ABS(AE$114)</f>
        <v>-0.94579446454560157</v>
      </c>
      <c r="AK88" s="11">
        <f>SUM(Opti_Medias__30_ALL_DATA_1[[#This Row],[VAR TS Index]:[VAR Robustness Index]])</f>
        <v>-2.9391415156340432</v>
      </c>
      <c r="AL88" s="11">
        <f>Opti_Medias__30_ALL_DATA_1[[#This Row],[SUMA]]-Opti_Medias__30_ALL_DATA_1[[#This Row],[VAR Robustness Index]]</f>
        <v>-1.9933470510884417</v>
      </c>
    </row>
    <row r="89" spans="1:38" x14ac:dyDescent="0.25">
      <c r="A89" s="11"/>
      <c r="B89" s="89">
        <v>30</v>
      </c>
      <c r="C89" s="89">
        <v>2</v>
      </c>
      <c r="D89" s="89">
        <v>75</v>
      </c>
      <c r="E89" s="10">
        <v>152190</v>
      </c>
      <c r="F89" s="10">
        <v>2002450</v>
      </c>
      <c r="G89" s="10">
        <v>-1850260</v>
      </c>
      <c r="H89" s="89">
        <v>4427</v>
      </c>
      <c r="I89" s="11">
        <v>27.85181838716964</v>
      </c>
      <c r="J89" s="89">
        <v>1233</v>
      </c>
      <c r="K89" s="89">
        <v>3185</v>
      </c>
      <c r="L89" s="12">
        <v>18810</v>
      </c>
      <c r="M89" s="12">
        <v>-4190</v>
      </c>
      <c r="N89" s="12">
        <v>1624.0469970703125</v>
      </c>
      <c r="O89" s="12">
        <v>-580.92938232421875</v>
      </c>
      <c r="P89" s="11">
        <v>2.7956014043784858</v>
      </c>
      <c r="Q89" s="13">
        <v>34.377682403433475</v>
      </c>
      <c r="R89" s="89">
        <v>5</v>
      </c>
      <c r="S89" s="89">
        <v>20</v>
      </c>
      <c r="T89" s="89">
        <v>107</v>
      </c>
      <c r="U89" s="89">
        <v>24</v>
      </c>
      <c r="V89" s="12">
        <v>-50395</v>
      </c>
      <c r="W89" s="11">
        <v>1.0822533049409271</v>
      </c>
      <c r="X89" s="89">
        <v>1</v>
      </c>
      <c r="Y89" s="12">
        <v>50395</v>
      </c>
      <c r="Z89" s="11">
        <v>301.99424546085919</v>
      </c>
      <c r="AA89" s="14">
        <v>3723.5890465323941</v>
      </c>
      <c r="AB89" s="11">
        <v>0.89414240167391001</v>
      </c>
      <c r="AC89" s="11">
        <v>1.279482657084116</v>
      </c>
      <c r="AD89" s="15">
        <v>142307.66615337579</v>
      </c>
      <c r="AE89" s="11">
        <v>120.32833812692674</v>
      </c>
      <c r="AF89" s="11">
        <f>(Opti_Medias__30_ALL_DATA_1[[#This Row],[All: TS Index]]-AA$114) /ABS(AA$114)</f>
        <v>-0.76567657934875621</v>
      </c>
      <c r="AG89" s="11">
        <f>(Opti_Medias__30_ALL_DATA_1[[#This Row],[All: Expectancy Score]]-AB$114) /ABS(AB$114)</f>
        <v>-0.69308169738588865</v>
      </c>
      <c r="AH89" s="11"/>
      <c r="AI89" s="11">
        <f>(Opti_Medias__30_ALL_DATA_1[[#This Row],[All: Perfect Profit Correlation]]-AD$114) /ABS(AD$114)</f>
        <v>-0.53830761524734672</v>
      </c>
      <c r="AJ89" s="11">
        <f>(Opti_Medias__30_ALL_DATA_1[[#This Row],[All: Robustness Index]]-AE$114) /ABS(AE$114)</f>
        <v>-0.85546699936510306</v>
      </c>
      <c r="AK89" s="11">
        <f>SUM(Opti_Medias__30_ALL_DATA_1[[#This Row],[VAR TS Index]:[VAR Robustness Index]])</f>
        <v>-2.8525328913470949</v>
      </c>
      <c r="AL89" s="11">
        <f>Opti_Medias__30_ALL_DATA_1[[#This Row],[SUMA]]-Opti_Medias__30_ALL_DATA_1[[#This Row],[VAR Robustness Index]]</f>
        <v>-1.9970658919819919</v>
      </c>
    </row>
    <row r="90" spans="1:38" x14ac:dyDescent="0.25">
      <c r="A90" s="11"/>
      <c r="B90" s="89">
        <v>38</v>
      </c>
      <c r="C90" s="89">
        <v>5</v>
      </c>
      <c r="D90" s="89">
        <v>218</v>
      </c>
      <c r="E90" s="10">
        <v>164830</v>
      </c>
      <c r="F90" s="10">
        <v>2257100</v>
      </c>
      <c r="G90" s="10">
        <v>-2092270</v>
      </c>
      <c r="H90" s="89">
        <v>6062</v>
      </c>
      <c r="I90" s="11">
        <v>29.29726162982514</v>
      </c>
      <c r="J90" s="89">
        <v>1776</v>
      </c>
      <c r="K90" s="89">
        <v>4252</v>
      </c>
      <c r="L90" s="12">
        <v>17480</v>
      </c>
      <c r="M90" s="12">
        <v>-4300</v>
      </c>
      <c r="N90" s="12">
        <v>1270.8896484375</v>
      </c>
      <c r="O90" s="12">
        <v>-492.0672607421875</v>
      </c>
      <c r="P90" s="11">
        <v>2.582755956006118</v>
      </c>
      <c r="Q90" s="13">
        <v>27.190696139887827</v>
      </c>
      <c r="R90" s="89">
        <v>7</v>
      </c>
      <c r="S90" s="89">
        <v>22</v>
      </c>
      <c r="T90" s="89">
        <v>75</v>
      </c>
      <c r="U90" s="89">
        <v>18</v>
      </c>
      <c r="V90" s="12">
        <v>-59325</v>
      </c>
      <c r="W90" s="11">
        <v>1.078780463324523</v>
      </c>
      <c r="X90" s="89">
        <v>1</v>
      </c>
      <c r="Y90" s="12">
        <v>59325</v>
      </c>
      <c r="Z90" s="11">
        <v>277.84239359460599</v>
      </c>
      <c r="AA90" s="14">
        <v>4934.4809102402023</v>
      </c>
      <c r="AB90" s="11">
        <v>0.63232522524224599</v>
      </c>
      <c r="AC90" s="11">
        <v>1.433577950839531</v>
      </c>
      <c r="AD90" s="15">
        <v>144504.63815208827</v>
      </c>
      <c r="AE90" s="11">
        <v>155.62851797331052</v>
      </c>
      <c r="AF90" s="11">
        <f>(Opti_Medias__30_ALL_DATA_1[[#This Row],[All: TS Index]]-AA$114) /ABS(AA$114)</f>
        <v>-0.68947581712796069</v>
      </c>
      <c r="AG90" s="11">
        <f>(Opti_Medias__30_ALL_DATA_1[[#This Row],[All: Expectancy Score]]-AB$114) /ABS(AB$114)</f>
        <v>-0.78295159197448161</v>
      </c>
      <c r="AH90" s="11"/>
      <c r="AI90" s="11">
        <f>(Opti_Medias__30_ALL_DATA_1[[#This Row],[All: Perfect Profit Correlation]]-AD$114) /ABS(AD$114)</f>
        <v>-0.53117992305241502</v>
      </c>
      <c r="AJ90" s="11">
        <f>(Opti_Medias__30_ALL_DATA_1[[#This Row],[All: Robustness Index]]-AE$114) /ABS(AE$114)</f>
        <v>-0.81306600724994937</v>
      </c>
      <c r="AK90" s="11">
        <f>SUM(Opti_Medias__30_ALL_DATA_1[[#This Row],[VAR TS Index]:[VAR Robustness Index]])</f>
        <v>-2.8166733394048062</v>
      </c>
      <c r="AL90" s="11">
        <f>Opti_Medias__30_ALL_DATA_1[[#This Row],[SUMA]]-Opti_Medias__30_ALL_DATA_1[[#This Row],[VAR Robustness Index]]</f>
        <v>-2.0036073321548571</v>
      </c>
    </row>
    <row r="91" spans="1:38" x14ac:dyDescent="0.25">
      <c r="A91" s="11"/>
      <c r="B91" s="89">
        <v>26</v>
      </c>
      <c r="C91" s="89">
        <v>1</v>
      </c>
      <c r="D91" s="89">
        <v>26</v>
      </c>
      <c r="E91" s="10">
        <v>191580</v>
      </c>
      <c r="F91" s="10">
        <v>2210680</v>
      </c>
      <c r="G91" s="10">
        <v>-2019100</v>
      </c>
      <c r="H91" s="89">
        <v>4942</v>
      </c>
      <c r="I91" s="11">
        <v>36.098745447187376</v>
      </c>
      <c r="J91" s="89">
        <v>1784</v>
      </c>
      <c r="K91" s="89">
        <v>3128</v>
      </c>
      <c r="L91" s="12">
        <v>17460</v>
      </c>
      <c r="M91" s="12">
        <v>-6500</v>
      </c>
      <c r="N91" s="12">
        <v>1239.17041015625</v>
      </c>
      <c r="O91" s="12">
        <v>-645.4923095703125</v>
      </c>
      <c r="P91" s="11">
        <v>1.9197291614227501</v>
      </c>
      <c r="Q91" s="13">
        <v>38.765681910157831</v>
      </c>
      <c r="R91" s="89">
        <v>7</v>
      </c>
      <c r="S91" s="89">
        <v>17</v>
      </c>
      <c r="T91" s="89">
        <v>70</v>
      </c>
      <c r="U91" s="89">
        <v>27</v>
      </c>
      <c r="V91" s="12">
        <v>-54535</v>
      </c>
      <c r="W91" s="11">
        <v>1.094883859145164</v>
      </c>
      <c r="X91" s="89">
        <v>1</v>
      </c>
      <c r="Y91" s="12">
        <v>54535</v>
      </c>
      <c r="Z91" s="11">
        <v>351.29733198863113</v>
      </c>
      <c r="AA91" s="14">
        <v>6267.1444026771796</v>
      </c>
      <c r="AB91" s="11">
        <v>7.4851441725483997E-2</v>
      </c>
      <c r="AC91" s="11">
        <v>1.7534206834773021</v>
      </c>
      <c r="AD91" s="15">
        <v>174262.75651542778</v>
      </c>
      <c r="AE91" s="11">
        <v>339.18676394815742</v>
      </c>
      <c r="AF91" s="11">
        <f>(Opti_Medias__30_ALL_DATA_1[[#This Row],[All: TS Index]]-AA$114) /ABS(AA$114)</f>
        <v>-0.6056120329609963</v>
      </c>
      <c r="AG91" s="11">
        <f>(Opti_Medias__30_ALL_DATA_1[[#This Row],[All: Expectancy Score]]-AB$114) /ABS(AB$114)</f>
        <v>-0.97430691420114213</v>
      </c>
      <c r="AH91" s="11"/>
      <c r="AI91" s="11">
        <f>(Opti_Medias__30_ALL_DATA_1[[#This Row],[All: Perfect Profit Correlation]]-AD$114) /ABS(AD$114)</f>
        <v>-0.43463490194220811</v>
      </c>
      <c r="AJ91" s="11">
        <f>(Opti_Medias__30_ALL_DATA_1[[#This Row],[All: Robustness Index]]-AE$114) /ABS(AE$114)</f>
        <v>-0.59258407842917515</v>
      </c>
      <c r="AK91" s="11">
        <f>SUM(Opti_Medias__30_ALL_DATA_1[[#This Row],[VAR TS Index]:[VAR Robustness Index]])</f>
        <v>-2.6071379275335218</v>
      </c>
      <c r="AL91" s="11">
        <f>Opti_Medias__30_ALL_DATA_1[[#This Row],[SUMA]]-Opti_Medias__30_ALL_DATA_1[[#This Row],[VAR Robustness Index]]</f>
        <v>-2.0145538491043467</v>
      </c>
    </row>
    <row r="92" spans="1:38" x14ac:dyDescent="0.25">
      <c r="A92" s="11"/>
      <c r="B92" s="89">
        <v>39</v>
      </c>
      <c r="C92" s="89">
        <v>11</v>
      </c>
      <c r="D92" s="89">
        <v>489</v>
      </c>
      <c r="E92" s="10">
        <v>123570</v>
      </c>
      <c r="F92" s="10">
        <v>2301360</v>
      </c>
      <c r="G92" s="10">
        <v>-2177790</v>
      </c>
      <c r="H92" s="89">
        <v>5443</v>
      </c>
      <c r="I92" s="11">
        <v>32.812787065956272</v>
      </c>
      <c r="J92" s="89">
        <v>1786</v>
      </c>
      <c r="K92" s="89">
        <v>3632</v>
      </c>
      <c r="L92" s="12">
        <v>18310</v>
      </c>
      <c r="M92" s="12">
        <v>-5410</v>
      </c>
      <c r="N92" s="12">
        <v>1288.555419921875</v>
      </c>
      <c r="O92" s="12">
        <v>-599.61175537109375</v>
      </c>
      <c r="P92" s="11">
        <v>2.1489829183292128</v>
      </c>
      <c r="Q92" s="13">
        <v>22.702553738747014</v>
      </c>
      <c r="R92" s="89">
        <v>7</v>
      </c>
      <c r="S92" s="89">
        <v>16</v>
      </c>
      <c r="T92" s="89">
        <v>72</v>
      </c>
      <c r="U92" s="89">
        <v>22</v>
      </c>
      <c r="V92" s="12">
        <v>-56415</v>
      </c>
      <c r="W92" s="11">
        <v>1.056741008086179</v>
      </c>
      <c r="X92" s="89">
        <v>1</v>
      </c>
      <c r="Y92" s="12">
        <v>56415</v>
      </c>
      <c r="Z92" s="11">
        <v>219.03749002924755</v>
      </c>
      <c r="AA92" s="14">
        <v>3912.0095719223609</v>
      </c>
      <c r="AB92" s="11">
        <v>0.92886063083632397</v>
      </c>
      <c r="AC92" s="11">
        <v>1.052504885773472</v>
      </c>
      <c r="AD92" s="15">
        <v>109183.78461197682</v>
      </c>
      <c r="AE92" s="11">
        <v>163.27141867840191</v>
      </c>
      <c r="AF92" s="11">
        <f>(Opti_Medias__30_ALL_DATA_1[[#This Row],[All: TS Index]]-AA$114) /ABS(AA$114)</f>
        <v>-0.75381937881493311</v>
      </c>
      <c r="AG92" s="11">
        <f>(Opti_Medias__30_ALL_DATA_1[[#This Row],[All: Expectancy Score]]-AB$114) /ABS(AB$114)</f>
        <v>-0.68116451289229185</v>
      </c>
      <c r="AH92" s="11"/>
      <c r="AI92" s="11">
        <f>(Opti_Medias__30_ALL_DATA_1[[#This Row],[All: Perfect Profit Correlation]]-AD$114) /ABS(AD$114)</f>
        <v>-0.64577226753551231</v>
      </c>
      <c r="AJ92" s="11">
        <f>(Opti_Medias__30_ALL_DATA_1[[#This Row],[All: Robustness Index]]-AE$114) /ABS(AE$114)</f>
        <v>-0.80388569785935349</v>
      </c>
      <c r="AK92" s="11">
        <f>SUM(Opti_Medias__30_ALL_DATA_1[[#This Row],[VAR TS Index]:[VAR Robustness Index]])</f>
        <v>-2.8846418571020909</v>
      </c>
      <c r="AL92" s="11">
        <f>Opti_Medias__30_ALL_DATA_1[[#This Row],[SUMA]]-Opti_Medias__30_ALL_DATA_1[[#This Row],[VAR Robustness Index]]</f>
        <v>-2.0807561592427373</v>
      </c>
    </row>
    <row r="93" spans="1:38" x14ac:dyDescent="0.25">
      <c r="A93" s="11"/>
      <c r="B93" s="89">
        <v>17</v>
      </c>
      <c r="C93" s="89">
        <v>11</v>
      </c>
      <c r="D93" s="89">
        <v>467</v>
      </c>
      <c r="E93" s="10">
        <v>165510</v>
      </c>
      <c r="F93" s="10">
        <v>2322010</v>
      </c>
      <c r="G93" s="10">
        <v>-2156500</v>
      </c>
      <c r="H93" s="89">
        <v>5124</v>
      </c>
      <c r="I93" s="11">
        <v>43.306010928961747</v>
      </c>
      <c r="J93" s="89">
        <v>2219</v>
      </c>
      <c r="K93" s="89">
        <v>2883</v>
      </c>
      <c r="L93" s="12">
        <v>17870</v>
      </c>
      <c r="M93" s="12">
        <v>-6660</v>
      </c>
      <c r="N93" s="12">
        <v>1046.4217529296875</v>
      </c>
      <c r="O93" s="12">
        <v>-748.00555419921875</v>
      </c>
      <c r="P93" s="11">
        <v>1.398949174982985</v>
      </c>
      <c r="Q93" s="13">
        <v>32.300936768149882</v>
      </c>
      <c r="R93" s="89">
        <v>10</v>
      </c>
      <c r="S93" s="89">
        <v>12</v>
      </c>
      <c r="T93" s="89">
        <v>58</v>
      </c>
      <c r="U93" s="89">
        <v>28</v>
      </c>
      <c r="V93" s="12">
        <v>-60045</v>
      </c>
      <c r="W93" s="11">
        <v>1.076749362392766</v>
      </c>
      <c r="X93" s="89">
        <v>1</v>
      </c>
      <c r="Y93" s="12">
        <v>60045</v>
      </c>
      <c r="Z93" s="11">
        <v>275.64326754933802</v>
      </c>
      <c r="AA93" s="14">
        <v>6116.52410691981</v>
      </c>
      <c r="AB93" s="11">
        <v>0.116674521454804</v>
      </c>
      <c r="AC93" s="11">
        <v>1.5638007119926809</v>
      </c>
      <c r="AD93" s="15">
        <v>152231.98281824411</v>
      </c>
      <c r="AE93" s="11">
        <v>383.58894699114904</v>
      </c>
      <c r="AF93" s="11">
        <f>(Opti_Medias__30_ALL_DATA_1[[#This Row],[All: TS Index]]-AA$114) /ABS(AA$114)</f>
        <v>-0.61509048573339253</v>
      </c>
      <c r="AG93" s="11">
        <f>(Opti_Medias__30_ALL_DATA_1[[#This Row],[All: Expectancy Score]]-AB$114) /ABS(AB$114)</f>
        <v>-0.9599509585764151</v>
      </c>
      <c r="AH93" s="11"/>
      <c r="AI93" s="11">
        <f>(Opti_Medias__30_ALL_DATA_1[[#This Row],[All: Perfect Profit Correlation]]-AD$114) /ABS(AD$114)</f>
        <v>-0.50610990199762484</v>
      </c>
      <c r="AJ93" s="11">
        <f>(Opti_Medias__30_ALL_DATA_1[[#This Row],[All: Robustness Index]]-AE$114) /ABS(AE$114)</f>
        <v>-0.53925016848043128</v>
      </c>
      <c r="AK93" s="11">
        <f>SUM(Opti_Medias__30_ALL_DATA_1[[#This Row],[VAR TS Index]:[VAR Robustness Index]])</f>
        <v>-2.6204015147878641</v>
      </c>
      <c r="AL93" s="11">
        <f>Opti_Medias__30_ALL_DATA_1[[#This Row],[SUMA]]-Opti_Medias__30_ALL_DATA_1[[#This Row],[VAR Robustness Index]]</f>
        <v>-2.0811513463074327</v>
      </c>
    </row>
    <row r="94" spans="1:38" x14ac:dyDescent="0.25">
      <c r="A94" s="11"/>
      <c r="B94" s="89">
        <v>31</v>
      </c>
      <c r="C94" s="89">
        <v>2</v>
      </c>
      <c r="D94" s="89">
        <v>76</v>
      </c>
      <c r="E94" s="10">
        <v>142810</v>
      </c>
      <c r="F94" s="10">
        <v>2021950</v>
      </c>
      <c r="G94" s="10">
        <v>-1879140</v>
      </c>
      <c r="H94" s="89">
        <v>4573</v>
      </c>
      <c r="I94" s="11">
        <v>27.749835993877106</v>
      </c>
      <c r="J94" s="89">
        <v>1269</v>
      </c>
      <c r="K94" s="89">
        <v>3293</v>
      </c>
      <c r="L94" s="12">
        <v>18820</v>
      </c>
      <c r="M94" s="12">
        <v>-4370</v>
      </c>
      <c r="N94" s="12">
        <v>1593.3411865234375</v>
      </c>
      <c r="O94" s="12">
        <v>-570.6468505859375</v>
      </c>
      <c r="P94" s="11">
        <v>2.792166792627353</v>
      </c>
      <c r="Q94" s="13">
        <v>31.228952547561775</v>
      </c>
      <c r="R94" s="89">
        <v>7</v>
      </c>
      <c r="S94" s="89">
        <v>20</v>
      </c>
      <c r="T94" s="89">
        <v>104</v>
      </c>
      <c r="U94" s="89">
        <v>23</v>
      </c>
      <c r="V94" s="12">
        <v>-53055</v>
      </c>
      <c r="W94" s="11">
        <v>1.0759975307853591</v>
      </c>
      <c r="X94" s="89">
        <v>1</v>
      </c>
      <c r="Y94" s="12">
        <v>53055</v>
      </c>
      <c r="Z94" s="11">
        <v>269.17349919894451</v>
      </c>
      <c r="AA94" s="14">
        <v>3415.8117048346057</v>
      </c>
      <c r="AB94" s="11">
        <v>0.75386653772034296</v>
      </c>
      <c r="AC94" s="11">
        <v>1.1879674219248979</v>
      </c>
      <c r="AD94" s="15">
        <v>131630.42229945678</v>
      </c>
      <c r="AE94" s="11">
        <v>108.68125094843137</v>
      </c>
      <c r="AF94" s="11">
        <f>(Opti_Medias__30_ALL_DATA_1[[#This Row],[All: TS Index]]-AA$114) /ABS(AA$114)</f>
        <v>-0.78504483900478172</v>
      </c>
      <c r="AG94" s="11">
        <f>(Opti_Medias__30_ALL_DATA_1[[#This Row],[All: Expectancy Score]]-AB$114) /ABS(AB$114)</f>
        <v>-0.74123200317807303</v>
      </c>
      <c r="AH94" s="11"/>
      <c r="AI94" s="11">
        <f>(Opti_Medias__30_ALL_DATA_1[[#This Row],[All: Perfect Profit Correlation]]-AD$114) /ABS(AD$114)</f>
        <v>-0.57294806934760911</v>
      </c>
      <c r="AJ94" s="11">
        <f>(Opti_Medias__30_ALL_DATA_1[[#This Row],[All: Robustness Index]]-AE$114) /ABS(AE$114)</f>
        <v>-0.86945695788001642</v>
      </c>
      <c r="AK94" s="11">
        <f>SUM(Opti_Medias__30_ALL_DATA_1[[#This Row],[VAR TS Index]:[VAR Robustness Index]])</f>
        <v>-2.9686818694104806</v>
      </c>
      <c r="AL94" s="11">
        <f>Opti_Medias__30_ALL_DATA_1[[#This Row],[SUMA]]-Opti_Medias__30_ALL_DATA_1[[#This Row],[VAR Robustness Index]]</f>
        <v>-2.099224911530464</v>
      </c>
    </row>
    <row r="95" spans="1:38" x14ac:dyDescent="0.25">
      <c r="A95" s="11"/>
      <c r="B95" s="89">
        <v>27</v>
      </c>
      <c r="C95" s="89">
        <v>1</v>
      </c>
      <c r="D95" s="89">
        <v>27</v>
      </c>
      <c r="E95" s="10">
        <v>186570</v>
      </c>
      <c r="F95" s="10">
        <v>2220650</v>
      </c>
      <c r="G95" s="10">
        <v>-2034080</v>
      </c>
      <c r="H95" s="89">
        <v>4994</v>
      </c>
      <c r="I95" s="11">
        <v>35.722867440929114</v>
      </c>
      <c r="J95" s="89">
        <v>1784</v>
      </c>
      <c r="K95" s="89">
        <v>3181</v>
      </c>
      <c r="L95" s="12">
        <v>17290</v>
      </c>
      <c r="M95" s="12">
        <v>-6500</v>
      </c>
      <c r="N95" s="12">
        <v>1244.7589111328125</v>
      </c>
      <c r="O95" s="12">
        <v>-639.44671630859375</v>
      </c>
      <c r="P95" s="11">
        <v>1.946618661705815</v>
      </c>
      <c r="Q95" s="13">
        <v>37.358830596716061</v>
      </c>
      <c r="R95" s="89">
        <v>7</v>
      </c>
      <c r="S95" s="89">
        <v>15</v>
      </c>
      <c r="T95" s="89">
        <v>70</v>
      </c>
      <c r="U95" s="89">
        <v>26</v>
      </c>
      <c r="V95" s="12">
        <v>-63695</v>
      </c>
      <c r="W95" s="11">
        <v>1.091722056162983</v>
      </c>
      <c r="X95" s="89">
        <v>1</v>
      </c>
      <c r="Y95" s="12">
        <v>63695</v>
      </c>
      <c r="Z95" s="11">
        <v>292.91153151738757</v>
      </c>
      <c r="AA95" s="14">
        <v>5225.5417222701935</v>
      </c>
      <c r="AB95" s="11">
        <v>5.5161461481842998E-2</v>
      </c>
      <c r="AC95" s="11">
        <v>1.7005960893310721</v>
      </c>
      <c r="AD95" s="15">
        <v>169800.4108892355</v>
      </c>
      <c r="AE95" s="11">
        <v>252.85513686653655</v>
      </c>
      <c r="AF95" s="11">
        <f>(Opti_Medias__30_ALL_DATA_1[[#This Row],[All: TS Index]]-AA$114) /ABS(AA$114)</f>
        <v>-0.67115951953440378</v>
      </c>
      <c r="AG95" s="11">
        <f>(Opti_Medias__30_ALL_DATA_1[[#This Row],[All: Expectancy Score]]-AB$114) /ABS(AB$114)</f>
        <v>-0.98106558631373886</v>
      </c>
      <c r="AH95" s="11"/>
      <c r="AI95" s="11">
        <f>(Opti_Medias__30_ALL_DATA_1[[#This Row],[All: Perfect Profit Correlation]]-AD$114) /ABS(AD$114)</f>
        <v>-0.44911220347793013</v>
      </c>
      <c r="AJ95" s="11">
        <f>(Opti_Medias__30_ALL_DATA_1[[#This Row],[All: Robustness Index]]-AE$114) /ABS(AE$114)</f>
        <v>-0.69628175518622959</v>
      </c>
      <c r="AK95" s="11">
        <f>SUM(Opti_Medias__30_ALL_DATA_1[[#This Row],[VAR TS Index]:[VAR Robustness Index]])</f>
        <v>-2.7976190645123022</v>
      </c>
      <c r="AL95" s="11">
        <f>Opti_Medias__30_ALL_DATA_1[[#This Row],[SUMA]]-Opti_Medias__30_ALL_DATA_1[[#This Row],[VAR Robustness Index]]</f>
        <v>-2.1013373093260728</v>
      </c>
    </row>
    <row r="96" spans="1:38" x14ac:dyDescent="0.25">
      <c r="A96" s="11"/>
      <c r="B96" s="89">
        <v>27</v>
      </c>
      <c r="C96" s="89">
        <v>2</v>
      </c>
      <c r="D96" s="89">
        <v>72</v>
      </c>
      <c r="E96" s="10">
        <v>135230</v>
      </c>
      <c r="F96" s="10">
        <v>1922030</v>
      </c>
      <c r="G96" s="10">
        <v>-1786800</v>
      </c>
      <c r="H96" s="89">
        <v>4051</v>
      </c>
      <c r="I96" s="11">
        <v>28.610219698839792</v>
      </c>
      <c r="J96" s="89">
        <v>1159</v>
      </c>
      <c r="K96" s="89">
        <v>2884</v>
      </c>
      <c r="L96" s="12">
        <v>19460</v>
      </c>
      <c r="M96" s="12">
        <v>-4120</v>
      </c>
      <c r="N96" s="12">
        <v>1658.35205078125</v>
      </c>
      <c r="O96" s="12">
        <v>-619.55615234375</v>
      </c>
      <c r="P96" s="11">
        <v>2.676677561037506</v>
      </c>
      <c r="Q96" s="13">
        <v>33.381881017032832</v>
      </c>
      <c r="R96" s="89">
        <v>6</v>
      </c>
      <c r="S96" s="89">
        <v>19</v>
      </c>
      <c r="T96" s="89">
        <v>114</v>
      </c>
      <c r="U96" s="89">
        <v>26</v>
      </c>
      <c r="V96" s="12">
        <v>-48325</v>
      </c>
      <c r="W96" s="11">
        <v>1.0756827848668009</v>
      </c>
      <c r="X96" s="89">
        <v>1</v>
      </c>
      <c r="Y96" s="12">
        <v>48325</v>
      </c>
      <c r="Z96" s="11">
        <v>279.83445421624418</v>
      </c>
      <c r="AA96" s="14">
        <v>3243.2813243662699</v>
      </c>
      <c r="AB96" s="11">
        <v>0.74130888207840695</v>
      </c>
      <c r="AC96" s="11">
        <v>1.120448705554665</v>
      </c>
      <c r="AD96" s="15">
        <v>121519.60761515242</v>
      </c>
      <c r="AE96" s="11">
        <v>274.69926227600376</v>
      </c>
      <c r="AF96" s="11">
        <f>(Opti_Medias__30_ALL_DATA_1[[#This Row],[All: TS Index]]-AA$114) /ABS(AA$114)</f>
        <v>-0.79590208141590391</v>
      </c>
      <c r="AG96" s="11">
        <f>(Opti_Medias__30_ALL_DATA_1[[#This Row],[All: Expectancy Score]]-AB$114) /ABS(AB$114)</f>
        <v>-0.74554247357654668</v>
      </c>
      <c r="AH96" s="11"/>
      <c r="AI96" s="11">
        <f>(Opti_Medias__30_ALL_DATA_1[[#This Row],[All: Perfect Profit Correlation]]-AD$114) /ABS(AD$114)</f>
        <v>-0.60575084287041758</v>
      </c>
      <c r="AJ96" s="11">
        <f>(Opti_Medias__30_ALL_DATA_1[[#This Row],[All: Robustness Index]]-AE$114) /ABS(AE$114)</f>
        <v>-0.67004357188858477</v>
      </c>
      <c r="AK96" s="11">
        <f>SUM(Opti_Medias__30_ALL_DATA_1[[#This Row],[VAR TS Index]:[VAR Robustness Index]])</f>
        <v>-2.8172389697514526</v>
      </c>
      <c r="AL96" s="11">
        <f>Opti_Medias__30_ALL_DATA_1[[#This Row],[SUMA]]-Opti_Medias__30_ALL_DATA_1[[#This Row],[VAR Robustness Index]]</f>
        <v>-2.1471953978628679</v>
      </c>
    </row>
    <row r="97" spans="1:38" x14ac:dyDescent="0.25">
      <c r="A97" s="11"/>
      <c r="B97" s="89">
        <v>32</v>
      </c>
      <c r="C97" s="89">
        <v>1</v>
      </c>
      <c r="D97" s="89">
        <v>32</v>
      </c>
      <c r="E97" s="10">
        <v>160390</v>
      </c>
      <c r="F97" s="10">
        <v>2259720</v>
      </c>
      <c r="G97" s="10">
        <v>-2099330</v>
      </c>
      <c r="H97" s="89">
        <v>5246</v>
      </c>
      <c r="I97" s="11">
        <v>34.083110941669844</v>
      </c>
      <c r="J97" s="89">
        <v>1788</v>
      </c>
      <c r="K97" s="89">
        <v>3426</v>
      </c>
      <c r="L97" s="12">
        <v>17310</v>
      </c>
      <c r="M97" s="12">
        <v>-5700</v>
      </c>
      <c r="N97" s="12">
        <v>1263.8255615234375</v>
      </c>
      <c r="O97" s="12">
        <v>-612.76416015625</v>
      </c>
      <c r="P97" s="11">
        <v>2.0624991533466508</v>
      </c>
      <c r="Q97" s="13">
        <v>30.57377049180328</v>
      </c>
      <c r="R97" s="89">
        <v>7</v>
      </c>
      <c r="S97" s="89">
        <v>15</v>
      </c>
      <c r="T97" s="89">
        <v>71</v>
      </c>
      <c r="U97" s="89">
        <v>24</v>
      </c>
      <c r="V97" s="12">
        <v>-61835</v>
      </c>
      <c r="W97" s="11">
        <v>1.076400565894833</v>
      </c>
      <c r="X97" s="89">
        <v>1</v>
      </c>
      <c r="Y97" s="12">
        <v>61835</v>
      </c>
      <c r="Z97" s="11">
        <v>259.38384410123717</v>
      </c>
      <c r="AA97" s="14">
        <v>4637.7831325301204</v>
      </c>
      <c r="AB97" s="11">
        <v>0.254900979265615</v>
      </c>
      <c r="AC97" s="11">
        <v>1.428157934327333</v>
      </c>
      <c r="AD97" s="15">
        <v>141855.31917824378</v>
      </c>
      <c r="AE97" s="11">
        <v>227.56064357080166</v>
      </c>
      <c r="AF97" s="11">
        <f>(Opti_Medias__30_ALL_DATA_1[[#This Row],[All: TS Index]]-AA$114) /ABS(AA$114)</f>
        <v>-0.70814684588646259</v>
      </c>
      <c r="AG97" s="11">
        <f>(Opti_Medias__30_ALL_DATA_1[[#This Row],[All: Expectancy Score]]-AB$114) /ABS(AB$114)</f>
        <v>-0.91250412043493623</v>
      </c>
      <c r="AH97" s="11"/>
      <c r="AI97" s="11">
        <f>(Opti_Medias__30_ALL_DATA_1[[#This Row],[All: Perfect Profit Correlation]]-AD$114) /ABS(AD$114)</f>
        <v>-0.53977517605646896</v>
      </c>
      <c r="AJ97" s="11">
        <f>(Opti_Medias__30_ALL_DATA_1[[#This Row],[All: Robustness Index]]-AE$114) /ABS(AE$114)</f>
        <v>-0.72666436557112069</v>
      </c>
      <c r="AK97" s="11">
        <f>SUM(Opti_Medias__30_ALL_DATA_1[[#This Row],[VAR TS Index]:[VAR Robustness Index]])</f>
        <v>-2.8870905079489884</v>
      </c>
      <c r="AL97" s="11">
        <f>Opti_Medias__30_ALL_DATA_1[[#This Row],[SUMA]]-Opti_Medias__30_ALL_DATA_1[[#This Row],[VAR Robustness Index]]</f>
        <v>-2.1604261423778679</v>
      </c>
    </row>
    <row r="98" spans="1:38" x14ac:dyDescent="0.25">
      <c r="A98" s="11"/>
      <c r="B98" s="89">
        <v>43</v>
      </c>
      <c r="C98" s="89">
        <v>12</v>
      </c>
      <c r="D98" s="89">
        <v>538</v>
      </c>
      <c r="E98" s="10">
        <v>86280</v>
      </c>
      <c r="F98" s="10">
        <v>2282930</v>
      </c>
      <c r="G98" s="10">
        <v>-2196650</v>
      </c>
      <c r="H98" s="89">
        <v>6583</v>
      </c>
      <c r="I98" s="11">
        <v>25.732948503721708</v>
      </c>
      <c r="J98" s="89">
        <v>1694</v>
      </c>
      <c r="K98" s="89">
        <v>4862</v>
      </c>
      <c r="L98" s="12">
        <v>17110</v>
      </c>
      <c r="M98" s="12">
        <v>-4310</v>
      </c>
      <c r="N98" s="12">
        <v>1347.656494140625</v>
      </c>
      <c r="O98" s="12">
        <v>-451.7996826171875</v>
      </c>
      <c r="P98" s="11">
        <v>2.9828628615538491</v>
      </c>
      <c r="Q98" s="13">
        <v>13.106486404374905</v>
      </c>
      <c r="R98" s="89">
        <v>5</v>
      </c>
      <c r="S98" s="89">
        <v>18</v>
      </c>
      <c r="T98" s="89">
        <v>79</v>
      </c>
      <c r="U98" s="89">
        <v>16</v>
      </c>
      <c r="V98" s="12">
        <v>-69225</v>
      </c>
      <c r="W98" s="11">
        <v>1.0392779914870369</v>
      </c>
      <c r="X98" s="89">
        <v>1</v>
      </c>
      <c r="Y98" s="12">
        <v>69225</v>
      </c>
      <c r="Z98" s="11">
        <v>124.63705308775731</v>
      </c>
      <c r="AA98" s="14">
        <v>2111.3516793066087</v>
      </c>
      <c r="AB98" s="11">
        <v>1.257370084412794</v>
      </c>
      <c r="AC98" s="11">
        <v>0.62315951762188204</v>
      </c>
      <c r="AD98" s="15">
        <v>74658.507857488992</v>
      </c>
      <c r="AE98" s="11">
        <v>35.308738818329608</v>
      </c>
      <c r="AF98" s="11">
        <f>(Opti_Medias__30_ALL_DATA_1[[#This Row],[All: TS Index]]-AA$114) /ABS(AA$114)</f>
        <v>-0.86713379443588168</v>
      </c>
      <c r="AG98" s="11">
        <f>(Opti_Medias__30_ALL_DATA_1[[#This Row],[All: Expectancy Score]]-AB$114) /ABS(AB$114)</f>
        <v>-0.56840220154722487</v>
      </c>
      <c r="AH98" s="11"/>
      <c r="AI98" s="11">
        <f>(Opti_Medias__30_ALL_DATA_1[[#This Row],[All: Perfect Profit Correlation]]-AD$114) /ABS(AD$114)</f>
        <v>-0.75778350199595956</v>
      </c>
      <c r="AJ98" s="11">
        <f>(Opti_Medias__30_ALL_DATA_1[[#This Row],[All: Robustness Index]]-AE$114) /ABS(AE$114)</f>
        <v>-0.95758872723178545</v>
      </c>
      <c r="AK98" s="11">
        <f>SUM(Opti_Medias__30_ALL_DATA_1[[#This Row],[VAR TS Index]:[VAR Robustness Index]])</f>
        <v>-3.1509082252108511</v>
      </c>
      <c r="AL98" s="11">
        <f>Opti_Medias__30_ALL_DATA_1[[#This Row],[SUMA]]-Opti_Medias__30_ALL_DATA_1[[#This Row],[VAR Robustness Index]]</f>
        <v>-2.1933194979790658</v>
      </c>
    </row>
    <row r="99" spans="1:38" x14ac:dyDescent="0.25">
      <c r="A99" s="11"/>
      <c r="B99" s="89">
        <v>24</v>
      </c>
      <c r="C99" s="89">
        <v>11</v>
      </c>
      <c r="D99" s="89">
        <v>474</v>
      </c>
      <c r="E99" s="10">
        <v>149280</v>
      </c>
      <c r="F99" s="10">
        <v>2356380</v>
      </c>
      <c r="G99" s="10">
        <v>-2207100</v>
      </c>
      <c r="H99" s="89">
        <v>5275</v>
      </c>
      <c r="I99" s="11">
        <v>40.587677725118482</v>
      </c>
      <c r="J99" s="89">
        <v>2141</v>
      </c>
      <c r="K99" s="89">
        <v>3106</v>
      </c>
      <c r="L99" s="12">
        <v>17670</v>
      </c>
      <c r="M99" s="12">
        <v>-6480</v>
      </c>
      <c r="N99" s="12">
        <v>1100.597900390625</v>
      </c>
      <c r="O99" s="12">
        <v>-710.5924072265625</v>
      </c>
      <c r="P99" s="11">
        <v>1.548845567723206</v>
      </c>
      <c r="Q99" s="13">
        <v>28.299526066350712</v>
      </c>
      <c r="R99" s="89">
        <v>8</v>
      </c>
      <c r="S99" s="89">
        <v>13</v>
      </c>
      <c r="T99" s="89">
        <v>59</v>
      </c>
      <c r="U99" s="89">
        <v>27</v>
      </c>
      <c r="V99" s="12">
        <v>-64845</v>
      </c>
      <c r="W99" s="11">
        <v>1.06763626478184</v>
      </c>
      <c r="X99" s="89">
        <v>1</v>
      </c>
      <c r="Y99" s="12">
        <v>64845</v>
      </c>
      <c r="Z99" s="11">
        <v>230.21050196622716</v>
      </c>
      <c r="AA99" s="14">
        <v>4928.8068470969238</v>
      </c>
      <c r="AB99" s="11">
        <v>0.18348377359926299</v>
      </c>
      <c r="AC99" s="11">
        <v>1.3795668137715711</v>
      </c>
      <c r="AD99" s="15">
        <v>133228.64220905199</v>
      </c>
      <c r="AE99" s="11">
        <v>264.27035072433461</v>
      </c>
      <c r="AF99" s="11">
        <f>(Opti_Medias__30_ALL_DATA_1[[#This Row],[All: TS Index]]-AA$114) /ABS(AA$114)</f>
        <v>-0.68983288281595934</v>
      </c>
      <c r="AG99" s="11">
        <f>(Opti_Medias__30_ALL_DATA_1[[#This Row],[All: Expectancy Score]]-AB$114) /ABS(AB$114)</f>
        <v>-0.9370183896380575</v>
      </c>
      <c r="AH99" s="11"/>
      <c r="AI99" s="11">
        <f>(Opti_Medias__30_ALL_DATA_1[[#This Row],[All: Perfect Profit Correlation]]-AD$114) /ABS(AD$114)</f>
        <v>-0.56776292380088289</v>
      </c>
      <c r="AJ99" s="11">
        <f>(Opti_Medias__30_ALL_DATA_1[[#This Row],[All: Robustness Index]]-AE$114) /ABS(AE$114)</f>
        <v>-0.68257031250000011</v>
      </c>
      <c r="AK99" s="11">
        <f>SUM(Opti_Medias__30_ALL_DATA_1[[#This Row],[VAR TS Index]:[VAR Robustness Index]])</f>
        <v>-2.8771845087549002</v>
      </c>
      <c r="AL99" s="11">
        <f>Opti_Medias__30_ALL_DATA_1[[#This Row],[SUMA]]-Opti_Medias__30_ALL_DATA_1[[#This Row],[VAR Robustness Index]]</f>
        <v>-2.1946141962549</v>
      </c>
    </row>
    <row r="100" spans="1:38" x14ac:dyDescent="0.25">
      <c r="A100" s="11"/>
      <c r="B100" s="89">
        <v>37</v>
      </c>
      <c r="C100" s="89">
        <v>12</v>
      </c>
      <c r="D100" s="89">
        <v>532</v>
      </c>
      <c r="E100" s="10">
        <v>134700</v>
      </c>
      <c r="F100" s="10">
        <v>1925980</v>
      </c>
      <c r="G100" s="10">
        <v>-1791280</v>
      </c>
      <c r="H100" s="89">
        <v>4265</v>
      </c>
      <c r="I100" s="11">
        <v>32.215709261430248</v>
      </c>
      <c r="J100" s="89">
        <v>1374</v>
      </c>
      <c r="K100" s="89">
        <v>2874</v>
      </c>
      <c r="L100" s="12">
        <v>18320</v>
      </c>
      <c r="M100" s="12">
        <v>-4440</v>
      </c>
      <c r="N100" s="12">
        <v>1401.732177734375</v>
      </c>
      <c r="O100" s="12">
        <v>-623.27069091796875</v>
      </c>
      <c r="P100" s="11">
        <v>2.248994214166991</v>
      </c>
      <c r="Q100" s="13">
        <v>31.582649472450175</v>
      </c>
      <c r="R100" s="89">
        <v>8</v>
      </c>
      <c r="S100" s="89">
        <v>17</v>
      </c>
      <c r="T100" s="89">
        <v>95</v>
      </c>
      <c r="U100" s="89">
        <v>27</v>
      </c>
      <c r="V100" s="12">
        <v>-44275</v>
      </c>
      <c r="W100" s="11">
        <v>1.0751976240453751</v>
      </c>
      <c r="X100" s="89">
        <v>1</v>
      </c>
      <c r="Y100" s="12">
        <v>44275</v>
      </c>
      <c r="Z100" s="11">
        <v>304.23489553924338</v>
      </c>
      <c r="AA100" s="14">
        <v>4180.1874647092036</v>
      </c>
      <c r="AB100" s="11">
        <v>0.33747153579636302</v>
      </c>
      <c r="AC100" s="11">
        <v>1.1615464022268489</v>
      </c>
      <c r="AD100" s="15">
        <v>121056.38894682827</v>
      </c>
      <c r="AE100" s="11">
        <v>182.57499456920766</v>
      </c>
      <c r="AF100" s="11">
        <f>(Opti_Medias__30_ALL_DATA_1[[#This Row],[All: TS Index]]-AA$114) /ABS(AA$114)</f>
        <v>-0.73694309080474685</v>
      </c>
      <c r="AG100" s="11">
        <f>(Opti_Medias__30_ALL_DATA_1[[#This Row],[All: Expectancy Score]]-AB$114) /ABS(AB$114)</f>
        <v>-0.88416141460991704</v>
      </c>
      <c r="AH100" s="11"/>
      <c r="AI100" s="11">
        <f>(Opti_Medias__30_ALL_DATA_1[[#This Row],[All: Perfect Profit Correlation]]-AD$114) /ABS(AD$114)</f>
        <v>-0.60725367499057925</v>
      </c>
      <c r="AJ100" s="11">
        <f>(Opti_Medias__30_ALL_DATA_1[[#This Row],[All: Robustness Index]]-AE$114) /ABS(AE$114)</f>
        <v>-0.78069910864926562</v>
      </c>
      <c r="AK100" s="11">
        <f>SUM(Opti_Medias__30_ALL_DATA_1[[#This Row],[VAR TS Index]:[VAR Robustness Index]])</f>
        <v>-3.0090572890545086</v>
      </c>
      <c r="AL100" s="11">
        <f>Opti_Medias__30_ALL_DATA_1[[#This Row],[SUMA]]-Opti_Medias__30_ALL_DATA_1[[#This Row],[VAR Robustness Index]]</f>
        <v>-2.2283581804052428</v>
      </c>
    </row>
    <row r="101" spans="1:38" x14ac:dyDescent="0.25">
      <c r="A101" s="11"/>
      <c r="B101" s="89">
        <v>42</v>
      </c>
      <c r="C101" s="89">
        <v>11</v>
      </c>
      <c r="D101" s="89">
        <v>492</v>
      </c>
      <c r="E101" s="10">
        <v>82670</v>
      </c>
      <c r="F101" s="10">
        <v>2399250</v>
      </c>
      <c r="G101" s="10">
        <v>-2316580</v>
      </c>
      <c r="H101" s="89">
        <v>6355</v>
      </c>
      <c r="I101" s="11">
        <v>29.677419354838708</v>
      </c>
      <c r="J101" s="89">
        <v>1886</v>
      </c>
      <c r="K101" s="89">
        <v>4443</v>
      </c>
      <c r="L101" s="12">
        <v>18560</v>
      </c>
      <c r="M101" s="12">
        <v>-5640</v>
      </c>
      <c r="N101" s="12">
        <v>1272.1368408203125</v>
      </c>
      <c r="O101" s="12">
        <v>-521.39996337890625</v>
      </c>
      <c r="P101" s="11">
        <v>2.4398483509210349</v>
      </c>
      <c r="Q101" s="13">
        <v>13.008654602675058</v>
      </c>
      <c r="R101" s="89">
        <v>8</v>
      </c>
      <c r="S101" s="89">
        <v>17</v>
      </c>
      <c r="T101" s="89">
        <v>69</v>
      </c>
      <c r="U101" s="89">
        <v>18</v>
      </c>
      <c r="V101" s="12">
        <v>-65945</v>
      </c>
      <c r="W101" s="11">
        <v>1.0356862271106539</v>
      </c>
      <c r="X101" s="89">
        <v>1</v>
      </c>
      <c r="Y101" s="12">
        <v>65945</v>
      </c>
      <c r="Z101" s="11">
        <v>125.36204412768215</v>
      </c>
      <c r="AA101" s="14">
        <v>2364.3281522480856</v>
      </c>
      <c r="AB101" s="11">
        <v>1.015553283305213</v>
      </c>
      <c r="AC101" s="11">
        <v>0.62177862077190504</v>
      </c>
      <c r="AD101" s="15">
        <v>71085.927988321782</v>
      </c>
      <c r="AE101" s="11">
        <v>9.1820909564794668</v>
      </c>
      <c r="AF101" s="11">
        <f>(Opti_Medias__30_ALL_DATA_1[[#This Row],[All: TS Index]]-AA$114) /ABS(AA$114)</f>
        <v>-0.85121412345630965</v>
      </c>
      <c r="AG101" s="11">
        <f>(Opti_Medias__30_ALL_DATA_1[[#This Row],[All: Expectancy Score]]-AB$114) /ABS(AB$114)</f>
        <v>-0.65140687954993504</v>
      </c>
      <c r="AH101" s="11"/>
      <c r="AI101" s="11">
        <f>(Opti_Medias__30_ALL_DATA_1[[#This Row],[All: Perfect Profit Correlation]]-AD$114) /ABS(AD$114)</f>
        <v>-0.76937411383086529</v>
      </c>
      <c r="AJ101" s="11">
        <f>(Opti_Medias__30_ALL_DATA_1[[#This Row],[All: Robustness Index]]-AE$114) /ABS(AE$114)</f>
        <v>-0.98897088434278357</v>
      </c>
      <c r="AK101" s="11">
        <f>SUM(Opti_Medias__30_ALL_DATA_1[[#This Row],[VAR TS Index]:[VAR Robustness Index]])</f>
        <v>-3.2609660011798933</v>
      </c>
      <c r="AL101" s="11">
        <f>Opti_Medias__30_ALL_DATA_1[[#This Row],[SUMA]]-Opti_Medias__30_ALL_DATA_1[[#This Row],[VAR Robustness Index]]</f>
        <v>-2.2719951168371098</v>
      </c>
    </row>
    <row r="104" spans="1:38" ht="30" customHeight="1" x14ac:dyDescent="0.25">
      <c r="A104" s="42" t="s">
        <v>38</v>
      </c>
      <c r="B104" s="43">
        <v>26.27</v>
      </c>
      <c r="C104" s="43">
        <v>6.86</v>
      </c>
      <c r="D104" s="50"/>
      <c r="E104" s="51">
        <v>206821.3</v>
      </c>
      <c r="F104" s="51">
        <v>2312794.9</v>
      </c>
      <c r="G104" s="51">
        <v>-2105973.6</v>
      </c>
      <c r="H104" s="43">
        <v>5344.94</v>
      </c>
      <c r="I104" s="43">
        <v>34.746210829163068</v>
      </c>
      <c r="J104" s="43">
        <v>1854.5</v>
      </c>
      <c r="K104" s="43">
        <v>3467.09</v>
      </c>
      <c r="L104" s="52">
        <v>17667.7</v>
      </c>
      <c r="M104" s="52">
        <v>-5471.1</v>
      </c>
      <c r="N104" s="52">
        <v>1267.8896771240234</v>
      </c>
      <c r="O104" s="52">
        <v>-615.43192596435551</v>
      </c>
      <c r="P104" s="53">
        <v>2.104139546957513</v>
      </c>
      <c r="Q104" s="52">
        <v>39.033202656072149</v>
      </c>
      <c r="R104" s="43">
        <v>8</v>
      </c>
      <c r="S104" s="43">
        <v>16.46</v>
      </c>
      <c r="T104" s="43">
        <v>71.14</v>
      </c>
      <c r="U104" s="43">
        <v>23.86</v>
      </c>
      <c r="V104" s="52">
        <v>-51830.7</v>
      </c>
      <c r="W104" s="53">
        <v>1.0980770969798932</v>
      </c>
      <c r="X104" s="50"/>
      <c r="Y104" s="50"/>
      <c r="Z104" s="43">
        <v>425.52642702534803</v>
      </c>
      <c r="AA104" s="50">
        <v>7964.9898663190834</v>
      </c>
      <c r="AB104" s="53">
        <v>1.0913136218437425</v>
      </c>
      <c r="AC104" s="53">
        <v>1.8877962580614547</v>
      </c>
      <c r="AD104" s="53">
        <v>189826.78709828187</v>
      </c>
      <c r="AE104" s="53">
        <v>216.87475398420935</v>
      </c>
    </row>
    <row r="105" spans="1:38" ht="30" customHeight="1" x14ac:dyDescent="0.25">
      <c r="A105" s="44" t="s">
        <v>39</v>
      </c>
      <c r="B105" s="45">
        <v>1.077956821533641</v>
      </c>
      <c r="C105" s="45">
        <v>0.3714617589790884</v>
      </c>
      <c r="D105" s="54"/>
      <c r="E105" s="55">
        <v>5399.5639716498772</v>
      </c>
      <c r="F105" s="55">
        <v>13901.972374774379</v>
      </c>
      <c r="G105" s="55">
        <v>11348.164342742795</v>
      </c>
      <c r="H105" s="45">
        <v>48.813621670657263</v>
      </c>
      <c r="I105" s="45">
        <v>0.48165198041951057</v>
      </c>
      <c r="J105" s="45">
        <v>28.405055390144405</v>
      </c>
      <c r="K105" s="45">
        <v>44.675992004835969</v>
      </c>
      <c r="L105" s="56">
        <v>117.33530086160275</v>
      </c>
      <c r="M105" s="56">
        <v>93.072893665951611</v>
      </c>
      <c r="N105" s="56">
        <v>14.163802378721536</v>
      </c>
      <c r="O105" s="56">
        <v>7.1761730510061525</v>
      </c>
      <c r="P105" s="57">
        <v>4.2398565749532907E-2</v>
      </c>
      <c r="Q105" s="56">
        <v>1.0247089402030278</v>
      </c>
      <c r="R105" s="45">
        <v>0.16817499303650435</v>
      </c>
      <c r="S105" s="45">
        <v>0.31056156370112009</v>
      </c>
      <c r="T105" s="45">
        <v>1.3740759980746504</v>
      </c>
      <c r="U105" s="45">
        <v>0.36070077696762815</v>
      </c>
      <c r="V105" s="56">
        <v>1238.6302980520561</v>
      </c>
      <c r="W105" s="57">
        <v>2.397148532773858E-3</v>
      </c>
      <c r="X105" s="54"/>
      <c r="Y105" s="54"/>
      <c r="Z105" s="45">
        <v>15.522261211337621</v>
      </c>
      <c r="AA105" s="54">
        <v>321.81334980936833</v>
      </c>
      <c r="AB105" s="57">
        <v>6.4284462929807121E-2</v>
      </c>
      <c r="AC105" s="57">
        <v>5.5930933976159738E-2</v>
      </c>
      <c r="AD105" s="58">
        <v>5077.5182177964634</v>
      </c>
      <c r="AE105" s="57">
        <v>13.110495973017379</v>
      </c>
    </row>
    <row r="106" spans="1:38" ht="30" customHeight="1" x14ac:dyDescent="0.25">
      <c r="A106" s="46" t="s">
        <v>40</v>
      </c>
      <c r="B106" s="47">
        <v>29</v>
      </c>
      <c r="C106" s="47">
        <v>8</v>
      </c>
      <c r="D106" s="59"/>
      <c r="E106" s="60">
        <v>207035</v>
      </c>
      <c r="F106" s="60">
        <v>2331860</v>
      </c>
      <c r="G106" s="60">
        <v>-2112045</v>
      </c>
      <c r="H106" s="47">
        <v>5282</v>
      </c>
      <c r="I106" s="47">
        <v>34.678375766987685</v>
      </c>
      <c r="J106" s="47">
        <v>1830</v>
      </c>
      <c r="K106" s="47">
        <v>3370.5</v>
      </c>
      <c r="L106" s="61">
        <v>17515</v>
      </c>
      <c r="M106" s="61">
        <v>-5240</v>
      </c>
      <c r="N106" s="61">
        <v>1257.6903686523438</v>
      </c>
      <c r="O106" s="61">
        <v>-621.44076538085938</v>
      </c>
      <c r="P106" s="62">
        <v>2.0896819441003105</v>
      </c>
      <c r="Q106" s="61">
        <v>39.622342246247726</v>
      </c>
      <c r="R106" s="47">
        <v>8</v>
      </c>
      <c r="S106" s="47">
        <v>16</v>
      </c>
      <c r="T106" s="47">
        <v>70</v>
      </c>
      <c r="U106" s="47">
        <v>24.5</v>
      </c>
      <c r="V106" s="61">
        <v>-51285</v>
      </c>
      <c r="W106" s="62">
        <v>1.0987060082747515</v>
      </c>
      <c r="X106" s="59"/>
      <c r="Y106" s="59"/>
      <c r="Z106" s="47">
        <v>427.04752727184018</v>
      </c>
      <c r="AA106" s="63">
        <v>8115.3060182299869</v>
      </c>
      <c r="AB106" s="64">
        <v>1.025833274473156</v>
      </c>
      <c r="AC106" s="62">
        <v>1.9026129107224765</v>
      </c>
      <c r="AD106" s="65">
        <v>192845.13145804475</v>
      </c>
      <c r="AE106" s="66">
        <v>190.28256554567344</v>
      </c>
    </row>
    <row r="107" spans="1:38" ht="30" customHeight="1" x14ac:dyDescent="0.25">
      <c r="A107" s="44" t="s">
        <v>41</v>
      </c>
      <c r="B107" s="45">
        <v>37</v>
      </c>
      <c r="C107" s="45">
        <v>8</v>
      </c>
      <c r="D107" s="54"/>
      <c r="E107" s="55" t="e">
        <v>#N/A</v>
      </c>
      <c r="F107" s="55" t="e">
        <v>#N/A</v>
      </c>
      <c r="G107" s="55" t="e">
        <v>#N/A</v>
      </c>
      <c r="H107" s="45">
        <v>5283</v>
      </c>
      <c r="I107" s="45" t="e">
        <v>#N/A</v>
      </c>
      <c r="J107" s="45">
        <v>2264</v>
      </c>
      <c r="K107" s="45">
        <v>3439</v>
      </c>
      <c r="L107" s="56">
        <v>17090</v>
      </c>
      <c r="M107" s="56">
        <v>-5240</v>
      </c>
      <c r="N107" s="56" t="e">
        <v>#N/A</v>
      </c>
      <c r="O107" s="56" t="e">
        <v>#N/A</v>
      </c>
      <c r="P107" s="57" t="e">
        <v>#N/A</v>
      </c>
      <c r="Q107" s="56" t="e">
        <v>#N/A</v>
      </c>
      <c r="R107" s="45">
        <v>7</v>
      </c>
      <c r="S107" s="45">
        <v>15</v>
      </c>
      <c r="T107" s="45">
        <v>70</v>
      </c>
      <c r="U107" s="45">
        <v>25</v>
      </c>
      <c r="V107" s="56">
        <v>-41945</v>
      </c>
      <c r="W107" s="57" t="e">
        <v>#N/A</v>
      </c>
      <c r="X107" s="54"/>
      <c r="Y107" s="54"/>
      <c r="Z107" s="45" t="e">
        <v>#N/A</v>
      </c>
      <c r="AA107" s="54" t="e">
        <v>#N/A</v>
      </c>
      <c r="AB107" s="57" t="e">
        <v>#N/A</v>
      </c>
      <c r="AC107" s="57" t="e">
        <v>#N/A</v>
      </c>
      <c r="AD107" s="58" t="e">
        <v>#N/A</v>
      </c>
      <c r="AE107" s="57" t="e">
        <v>#N/A</v>
      </c>
    </row>
    <row r="108" spans="1:38" ht="30" customHeight="1" x14ac:dyDescent="0.25">
      <c r="A108" s="46" t="s">
        <v>42</v>
      </c>
      <c r="B108" s="47">
        <v>10.779568215336409</v>
      </c>
      <c r="C108" s="47">
        <v>3.7146175897908842</v>
      </c>
      <c r="D108" s="62"/>
      <c r="E108" s="60">
        <v>53995.639716498772</v>
      </c>
      <c r="F108" s="60">
        <v>139019.72374774379</v>
      </c>
      <c r="G108" s="60">
        <v>113481.64342742795</v>
      </c>
      <c r="H108" s="47">
        <v>488.13621670657261</v>
      </c>
      <c r="I108" s="47">
        <v>4.8165198041951056</v>
      </c>
      <c r="J108" s="47">
        <v>284.05055390144406</v>
      </c>
      <c r="K108" s="47">
        <v>446.75992004835967</v>
      </c>
      <c r="L108" s="61">
        <v>1173.3530086160274</v>
      </c>
      <c r="M108" s="61">
        <v>930.72893665951608</v>
      </c>
      <c r="N108" s="61">
        <v>141.63802378721536</v>
      </c>
      <c r="O108" s="61">
        <v>71.761730510061525</v>
      </c>
      <c r="P108" s="62">
        <v>0.42398565749532907</v>
      </c>
      <c r="Q108" s="61">
        <v>10.247089402030278</v>
      </c>
      <c r="R108" s="47">
        <v>1.6817499303650434</v>
      </c>
      <c r="S108" s="47">
        <v>3.1056156370112009</v>
      </c>
      <c r="T108" s="47">
        <v>13.740759980746503</v>
      </c>
      <c r="U108" s="47">
        <v>3.6070077696762812</v>
      </c>
      <c r="V108" s="61">
        <v>12386.302980520561</v>
      </c>
      <c r="W108" s="62">
        <v>2.397148532773858E-2</v>
      </c>
      <c r="X108" s="62"/>
      <c r="Y108" s="62"/>
      <c r="Z108" s="47">
        <v>155.22261211337621</v>
      </c>
      <c r="AA108" s="62">
        <v>3218.1334980936836</v>
      </c>
      <c r="AB108" s="62">
        <v>0.64284462929807118</v>
      </c>
      <c r="AC108" s="62">
        <v>0.55930933976159736</v>
      </c>
      <c r="AD108" s="53">
        <v>50775.182177964634</v>
      </c>
      <c r="AE108" s="62">
        <v>131.10495973017379</v>
      </c>
    </row>
    <row r="109" spans="1:38" ht="30" customHeight="1" x14ac:dyDescent="0.25">
      <c r="A109" s="44" t="s">
        <v>43</v>
      </c>
      <c r="B109" s="45">
        <v>116.19909090909097</v>
      </c>
      <c r="C109" s="45">
        <v>13.798383838383838</v>
      </c>
      <c r="D109" s="57"/>
      <c r="E109" s="55">
        <v>2915529108.3939395</v>
      </c>
      <c r="F109" s="55">
        <v>19326483590.898998</v>
      </c>
      <c r="G109" s="55">
        <v>12878083394.989899</v>
      </c>
      <c r="H109" s="45">
        <v>238276.96606060604</v>
      </c>
      <c r="I109" s="45">
        <v>23.198863024203661</v>
      </c>
      <c r="J109" s="45">
        <v>80684.717171717173</v>
      </c>
      <c r="K109" s="45">
        <v>199594.42616161675</v>
      </c>
      <c r="L109" s="55">
        <v>1376757.282828283</v>
      </c>
      <c r="M109" s="55">
        <v>866256.35353535356</v>
      </c>
      <c r="N109" s="55">
        <v>20061.329782347788</v>
      </c>
      <c r="O109" s="55">
        <v>5149.7459657986956</v>
      </c>
      <c r="P109" s="57">
        <v>0.17976383776174648</v>
      </c>
      <c r="Q109" s="55">
        <v>105.00284121320124</v>
      </c>
      <c r="R109" s="45">
        <v>2.8282828282828283</v>
      </c>
      <c r="S109" s="45">
        <v>9.6448484848484863</v>
      </c>
      <c r="T109" s="45">
        <v>188.80848484848462</v>
      </c>
      <c r="U109" s="45">
        <v>13.01050505050506</v>
      </c>
      <c r="V109" s="55">
        <v>153420501.52525252</v>
      </c>
      <c r="W109" s="57">
        <v>5.7463210881798603E-4</v>
      </c>
      <c r="X109" s="54"/>
      <c r="Y109" s="54"/>
      <c r="Z109" s="45">
        <v>24094.05931129965</v>
      </c>
      <c r="AA109" s="54">
        <v>10356383.211552687</v>
      </c>
      <c r="AB109" s="57">
        <v>0.41324921741737458</v>
      </c>
      <c r="AC109" s="57">
        <v>0.31282693754455393</v>
      </c>
      <c r="AD109" s="67">
        <v>2578119125.2054973</v>
      </c>
      <c r="AE109" s="57">
        <v>17188.51046585049</v>
      </c>
    </row>
    <row r="110" spans="1:38" ht="30" customHeight="1" x14ac:dyDescent="0.25">
      <c r="A110" s="46" t="s">
        <v>44</v>
      </c>
      <c r="B110" s="47">
        <v>-0.48690903673130226</v>
      </c>
      <c r="C110" s="47">
        <v>-1.2620010086143718</v>
      </c>
      <c r="D110" s="62"/>
      <c r="E110" s="60">
        <v>-0.39102951256506469</v>
      </c>
      <c r="F110" s="60">
        <v>1.3799953175888686</v>
      </c>
      <c r="G110" s="60">
        <v>0.90944891187311816</v>
      </c>
      <c r="H110" s="47">
        <v>1.6224424592585369</v>
      </c>
      <c r="I110" s="47">
        <v>-0.57437813314575958</v>
      </c>
      <c r="J110" s="47">
        <v>0.31444069472020875</v>
      </c>
      <c r="K110" s="47">
        <v>1.5227004422061454</v>
      </c>
      <c r="L110" s="61">
        <v>26.088755594510079</v>
      </c>
      <c r="M110" s="61">
        <v>-1.2012334066693244</v>
      </c>
      <c r="N110" s="61">
        <v>0.92286604947952933</v>
      </c>
      <c r="O110" s="61">
        <v>0.52922545394565912</v>
      </c>
      <c r="P110" s="62">
        <v>-0.5202825854233355</v>
      </c>
      <c r="Q110" s="61">
        <v>-0.27374109951462389</v>
      </c>
      <c r="R110" s="47">
        <v>-0.59224356689867363</v>
      </c>
      <c r="S110" s="47">
        <v>0.83224772174748729</v>
      </c>
      <c r="T110" s="47">
        <v>1.7088225418488663</v>
      </c>
      <c r="U110" s="47">
        <v>3.2082763811435053</v>
      </c>
      <c r="V110" s="61">
        <v>1.7091149112198258</v>
      </c>
      <c r="W110" s="62">
        <v>-0.40865888931516103</v>
      </c>
      <c r="X110" s="62"/>
      <c r="Y110" s="62"/>
      <c r="Z110" s="47">
        <v>-0.99497363045194653</v>
      </c>
      <c r="AA110" s="62">
        <v>-1.0348865134990635</v>
      </c>
      <c r="AB110" s="62">
        <v>-0.41883753839619198</v>
      </c>
      <c r="AC110" s="62">
        <v>-0.38890682588107639</v>
      </c>
      <c r="AD110" s="53">
        <v>-0.36596852533841462</v>
      </c>
      <c r="AE110" s="62">
        <v>6.7829203728363279</v>
      </c>
    </row>
    <row r="111" spans="1:38" ht="30" customHeight="1" x14ac:dyDescent="0.25">
      <c r="A111" s="44" t="s">
        <v>45</v>
      </c>
      <c r="B111" s="45">
        <v>-0.68222196081678743</v>
      </c>
      <c r="C111" s="45">
        <v>-0.40741164399043855</v>
      </c>
      <c r="D111" s="57"/>
      <c r="E111" s="55">
        <v>4.4323218418235923E-2</v>
      </c>
      <c r="F111" s="55">
        <v>-0.53669856182147979</v>
      </c>
      <c r="G111" s="55">
        <v>0.78161309859063921</v>
      </c>
      <c r="H111" s="45">
        <v>6.4034318413537808E-2</v>
      </c>
      <c r="I111" s="45">
        <v>0.14345327352620629</v>
      </c>
      <c r="J111" s="45">
        <v>-0.21299114298609798</v>
      </c>
      <c r="K111" s="45">
        <v>1.027640740856179</v>
      </c>
      <c r="L111" s="56">
        <v>3.4120195409627323</v>
      </c>
      <c r="M111" s="56">
        <v>-0.24196476167872816</v>
      </c>
      <c r="N111" s="56">
        <v>0.6973080274272383</v>
      </c>
      <c r="O111" s="56">
        <v>-0.106160561584241</v>
      </c>
      <c r="P111" s="57">
        <v>0.29364949546904423</v>
      </c>
      <c r="Q111" s="56">
        <v>-0.40860335701211076</v>
      </c>
      <c r="R111" s="45">
        <v>0.4420634838823983</v>
      </c>
      <c r="S111" s="45">
        <v>0.82055713065660341</v>
      </c>
      <c r="T111" s="45">
        <v>1.1699327547579759</v>
      </c>
      <c r="U111" s="45">
        <v>0.67059457036539005</v>
      </c>
      <c r="V111" s="56">
        <v>-1.0514189005618848</v>
      </c>
      <c r="W111" s="57">
        <v>-0.28488991586969009</v>
      </c>
      <c r="X111" s="57"/>
      <c r="Y111" s="57"/>
      <c r="Z111" s="45">
        <v>0.12211780419163809</v>
      </c>
      <c r="AA111" s="57">
        <v>2.5917452135011006E-2</v>
      </c>
      <c r="AB111" s="57">
        <v>0.29165152994823529</v>
      </c>
      <c r="AC111" s="57">
        <v>1.4820271169046877E-2</v>
      </c>
      <c r="AD111" s="58">
        <v>-2.9195031275437759E-2</v>
      </c>
      <c r="AE111" s="57">
        <v>2.1576443312322664</v>
      </c>
    </row>
    <row r="112" spans="1:38" ht="30" customHeight="1" x14ac:dyDescent="0.25">
      <c r="A112" s="46" t="s">
        <v>46</v>
      </c>
      <c r="B112" s="47">
        <v>42</v>
      </c>
      <c r="C112" s="47">
        <v>11</v>
      </c>
      <c r="D112" s="59"/>
      <c r="E112" s="60">
        <v>247680</v>
      </c>
      <c r="F112" s="60">
        <v>711130</v>
      </c>
      <c r="G112" s="60">
        <v>529780</v>
      </c>
      <c r="H112" s="47">
        <v>2861</v>
      </c>
      <c r="I112" s="47">
        <v>19.977318725532861</v>
      </c>
      <c r="J112" s="47">
        <v>1441</v>
      </c>
      <c r="K112" s="47">
        <v>2539</v>
      </c>
      <c r="L112" s="61">
        <v>12210</v>
      </c>
      <c r="M112" s="61">
        <v>3100</v>
      </c>
      <c r="N112" s="61">
        <v>702.00592041015625</v>
      </c>
      <c r="O112" s="61">
        <v>388.42547607421875</v>
      </c>
      <c r="P112" s="62">
        <v>1.7027939678210711</v>
      </c>
      <c r="Q112" s="61">
        <v>44.795369894262826</v>
      </c>
      <c r="R112" s="47">
        <v>6</v>
      </c>
      <c r="S112" s="47">
        <v>16</v>
      </c>
      <c r="T112" s="47">
        <v>70</v>
      </c>
      <c r="U112" s="47">
        <v>23</v>
      </c>
      <c r="V112" s="61">
        <v>62320</v>
      </c>
      <c r="W112" s="62">
        <v>0.11011023599558101</v>
      </c>
      <c r="X112" s="59"/>
      <c r="Y112" s="59"/>
      <c r="Z112" s="47">
        <v>608.89494634462528</v>
      </c>
      <c r="AA112" s="59">
        <v>13779.458706542155</v>
      </c>
      <c r="AB112" s="62">
        <v>2.874444320310833</v>
      </c>
      <c r="AC112" s="62">
        <v>2.5230334127967953</v>
      </c>
      <c r="AD112" s="53">
        <v>237144.55372000355</v>
      </c>
      <c r="AE112" s="62">
        <v>823.34984014821475</v>
      </c>
    </row>
    <row r="113" spans="1:31" ht="30" customHeight="1" x14ac:dyDescent="0.25">
      <c r="A113" s="44" t="s">
        <v>47</v>
      </c>
      <c r="B113" s="45">
        <v>1</v>
      </c>
      <c r="C113" s="45">
        <v>1</v>
      </c>
      <c r="D113" s="54"/>
      <c r="E113" s="55">
        <v>82670</v>
      </c>
      <c r="F113" s="55">
        <v>1922030</v>
      </c>
      <c r="G113" s="55">
        <v>-2316580</v>
      </c>
      <c r="H113" s="45">
        <v>4051</v>
      </c>
      <c r="I113" s="45">
        <v>25.732948503721708</v>
      </c>
      <c r="J113" s="45">
        <v>1159</v>
      </c>
      <c r="K113" s="45">
        <v>2398</v>
      </c>
      <c r="L113" s="56">
        <v>13810</v>
      </c>
      <c r="M113" s="56">
        <v>-7220</v>
      </c>
      <c r="N113" s="56">
        <v>956.34613037109375</v>
      </c>
      <c r="O113" s="56">
        <v>-840.22515869140625</v>
      </c>
      <c r="P113" s="57">
        <v>1.3186238751688171</v>
      </c>
      <c r="Q113" s="56">
        <v>13.008654602675058</v>
      </c>
      <c r="R113" s="45">
        <v>5</v>
      </c>
      <c r="S113" s="45">
        <v>11</v>
      </c>
      <c r="T113" s="45">
        <v>44</v>
      </c>
      <c r="U113" s="45">
        <v>16</v>
      </c>
      <c r="V113" s="56">
        <v>-95755</v>
      </c>
      <c r="W113" s="57">
        <v>1.0356862271106539</v>
      </c>
      <c r="X113" s="54"/>
      <c r="Y113" s="54"/>
      <c r="Z113" s="54">
        <v>124.63705308775731</v>
      </c>
      <c r="AA113" s="63">
        <v>2111.3516793066087</v>
      </c>
      <c r="AB113" s="64">
        <v>3.8846917318994E-2</v>
      </c>
      <c r="AC113" s="57">
        <v>0.62177862077190504</v>
      </c>
      <c r="AD113" s="65">
        <v>71085.927988321782</v>
      </c>
      <c r="AE113" s="66">
        <v>9.1820909564794668</v>
      </c>
    </row>
    <row r="114" spans="1:31" ht="30" customHeight="1" x14ac:dyDescent="0.25">
      <c r="A114" s="46" t="s">
        <v>48</v>
      </c>
      <c r="B114" s="47">
        <v>43</v>
      </c>
      <c r="C114" s="47">
        <v>12</v>
      </c>
      <c r="D114" s="59"/>
      <c r="E114" s="60">
        <v>330350</v>
      </c>
      <c r="F114" s="60">
        <v>2633160</v>
      </c>
      <c r="G114" s="60">
        <v>-1786800</v>
      </c>
      <c r="H114" s="47">
        <v>6912</v>
      </c>
      <c r="I114" s="47">
        <v>45.710267229254569</v>
      </c>
      <c r="J114" s="47">
        <v>2600</v>
      </c>
      <c r="K114" s="47">
        <v>4937</v>
      </c>
      <c r="L114" s="61">
        <v>26020</v>
      </c>
      <c r="M114" s="61">
        <v>-4120</v>
      </c>
      <c r="N114" s="61">
        <v>1658.35205078125</v>
      </c>
      <c r="O114" s="61">
        <v>-451.7996826171875</v>
      </c>
      <c r="P114" s="62">
        <v>3.0214178429898881</v>
      </c>
      <c r="Q114" s="61">
        <v>57.804024496937885</v>
      </c>
      <c r="R114" s="47">
        <v>11</v>
      </c>
      <c r="S114" s="47">
        <v>27</v>
      </c>
      <c r="T114" s="47">
        <v>114</v>
      </c>
      <c r="U114" s="47">
        <v>39</v>
      </c>
      <c r="V114" s="61">
        <v>-33435</v>
      </c>
      <c r="W114" s="62">
        <v>1.145796463106235</v>
      </c>
      <c r="X114" s="59"/>
      <c r="Y114" s="59"/>
      <c r="Z114" s="47">
        <v>733.53199943238258</v>
      </c>
      <c r="AA114" s="63">
        <v>15890.810385848763</v>
      </c>
      <c r="AB114" s="64">
        <v>2.913291237629827</v>
      </c>
      <c r="AC114" s="62">
        <v>3.1448120335687002</v>
      </c>
      <c r="AD114" s="65">
        <v>308230.48170832533</v>
      </c>
      <c r="AE114" s="68">
        <v>832.53193110469419</v>
      </c>
    </row>
    <row r="115" spans="1:31" ht="30" customHeight="1" x14ac:dyDescent="0.25">
      <c r="A115" s="48" t="s">
        <v>49</v>
      </c>
      <c r="B115" s="49">
        <v>2.1389001983652642</v>
      </c>
      <c r="C115" s="49">
        <v>0.73706071903241499</v>
      </c>
      <c r="D115" s="69"/>
      <c r="E115" s="70">
        <v>10713.906363722963</v>
      </c>
      <c r="F115" s="70">
        <v>27584.529246513393</v>
      </c>
      <c r="G115" s="70">
        <v>22517.220058258779</v>
      </c>
      <c r="H115" s="49">
        <v>96.856815587244199</v>
      </c>
      <c r="I115" s="49">
        <v>0.95570202431356166</v>
      </c>
      <c r="J115" s="49">
        <v>56.361792415875641</v>
      </c>
      <c r="K115" s="49">
        <v>88.646860664934749</v>
      </c>
      <c r="L115" s="71">
        <v>232.81869298908444</v>
      </c>
      <c r="M115" s="71">
        <v>184.67681334518119</v>
      </c>
      <c r="N115" s="71">
        <v>28.104056778779281</v>
      </c>
      <c r="O115" s="71">
        <v>14.239084215324022</v>
      </c>
      <c r="P115" s="69">
        <v>8.4127952883174428E-2</v>
      </c>
      <c r="Q115" s="71">
        <v>2.0332448495929993</v>
      </c>
      <c r="R115" s="49">
        <v>0.33369567201595951</v>
      </c>
      <c r="S115" s="49">
        <v>0.61622151920694723</v>
      </c>
      <c r="T115" s="49">
        <v>2.7264648881477456</v>
      </c>
      <c r="U115" s="49">
        <v>0.71570859610955906</v>
      </c>
      <c r="V115" s="71">
        <v>2457.7112341434254</v>
      </c>
      <c r="W115" s="69">
        <v>4.7564627542003952E-3</v>
      </c>
      <c r="X115" s="69"/>
      <c r="Y115" s="69"/>
      <c r="Z115" s="49">
        <v>30.799533822488414</v>
      </c>
      <c r="AA115" s="69">
        <v>638.54750393855795</v>
      </c>
      <c r="AB115" s="69">
        <v>0.12755432106895187</v>
      </c>
      <c r="AC115" s="69">
        <v>0.11097910731355681</v>
      </c>
      <c r="AD115" s="72">
        <v>10074.897719740593</v>
      </c>
      <c r="AE115" s="69">
        <v>26.014068353366532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8A6DEB-0672-4DA0-812C-2F9DA47C9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Opti_Medias_-30_INS</vt:lpstr>
      <vt:lpstr>Opti_Medias_-30_OOS</vt:lpstr>
      <vt:lpstr>Opti_Medias_-30_ALL_DATA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Sánchez</dc:creator>
  <cp:lastModifiedBy>Sergi Sánchez</cp:lastModifiedBy>
  <dcterms:created xsi:type="dcterms:W3CDTF">2024-04-16T13:32:19Z</dcterms:created>
  <dcterms:modified xsi:type="dcterms:W3CDTF">2024-04-16T17:48:09Z</dcterms:modified>
</cp:coreProperties>
</file>